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rrj\Documents\"/>
    </mc:Choice>
  </mc:AlternateContent>
  <xr:revisionPtr revIDLastSave="0" documentId="13_ncr:1_{9385A46C-4E89-41A2-869E-1FED53AD6F8F}" xr6:coauthVersionLast="47" xr6:coauthVersionMax="47" xr10:uidLastSave="{00000000-0000-0000-0000-000000000000}"/>
  <bookViews>
    <workbookView xWindow="-110" yWindow="-110" windowWidth="19420" windowHeight="10300" xr2:uid="{261C7724-CFDB-4CAB-BF3C-9B1B1A1DCEBF}"/>
  </bookViews>
  <sheets>
    <sheet name="pivottable" sheetId="2" r:id="rId1"/>
    <sheet name="ExcelCapstone" sheetId="1" r:id="rId2"/>
  </sheets>
  <calcPr calcId="191029"/>
  <pivotCaches>
    <pivotCache cacheId="4" r:id="rId3"/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4" i="2"/>
  <c r="D24" i="2"/>
  <c r="D23" i="2"/>
  <c r="D22" i="2"/>
  <c r="D11" i="2"/>
  <c r="D13" i="2"/>
  <c r="D14" i="2"/>
  <c r="D17" i="2"/>
  <c r="D12" i="2"/>
  <c r="D16" i="2"/>
  <c r="D15" i="2"/>
  <c r="AE17" i="1"/>
  <c r="AD17" i="1"/>
  <c r="AE16" i="1"/>
  <c r="AD16" i="1"/>
  <c r="AE15" i="1"/>
  <c r="AD15" i="1"/>
  <c r="AD12" i="1"/>
  <c r="AD11" i="1"/>
  <c r="AD10" i="1"/>
  <c r="AD9" i="1"/>
  <c r="AD8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</calcChain>
</file>

<file path=xl/sharedStrings.xml><?xml version="1.0" encoding="utf-8"?>
<sst xmlns="http://schemas.openxmlformats.org/spreadsheetml/2006/main" count="14240" uniqueCount="4794">
  <si>
    <t>transaction_id</t>
  </si>
  <si>
    <t>customer_id</t>
  </si>
  <si>
    <t>policy_number</t>
  </si>
  <si>
    <t>policy_eff_dt</t>
  </si>
  <si>
    <t>loss_dt</t>
  </si>
  <si>
    <t>report_dt</t>
  </si>
  <si>
    <t>reporting_delay_days</t>
  </si>
  <si>
    <t>premium_monthly</t>
  </si>
  <si>
    <t>premium_yearly</t>
  </si>
  <si>
    <t>claim_amount</t>
  </si>
  <si>
    <t>claim_status</t>
  </si>
  <si>
    <t>claim_amount_paid</t>
  </si>
  <si>
    <t>tenure_years</t>
  </si>
  <si>
    <t>incident_severity</t>
  </si>
  <si>
    <t>tenure_months</t>
  </si>
  <si>
    <t>age</t>
  </si>
  <si>
    <t>marital_status</t>
  </si>
  <si>
    <t>no_of_family_members</t>
  </si>
  <si>
    <t>risk_segmentation</t>
  </si>
  <si>
    <t>social_class</t>
  </si>
  <si>
    <t>customer_education_level</t>
  </si>
  <si>
    <t>house_type</t>
  </si>
  <si>
    <t>any_injury</t>
  </si>
  <si>
    <t>police_report_available</t>
  </si>
  <si>
    <t>TXN00000008</t>
  </si>
  <si>
    <t>A00004301</t>
  </si>
  <si>
    <t>PLC00002925</t>
  </si>
  <si>
    <t>A</t>
  </si>
  <si>
    <t>Total Loss</t>
  </si>
  <si>
    <t>L</t>
  </si>
  <si>
    <t>MI</t>
  </si>
  <si>
    <t>High School</t>
  </si>
  <si>
    <t>Rent</t>
  </si>
  <si>
    <t>TXN00000009</t>
  </si>
  <si>
    <t>A00004671</t>
  </si>
  <si>
    <t>PLC00006886</t>
  </si>
  <si>
    <t>Major Loss</t>
  </si>
  <si>
    <t>H</t>
  </si>
  <si>
    <t>Bachelor</t>
  </si>
  <si>
    <t>Mortgage</t>
  </si>
  <si>
    <t>TXN00000012</t>
  </si>
  <si>
    <t>A00006313</t>
  </si>
  <si>
    <t>PLC00002139</t>
  </si>
  <si>
    <t>D</t>
  </si>
  <si>
    <t>HI</t>
  </si>
  <si>
    <t>Own</t>
  </si>
  <si>
    <t>TXN00000016</t>
  </si>
  <si>
    <t>A00008033</t>
  </si>
  <si>
    <t>PLC00008152</t>
  </si>
  <si>
    <t>Minor Loss</t>
  </si>
  <si>
    <t>LI</t>
  </si>
  <si>
    <t>NA</t>
  </si>
  <si>
    <t>TXN00000019</t>
  </si>
  <si>
    <t>A00009265</t>
  </si>
  <si>
    <t>PLC00000619</t>
  </si>
  <si>
    <t>TXN00000042</t>
  </si>
  <si>
    <t>A00008902</t>
  </si>
  <si>
    <t>PLC00006704</t>
  </si>
  <si>
    <t>Masters</t>
  </si>
  <si>
    <t>TXN00000047</t>
  </si>
  <si>
    <t>A00000134</t>
  </si>
  <si>
    <t>PLC00002112</t>
  </si>
  <si>
    <t>TXN00000050</t>
  </si>
  <si>
    <t>A00004589</t>
  </si>
  <si>
    <t>PLC00003093</t>
  </si>
  <si>
    <t>M</t>
  </si>
  <si>
    <t>College</t>
  </si>
  <si>
    <t>TXN00000053</t>
  </si>
  <si>
    <t>A00009041</t>
  </si>
  <si>
    <t>PLC00009146</t>
  </si>
  <si>
    <t>TXN00000057</t>
  </si>
  <si>
    <t>A00002089</t>
  </si>
  <si>
    <t>PLC00009114</t>
  </si>
  <si>
    <t>TXN00000079</t>
  </si>
  <si>
    <t>A00002003</t>
  </si>
  <si>
    <t>PLC00004274</t>
  </si>
  <si>
    <t>TXN00000085</t>
  </si>
  <si>
    <t>A00002691</t>
  </si>
  <si>
    <t>PLC00000988</t>
  </si>
  <si>
    <t>TXN00000086</t>
  </si>
  <si>
    <t>A00007463</t>
  </si>
  <si>
    <t>PLC00005994</t>
  </si>
  <si>
    <t>TXN00000088</t>
  </si>
  <si>
    <t>A00009910</t>
  </si>
  <si>
    <t>PLC00005185</t>
  </si>
  <si>
    <t>TXN00000096</t>
  </si>
  <si>
    <t>A00006240</t>
  </si>
  <si>
    <t>PLC00007252</t>
  </si>
  <si>
    <t>MD</t>
  </si>
  <si>
    <t>TXN00000102</t>
  </si>
  <si>
    <t>A00007330</t>
  </si>
  <si>
    <t>PLC00009936</t>
  </si>
  <si>
    <t>TXN00000103</t>
  </si>
  <si>
    <t>A00009946</t>
  </si>
  <si>
    <t>PLC00002086</t>
  </si>
  <si>
    <t>TXN00000112</t>
  </si>
  <si>
    <t>A00001480</t>
  </si>
  <si>
    <t>PLC00005653</t>
  </si>
  <si>
    <t>TXN00000113</t>
  </si>
  <si>
    <t>A00004702</t>
  </si>
  <si>
    <t>PLC00008292</t>
  </si>
  <si>
    <t>TXN00000128</t>
  </si>
  <si>
    <t>A00008198</t>
  </si>
  <si>
    <t>PLC00000862</t>
  </si>
  <si>
    <t>TXN00000132</t>
  </si>
  <si>
    <t>A00004559</t>
  </si>
  <si>
    <t>PLC00002010</t>
  </si>
  <si>
    <t>PhD</t>
  </si>
  <si>
    <t>TXN00000137</t>
  </si>
  <si>
    <t>A00002413</t>
  </si>
  <si>
    <t>PLC00000244</t>
  </si>
  <si>
    <t>TXN00000155</t>
  </si>
  <si>
    <t>A00000211</t>
  </si>
  <si>
    <t>PLC00001741</t>
  </si>
  <si>
    <t>TXN00000166</t>
  </si>
  <si>
    <t>A00001756</t>
  </si>
  <si>
    <t>PLC00004862</t>
  </si>
  <si>
    <t>TXN00000180</t>
  </si>
  <si>
    <t>A00000105</t>
  </si>
  <si>
    <t>PLC00007991</t>
  </si>
  <si>
    <t>TXN00000206</t>
  </si>
  <si>
    <t>A00003531</t>
  </si>
  <si>
    <t>PLC00008666</t>
  </si>
  <si>
    <t>TXN00000210</t>
  </si>
  <si>
    <t>A00009990</t>
  </si>
  <si>
    <t>PLC00006419</t>
  </si>
  <si>
    <t>TXN00000213</t>
  </si>
  <si>
    <t>A00005658</t>
  </si>
  <si>
    <t>PLC00005739</t>
  </si>
  <si>
    <t>TXN00000230</t>
  </si>
  <si>
    <t>A00009382</t>
  </si>
  <si>
    <t>PLC00008203</t>
  </si>
  <si>
    <t>TXN00000234</t>
  </si>
  <si>
    <t>A00001399</t>
  </si>
  <si>
    <t>PLC00006739</t>
  </si>
  <si>
    <t>TXN00000247</t>
  </si>
  <si>
    <t>A00004413</t>
  </si>
  <si>
    <t>PLC00009585</t>
  </si>
  <si>
    <t>TXN00000248</t>
  </si>
  <si>
    <t>A00004506</t>
  </si>
  <si>
    <t>PLC00009512</t>
  </si>
  <si>
    <t>TXN00000252</t>
  </si>
  <si>
    <t>A00004325</t>
  </si>
  <si>
    <t>PLC00002914</t>
  </si>
  <si>
    <t>TXN00000254</t>
  </si>
  <si>
    <t>A00004524</t>
  </si>
  <si>
    <t>PLC00006537</t>
  </si>
  <si>
    <t>TXN00000255</t>
  </si>
  <si>
    <t>A00006293</t>
  </si>
  <si>
    <t>PLC00003619</t>
  </si>
  <si>
    <t>TXN00000259</t>
  </si>
  <si>
    <t>A00002757</t>
  </si>
  <si>
    <t>PLC00001961</t>
  </si>
  <si>
    <t>TXN00000261</t>
  </si>
  <si>
    <t>A00002818</t>
  </si>
  <si>
    <t>PLC00006148</t>
  </si>
  <si>
    <t>TXN00000263</t>
  </si>
  <si>
    <t>A00008702</t>
  </si>
  <si>
    <t>PLC00005071</t>
  </si>
  <si>
    <t>TXN00000267</t>
  </si>
  <si>
    <t>A00005752</t>
  </si>
  <si>
    <t>PLC00003511</t>
  </si>
  <si>
    <t>TXN00000281</t>
  </si>
  <si>
    <t>A00005861</t>
  </si>
  <si>
    <t>PLC00002849</t>
  </si>
  <si>
    <t>TXN00000286</t>
  </si>
  <si>
    <t>A00003981</t>
  </si>
  <si>
    <t>PLC00007005</t>
  </si>
  <si>
    <t>TXN00000304</t>
  </si>
  <si>
    <t>A00000358</t>
  </si>
  <si>
    <t>PLC00009297</t>
  </si>
  <si>
    <t>TXN00000306</t>
  </si>
  <si>
    <t>A00005032</t>
  </si>
  <si>
    <t>PLC00009762</t>
  </si>
  <si>
    <t>TXN00000307</t>
  </si>
  <si>
    <t>A00001617</t>
  </si>
  <si>
    <t>PLC00000517</t>
  </si>
  <si>
    <t>TXN00000310</t>
  </si>
  <si>
    <t>A00009043</t>
  </si>
  <si>
    <t>PLC00001784</t>
  </si>
  <si>
    <t>TXN00000317</t>
  </si>
  <si>
    <t>A00001251</t>
  </si>
  <si>
    <t>PLC00003897</t>
  </si>
  <si>
    <t>TXN00000321</t>
  </si>
  <si>
    <t>A00002955</t>
  </si>
  <si>
    <t>PLC00006819</t>
  </si>
  <si>
    <t>TXN00000322</t>
  </si>
  <si>
    <t>A00001742</t>
  </si>
  <si>
    <t>PLC00009888</t>
  </si>
  <si>
    <t>TXN00000324</t>
  </si>
  <si>
    <t>A00002637</t>
  </si>
  <si>
    <t>PLC00005447</t>
  </si>
  <si>
    <t>TXN00000325</t>
  </si>
  <si>
    <t>A00007698</t>
  </si>
  <si>
    <t>PLC00006394</t>
  </si>
  <si>
    <t>TXN00000336</t>
  </si>
  <si>
    <t>A00002730</t>
  </si>
  <si>
    <t>PLC00005571</t>
  </si>
  <si>
    <t>TXN00000342</t>
  </si>
  <si>
    <t>A00009166</t>
  </si>
  <si>
    <t>PLC00007889</t>
  </si>
  <si>
    <t>TXN00000344</t>
  </si>
  <si>
    <t>A00009918</t>
  </si>
  <si>
    <t>PLC00004355</t>
  </si>
  <si>
    <t>TXN00000345</t>
  </si>
  <si>
    <t>A00002725</t>
  </si>
  <si>
    <t>PLC00001815</t>
  </si>
  <si>
    <t>TXN00000348</t>
  </si>
  <si>
    <t>A00004408</t>
  </si>
  <si>
    <t>PLC00008517</t>
  </si>
  <si>
    <t>TXN00000355</t>
  </si>
  <si>
    <t>A00001937</t>
  </si>
  <si>
    <t>PLC00006117</t>
  </si>
  <si>
    <t>TXN00000359</t>
  </si>
  <si>
    <t>A00003819</t>
  </si>
  <si>
    <t>PLC00004418</t>
  </si>
  <si>
    <t>TXN00000360</t>
  </si>
  <si>
    <t>A00002171</t>
  </si>
  <si>
    <t>PLC00003975</t>
  </si>
  <si>
    <t>TXN00000363</t>
  </si>
  <si>
    <t>A00000361</t>
  </si>
  <si>
    <t>PLC00006086</t>
  </si>
  <si>
    <t>TXN00000367</t>
  </si>
  <si>
    <t>A00000595</t>
  </si>
  <si>
    <t>PLC00007959</t>
  </si>
  <si>
    <t>TXN00000370</t>
  </si>
  <si>
    <t>A00001993</t>
  </si>
  <si>
    <t>PLC00005842</t>
  </si>
  <si>
    <t>TXN00000377</t>
  </si>
  <si>
    <t>A00004912</t>
  </si>
  <si>
    <t>PLC00005411</t>
  </si>
  <si>
    <t>TXN00000390</t>
  </si>
  <si>
    <t>A00005419</t>
  </si>
  <si>
    <t>PLC00001083</t>
  </si>
  <si>
    <t>TXN00000394</t>
  </si>
  <si>
    <t>A00001168</t>
  </si>
  <si>
    <t>PLC00001674</t>
  </si>
  <si>
    <t>TXN00000397</t>
  </si>
  <si>
    <t>A00001361</t>
  </si>
  <si>
    <t>PLC00002947</t>
  </si>
  <si>
    <t>TXN00000411</t>
  </si>
  <si>
    <t>A00008554</t>
  </si>
  <si>
    <t>PLC00005893</t>
  </si>
  <si>
    <t>TXN00000415</t>
  </si>
  <si>
    <t>A00003620</t>
  </si>
  <si>
    <t>PLC00006226</t>
  </si>
  <si>
    <t>TXN00000420</t>
  </si>
  <si>
    <t>A00008078</t>
  </si>
  <si>
    <t>PLC00009482</t>
  </si>
  <si>
    <t>TXN00000426</t>
  </si>
  <si>
    <t>A00009851</t>
  </si>
  <si>
    <t>PLC00005491</t>
  </si>
  <si>
    <t>TXN00000435</t>
  </si>
  <si>
    <t>A00000274</t>
  </si>
  <si>
    <t>PLC00009030</t>
  </si>
  <si>
    <t>TXN00000443</t>
  </si>
  <si>
    <t>A00000160</t>
  </si>
  <si>
    <t>PLC00000700</t>
  </si>
  <si>
    <t>TXN00000452</t>
  </si>
  <si>
    <t>A00000545</t>
  </si>
  <si>
    <t>PLC00002749</t>
  </si>
  <si>
    <t>TXN00000456</t>
  </si>
  <si>
    <t>A00001467</t>
  </si>
  <si>
    <t>PLC00004347</t>
  </si>
  <si>
    <t>TXN00000463</t>
  </si>
  <si>
    <t>A00007415</t>
  </si>
  <si>
    <t>PLC00009619</t>
  </si>
  <si>
    <t>TXN00000468</t>
  </si>
  <si>
    <t>A00008191</t>
  </si>
  <si>
    <t>PLC00000172</t>
  </si>
  <si>
    <t>TXN00000469</t>
  </si>
  <si>
    <t>A00008983</t>
  </si>
  <si>
    <t>PLC00004799</t>
  </si>
  <si>
    <t>TXN00000472</t>
  </si>
  <si>
    <t>A00001023</t>
  </si>
  <si>
    <t>PLC00007554</t>
  </si>
  <si>
    <t>TXN00000476</t>
  </si>
  <si>
    <t>A00007778</t>
  </si>
  <si>
    <t>PLC00009926</t>
  </si>
  <si>
    <t>TXN00000477</t>
  </si>
  <si>
    <t>A00002528</t>
  </si>
  <si>
    <t>PLC00004774</t>
  </si>
  <si>
    <t>TXN00000478</t>
  </si>
  <si>
    <t>A00001799</t>
  </si>
  <si>
    <t>PLC00002320</t>
  </si>
  <si>
    <t>TXN00000479</t>
  </si>
  <si>
    <t>A00003263</t>
  </si>
  <si>
    <t>PLC00009140</t>
  </si>
  <si>
    <t>TXN00000484</t>
  </si>
  <si>
    <t>A00001026</t>
  </si>
  <si>
    <t>PLC00005766</t>
  </si>
  <si>
    <t>TXN00000489</t>
  </si>
  <si>
    <t>A00000666</t>
  </si>
  <si>
    <t>PLC00007109</t>
  </si>
  <si>
    <t>TXN00000490</t>
  </si>
  <si>
    <t>A00007897</t>
  </si>
  <si>
    <t>PLC00004751</t>
  </si>
  <si>
    <t>TXN00000498</t>
  </si>
  <si>
    <t>A00001456</t>
  </si>
  <si>
    <t>PLC00006280</t>
  </si>
  <si>
    <t>TXN00000501</t>
  </si>
  <si>
    <t>A00009449</t>
  </si>
  <si>
    <t>PLC00006895</t>
  </si>
  <si>
    <t>TXN00000509</t>
  </si>
  <si>
    <t>A00006320</t>
  </si>
  <si>
    <t>PLC00000500</t>
  </si>
  <si>
    <t>TXN00000512</t>
  </si>
  <si>
    <t>A00008672</t>
  </si>
  <si>
    <t>PLC00000076</t>
  </si>
  <si>
    <t>TXN00000522</t>
  </si>
  <si>
    <t>A00009349</t>
  </si>
  <si>
    <t>PLC00007278</t>
  </si>
  <si>
    <t>TXN00000528</t>
  </si>
  <si>
    <t>A00004135</t>
  </si>
  <si>
    <t>PLC00004698</t>
  </si>
  <si>
    <t>TXN00000556</t>
  </si>
  <si>
    <t>A00000337</t>
  </si>
  <si>
    <t>PLC00004791</t>
  </si>
  <si>
    <t>TXN00000562</t>
  </si>
  <si>
    <t>A00000438</t>
  </si>
  <si>
    <t>PLC00008018</t>
  </si>
  <si>
    <t>TXN00000564</t>
  </si>
  <si>
    <t>A00005870</t>
  </si>
  <si>
    <t>PLC00007774</t>
  </si>
  <si>
    <t>TXN00000568</t>
  </si>
  <si>
    <t>A00002301</t>
  </si>
  <si>
    <t>PLC00007142</t>
  </si>
  <si>
    <t>TXN00000570</t>
  </si>
  <si>
    <t>A00007489</t>
  </si>
  <si>
    <t>PLC00003240</t>
  </si>
  <si>
    <t>TXN00000578</t>
  </si>
  <si>
    <t>A00000228</t>
  </si>
  <si>
    <t>PLC00008897</t>
  </si>
  <si>
    <t>TXN00000587</t>
  </si>
  <si>
    <t>A00002335</t>
  </si>
  <si>
    <t>PLC00007057</t>
  </si>
  <si>
    <t>TXN00000597</t>
  </si>
  <si>
    <t>A00007864</t>
  </si>
  <si>
    <t>PLC00005176</t>
  </si>
  <si>
    <t>TXN00000600</t>
  </si>
  <si>
    <t>A00001115</t>
  </si>
  <si>
    <t>PLC00008679</t>
  </si>
  <si>
    <t>TXN00000604</t>
  </si>
  <si>
    <t>A00007259</t>
  </si>
  <si>
    <t>PLC00009795</t>
  </si>
  <si>
    <t>TXN00000608</t>
  </si>
  <si>
    <t>A00001945</t>
  </si>
  <si>
    <t>PLC00004394</t>
  </si>
  <si>
    <t>TXN00000609</t>
  </si>
  <si>
    <t>A00000852</t>
  </si>
  <si>
    <t>PLC00005194</t>
  </si>
  <si>
    <t>TXN00000611</t>
  </si>
  <si>
    <t>A00002487</t>
  </si>
  <si>
    <t>PLC00009311</t>
  </si>
  <si>
    <t>TXN00000622</t>
  </si>
  <si>
    <t>A00008234</t>
  </si>
  <si>
    <t>PLC00008574</t>
  </si>
  <si>
    <t>TXN00000637</t>
  </si>
  <si>
    <t>A00004690</t>
  </si>
  <si>
    <t>PLC00009543</t>
  </si>
  <si>
    <t>TXN00000650</t>
  </si>
  <si>
    <t>A00007120</t>
  </si>
  <si>
    <t>PLC00009672</t>
  </si>
  <si>
    <t>TXN00000653</t>
  </si>
  <si>
    <t>A00001656</t>
  </si>
  <si>
    <t>PLC00003005</t>
  </si>
  <si>
    <t>TXN00000662</t>
  </si>
  <si>
    <t>A00002959</t>
  </si>
  <si>
    <t>PLC00005123</t>
  </si>
  <si>
    <t>TXN00000666</t>
  </si>
  <si>
    <t>A00007542</t>
  </si>
  <si>
    <t>PLC00001933</t>
  </si>
  <si>
    <t>TXN00000678</t>
  </si>
  <si>
    <t>A00009900</t>
  </si>
  <si>
    <t>PLC00009950</t>
  </si>
  <si>
    <t>TXN00000682</t>
  </si>
  <si>
    <t>A00009642</t>
  </si>
  <si>
    <t>PLC00000630</t>
  </si>
  <si>
    <t>TXN00000688</t>
  </si>
  <si>
    <t>A00004998</t>
  </si>
  <si>
    <t>PLC00001772</t>
  </si>
  <si>
    <t>TXN00000698</t>
  </si>
  <si>
    <t>A00002708</t>
  </si>
  <si>
    <t>PLC00003500</t>
  </si>
  <si>
    <t>TXN00000791</t>
  </si>
  <si>
    <t>A00006049</t>
  </si>
  <si>
    <t>PLC00004589</t>
  </si>
  <si>
    <t>TXN00000703</t>
  </si>
  <si>
    <t>A00007375</t>
  </si>
  <si>
    <t>PLC00001415</t>
  </si>
  <si>
    <t>TXN00000715</t>
  </si>
  <si>
    <t>A00000312</t>
  </si>
  <si>
    <t>PLC00008512</t>
  </si>
  <si>
    <t>TXN00000719</t>
  </si>
  <si>
    <t>A00001874</t>
  </si>
  <si>
    <t>PLC00004707</t>
  </si>
  <si>
    <t>TXN00000724</t>
  </si>
  <si>
    <t>A00009125</t>
  </si>
  <si>
    <t>PLC00003443</t>
  </si>
  <si>
    <t>TXN00000725</t>
  </si>
  <si>
    <t>A00003190</t>
  </si>
  <si>
    <t>PLC00005336</t>
  </si>
  <si>
    <t>TXN00000735</t>
  </si>
  <si>
    <t>A00008548</t>
  </si>
  <si>
    <t>PLC00008967</t>
  </si>
  <si>
    <t>TXN00000741</t>
  </si>
  <si>
    <t>A00008088</t>
  </si>
  <si>
    <t>PLC00005530</t>
  </si>
  <si>
    <t>TXN00000748</t>
  </si>
  <si>
    <t>A00003854</t>
  </si>
  <si>
    <t>PLC00003676</t>
  </si>
  <si>
    <t>TXN00000749</t>
  </si>
  <si>
    <t>A00007302</t>
  </si>
  <si>
    <t>PLC00003013</t>
  </si>
  <si>
    <t>TXN00000756</t>
  </si>
  <si>
    <t>A00006467</t>
  </si>
  <si>
    <t>PLC00007462</t>
  </si>
  <si>
    <t>TXN00000763</t>
  </si>
  <si>
    <t>A00008232</t>
  </si>
  <si>
    <t>PLC00000364</t>
  </si>
  <si>
    <t>TXN00000767</t>
  </si>
  <si>
    <t>A00003481</t>
  </si>
  <si>
    <t>PLC00003381</t>
  </si>
  <si>
    <t>TXN00000768</t>
  </si>
  <si>
    <t>A00004551</t>
  </si>
  <si>
    <t>PLC00002004</t>
  </si>
  <si>
    <t>TXN00000781</t>
  </si>
  <si>
    <t>A00007395</t>
  </si>
  <si>
    <t>PLC00001959</t>
  </si>
  <si>
    <t>TXN00000788</t>
  </si>
  <si>
    <t>A00003700</t>
  </si>
  <si>
    <t>PLC00003455</t>
  </si>
  <si>
    <t>TXN00000795</t>
  </si>
  <si>
    <t>A00008555</t>
  </si>
  <si>
    <t>PLC00003869</t>
  </si>
  <si>
    <t>TXN00000799</t>
  </si>
  <si>
    <t>A00000115</t>
  </si>
  <si>
    <t>PLC00002194</t>
  </si>
  <si>
    <t>TXN00000806</t>
  </si>
  <si>
    <t>A00009509</t>
  </si>
  <si>
    <t>PLC00004341</t>
  </si>
  <si>
    <t>TXN00000807</t>
  </si>
  <si>
    <t>A00000572</t>
  </si>
  <si>
    <t>PLC00006297</t>
  </si>
  <si>
    <t>TXN00000814</t>
  </si>
  <si>
    <t>A00003220</t>
  </si>
  <si>
    <t>PLC00004901</t>
  </si>
  <si>
    <t>TXN00000817</t>
  </si>
  <si>
    <t>A00005096</t>
  </si>
  <si>
    <t>PLC00005856</t>
  </si>
  <si>
    <t>TXN00000822</t>
  </si>
  <si>
    <t>A00003163</t>
  </si>
  <si>
    <t>PLC00006114</t>
  </si>
  <si>
    <t>TXN00000837</t>
  </si>
  <si>
    <t>A00002765</t>
  </si>
  <si>
    <t>PLC00002752</t>
  </si>
  <si>
    <t>TXN00000838</t>
  </si>
  <si>
    <t>A00002014</t>
  </si>
  <si>
    <t>PLC00001575</t>
  </si>
  <si>
    <t>TXN00000852</t>
  </si>
  <si>
    <t>A00006579</t>
  </si>
  <si>
    <t>PLC00001377</t>
  </si>
  <si>
    <t>TXN00000853</t>
  </si>
  <si>
    <t>A00002587</t>
  </si>
  <si>
    <t>PLC00005148</t>
  </si>
  <si>
    <t>TXN00000869</t>
  </si>
  <si>
    <t>A00009654</t>
  </si>
  <si>
    <t>PLC00000300</t>
  </si>
  <si>
    <t>TXN00000871</t>
  </si>
  <si>
    <t>A00003272</t>
  </si>
  <si>
    <t>PLC00000764</t>
  </si>
  <si>
    <t>TXN00000877</t>
  </si>
  <si>
    <t>A00004546</t>
  </si>
  <si>
    <t>PLC00005762</t>
  </si>
  <si>
    <t>TXN00000889</t>
  </si>
  <si>
    <t>A00009972</t>
  </si>
  <si>
    <t>PLC00003603</t>
  </si>
  <si>
    <t>TXN00000904</t>
  </si>
  <si>
    <t>A00000979</t>
  </si>
  <si>
    <t>PLC00009111</t>
  </si>
  <si>
    <t>TXN00000906</t>
  </si>
  <si>
    <t>A00008386</t>
  </si>
  <si>
    <t>PLC00000022</t>
  </si>
  <si>
    <t>TXN00000909</t>
  </si>
  <si>
    <t>A00005646</t>
  </si>
  <si>
    <t>PLC00004252</t>
  </si>
  <si>
    <t>TXN00000919</t>
  </si>
  <si>
    <t>A00008654</t>
  </si>
  <si>
    <t>PLC00009673</t>
  </si>
  <si>
    <t>TXN00000920</t>
  </si>
  <si>
    <t>A00007031</t>
  </si>
  <si>
    <t>PLC00006349</t>
  </si>
  <si>
    <t>TXN00000928</t>
  </si>
  <si>
    <t>A00006578</t>
  </si>
  <si>
    <t>PLC00007691</t>
  </si>
  <si>
    <t>TXN00000931</t>
  </si>
  <si>
    <t>A00009146</t>
  </si>
  <si>
    <t>PLC00002063</t>
  </si>
  <si>
    <t>TXN00000942</t>
  </si>
  <si>
    <t>A00000374</t>
  </si>
  <si>
    <t>PLC00005252</t>
  </si>
  <si>
    <t>TXN00000944</t>
  </si>
  <si>
    <t>A00002098</t>
  </si>
  <si>
    <t>PLC00006184</t>
  </si>
  <si>
    <t>TXN00000950</t>
  </si>
  <si>
    <t>A00006354</t>
  </si>
  <si>
    <t>PLC00001945</t>
  </si>
  <si>
    <t>TXN00000956</t>
  </si>
  <si>
    <t>A00005356</t>
  </si>
  <si>
    <t>PLC00005171</t>
  </si>
  <si>
    <t>TXN00000957</t>
  </si>
  <si>
    <t>A00003067</t>
  </si>
  <si>
    <t>PLC00007511</t>
  </si>
  <si>
    <t>TXN00000961</t>
  </si>
  <si>
    <t>A00003931</t>
  </si>
  <si>
    <t>PLC00001834</t>
  </si>
  <si>
    <t>TXN00000966</t>
  </si>
  <si>
    <t>A00001335</t>
  </si>
  <si>
    <t>PLC00006049</t>
  </si>
  <si>
    <t>TXN00000986</t>
  </si>
  <si>
    <t>A00007199</t>
  </si>
  <si>
    <t>PLC00009425</t>
  </si>
  <si>
    <t>TXN00000990</t>
  </si>
  <si>
    <t>A00002893</t>
  </si>
  <si>
    <t>PLC00005368</t>
  </si>
  <si>
    <t>TXN00000994</t>
  </si>
  <si>
    <t>A00004849</t>
  </si>
  <si>
    <t>PLC00004241</t>
  </si>
  <si>
    <t>TXN00002031</t>
  </si>
  <si>
    <t>A00000664</t>
  </si>
  <si>
    <t>PLC00003653</t>
  </si>
  <si>
    <t>TXN00001013</t>
  </si>
  <si>
    <t>A00006885</t>
  </si>
  <si>
    <t>PLC00007885</t>
  </si>
  <si>
    <t>TXN00001034</t>
  </si>
  <si>
    <t>A00009129</t>
  </si>
  <si>
    <t>PLC00002571</t>
  </si>
  <si>
    <t>TXN00001035</t>
  </si>
  <si>
    <t>A00001605</t>
  </si>
  <si>
    <t>PLC00000909</t>
  </si>
  <si>
    <t>TXN00001042</t>
  </si>
  <si>
    <t>A00009272</t>
  </si>
  <si>
    <t>PLC00002471</t>
  </si>
  <si>
    <t>TXN00001046</t>
  </si>
  <si>
    <t>A00005561</t>
  </si>
  <si>
    <t>PLC00000675</t>
  </si>
  <si>
    <t>TXN00001047</t>
  </si>
  <si>
    <t>A00007484</t>
  </si>
  <si>
    <t>PLC00008039</t>
  </si>
  <si>
    <t>TXN00001062</t>
  </si>
  <si>
    <t>A00004440</t>
  </si>
  <si>
    <t>PLC00005234</t>
  </si>
  <si>
    <t>TXN00001071</t>
  </si>
  <si>
    <t>A00001040</t>
  </si>
  <si>
    <t>PLC00005278</t>
  </si>
  <si>
    <t>TXN00001076</t>
  </si>
  <si>
    <t>A00006657</t>
  </si>
  <si>
    <t>PLC00007614</t>
  </si>
  <si>
    <t>TXN00001080</t>
  </si>
  <si>
    <t>A00005877</t>
  </si>
  <si>
    <t>PLC00001174</t>
  </si>
  <si>
    <t>TXN00001082</t>
  </si>
  <si>
    <t>A00003321</t>
  </si>
  <si>
    <t>PLC00001277</t>
  </si>
  <si>
    <t>TXN00001103</t>
  </si>
  <si>
    <t>A00001364</t>
  </si>
  <si>
    <t>PLC00002131</t>
  </si>
  <si>
    <t>TXN00001104</t>
  </si>
  <si>
    <t>A00005690</t>
  </si>
  <si>
    <t>PLC00006145</t>
  </si>
  <si>
    <t>TXN00001114</t>
  </si>
  <si>
    <t>A00009355</t>
  </si>
  <si>
    <t>PLC00004204</t>
  </si>
  <si>
    <t>TXN00001119</t>
  </si>
  <si>
    <t>A00000281</t>
  </si>
  <si>
    <t>PLC00006959</t>
  </si>
  <si>
    <t>TXN00001128</t>
  </si>
  <si>
    <t>A00008487</t>
  </si>
  <si>
    <t>PLC00000271</t>
  </si>
  <si>
    <t>TXN00001136</t>
  </si>
  <si>
    <t>A00009484</t>
  </si>
  <si>
    <t>PLC00004994</t>
  </si>
  <si>
    <t>TXN00001139</t>
  </si>
  <si>
    <t>A00002847</t>
  </si>
  <si>
    <t>PLC00007752</t>
  </si>
  <si>
    <t>TXN00001147</t>
  </si>
  <si>
    <t>A00001725</t>
  </si>
  <si>
    <t>PLC00004468</t>
  </si>
  <si>
    <t>TXN00001149</t>
  </si>
  <si>
    <t>A00002751</t>
  </si>
  <si>
    <t>PLC00003084</t>
  </si>
  <si>
    <t>TXN00001154</t>
  </si>
  <si>
    <t>A00006871</t>
  </si>
  <si>
    <t>PLC00001901</t>
  </si>
  <si>
    <t>TXN00001155</t>
  </si>
  <si>
    <t>A00007364</t>
  </si>
  <si>
    <t>PLC00003643</t>
  </si>
  <si>
    <t>TXN00001158</t>
  </si>
  <si>
    <t>A00006400</t>
  </si>
  <si>
    <t>PLC00004275</t>
  </si>
  <si>
    <t>TXN00001159</t>
  </si>
  <si>
    <t>A00001687</t>
  </si>
  <si>
    <t>PLC00003968</t>
  </si>
  <si>
    <t>TXN00001160</t>
  </si>
  <si>
    <t>A00001015</t>
  </si>
  <si>
    <t>PLC00009833</t>
  </si>
  <si>
    <t>TXN00001161</t>
  </si>
  <si>
    <t>A00003142</t>
  </si>
  <si>
    <t>PLC00002337</t>
  </si>
  <si>
    <t>TXN00001168</t>
  </si>
  <si>
    <t>A00009732</t>
  </si>
  <si>
    <t>PLC00009606</t>
  </si>
  <si>
    <t>TXN00001179</t>
  </si>
  <si>
    <t>A00001014</t>
  </si>
  <si>
    <t>PLC00000823</t>
  </si>
  <si>
    <t>TXN00001185</t>
  </si>
  <si>
    <t>A00000029</t>
  </si>
  <si>
    <t>PLC00008738</t>
  </si>
  <si>
    <t>TXN00001186</t>
  </si>
  <si>
    <t>A00005799</t>
  </si>
  <si>
    <t>PLC00004151</t>
  </si>
  <si>
    <t>TXN00001189</t>
  </si>
  <si>
    <t>A00006926</t>
  </si>
  <si>
    <t>PLC00004605</t>
  </si>
  <si>
    <t>TXN00001190</t>
  </si>
  <si>
    <t>A00006186</t>
  </si>
  <si>
    <t>PLC00006294</t>
  </si>
  <si>
    <t>TXN00001195</t>
  </si>
  <si>
    <t>A00009071</t>
  </si>
  <si>
    <t>PLC00002513</t>
  </si>
  <si>
    <t>TXN00001196</t>
  </si>
  <si>
    <t>A00007646</t>
  </si>
  <si>
    <t>PLC00009461</t>
  </si>
  <si>
    <t>TXN00001205</t>
  </si>
  <si>
    <t>A00006192</t>
  </si>
  <si>
    <t>PLC00006865</t>
  </si>
  <si>
    <t>TXN00001211</t>
  </si>
  <si>
    <t>A00003678</t>
  </si>
  <si>
    <t>PLC00004635</t>
  </si>
  <si>
    <t>TXN00001217</t>
  </si>
  <si>
    <t>A00003752</t>
  </si>
  <si>
    <t>PLC00004795</t>
  </si>
  <si>
    <t>TXN00001218</t>
  </si>
  <si>
    <t>A00005817</t>
  </si>
  <si>
    <t>PLC00003162</t>
  </si>
  <si>
    <t>TXN00001227</t>
  </si>
  <si>
    <t>A00004878</t>
  </si>
  <si>
    <t>PLC00003255</t>
  </si>
  <si>
    <t>TXN00001230</t>
  </si>
  <si>
    <t>A00002062</t>
  </si>
  <si>
    <t>PLC00006725</t>
  </si>
  <si>
    <t>TXN00001236</t>
  </si>
  <si>
    <t>A00000056</t>
  </si>
  <si>
    <t>PLC00004497</t>
  </si>
  <si>
    <t>TXN00001237</t>
  </si>
  <si>
    <t>A00004909</t>
  </si>
  <si>
    <t>PLC00005642</t>
  </si>
  <si>
    <t>TXN00001239</t>
  </si>
  <si>
    <t>A00000373</t>
  </si>
  <si>
    <t>PLC00004738</t>
  </si>
  <si>
    <t>TXN00001242</t>
  </si>
  <si>
    <t>A00001136</t>
  </si>
  <si>
    <t>PLC00009638</t>
  </si>
  <si>
    <t>TXN00001244</t>
  </si>
  <si>
    <t>A00008328</t>
  </si>
  <si>
    <t>PLC00008568</t>
  </si>
  <si>
    <t>TXN00001249</t>
  </si>
  <si>
    <t>A00008830</t>
  </si>
  <si>
    <t>PLC00002003</t>
  </si>
  <si>
    <t>TXN00001250</t>
  </si>
  <si>
    <t>A00005537</t>
  </si>
  <si>
    <t>PLC00005049</t>
  </si>
  <si>
    <t>TXN00001255</t>
  </si>
  <si>
    <t>A00000200</t>
  </si>
  <si>
    <t>PLC00006617</t>
  </si>
  <si>
    <t>TXN00001256</t>
  </si>
  <si>
    <t>A00005700</t>
  </si>
  <si>
    <t>PLC00008638</t>
  </si>
  <si>
    <t>TXN00001260</t>
  </si>
  <si>
    <t>A00008512</t>
  </si>
  <si>
    <t>PLC00008390</t>
  </si>
  <si>
    <t>TXN00001272</t>
  </si>
  <si>
    <t>A00000763</t>
  </si>
  <si>
    <t>PLC00001703</t>
  </si>
  <si>
    <t>TXN00001276</t>
  </si>
  <si>
    <t>A00003464</t>
  </si>
  <si>
    <t>PLC00005102</t>
  </si>
  <si>
    <t>TXN00001279</t>
  </si>
  <si>
    <t>A00003869</t>
  </si>
  <si>
    <t>PLC00008177</t>
  </si>
  <si>
    <t>TXN00001286</t>
  </si>
  <si>
    <t>A00004129</t>
  </si>
  <si>
    <t>PLC00002205</t>
  </si>
  <si>
    <t>TXN00001288</t>
  </si>
  <si>
    <t>A00002888</t>
  </si>
  <si>
    <t>PLC00001401</t>
  </si>
  <si>
    <t>TXN00001293</t>
  </si>
  <si>
    <t>A00004523</t>
  </si>
  <si>
    <t>PLC00003083</t>
  </si>
  <si>
    <t>TXN00001294</t>
  </si>
  <si>
    <t>A00002809</t>
  </si>
  <si>
    <t>PLC00001126</t>
  </si>
  <si>
    <t>TXN00001300</t>
  </si>
  <si>
    <t>A00006162</t>
  </si>
  <si>
    <t>PLC00006134</t>
  </si>
  <si>
    <t>TXN00001319</t>
  </si>
  <si>
    <t>A00006055</t>
  </si>
  <si>
    <t>PLC00001657</t>
  </si>
  <si>
    <t>TXN00001321</t>
  </si>
  <si>
    <t>A00003950</t>
  </si>
  <si>
    <t>PLC00005968</t>
  </si>
  <si>
    <t>TXN00001327</t>
  </si>
  <si>
    <t>A00002130</t>
  </si>
  <si>
    <t>PLC00000960</t>
  </si>
  <si>
    <t>TXN00001331</t>
  </si>
  <si>
    <t>A00007989</t>
  </si>
  <si>
    <t>PLC00004571</t>
  </si>
  <si>
    <t>TXN00001333</t>
  </si>
  <si>
    <t>A00004166</t>
  </si>
  <si>
    <t>PLC00000234</t>
  </si>
  <si>
    <t>TXN00001335</t>
  </si>
  <si>
    <t>A00009287</t>
  </si>
  <si>
    <t>PLC00004396</t>
  </si>
  <si>
    <t>TXN00001348</t>
  </si>
  <si>
    <t>A00009243</t>
  </si>
  <si>
    <t>PLC00005997</t>
  </si>
  <si>
    <t>TXN00001349</t>
  </si>
  <si>
    <t>A00004627</t>
  </si>
  <si>
    <t>PLC00002378</t>
  </si>
  <si>
    <t>TXN00001352</t>
  </si>
  <si>
    <t>A00006958</t>
  </si>
  <si>
    <t>PLC00001504</t>
  </si>
  <si>
    <t>TXN00001356</t>
  </si>
  <si>
    <t>A00004665</t>
  </si>
  <si>
    <t>PLC00004085</t>
  </si>
  <si>
    <t>TXN00001357</t>
  </si>
  <si>
    <t>A00005549</t>
  </si>
  <si>
    <t>PLC00009122</t>
  </si>
  <si>
    <t>TXN00001358</t>
  </si>
  <si>
    <t>A00003639</t>
  </si>
  <si>
    <t>PLC00001508</t>
  </si>
  <si>
    <t>TXN00001367</t>
  </si>
  <si>
    <t>A00002899</t>
  </si>
  <si>
    <t>PLC00003716</t>
  </si>
  <si>
    <t>TXN00001368</t>
  </si>
  <si>
    <t>A00008306</t>
  </si>
  <si>
    <t>PLC00007309</t>
  </si>
  <si>
    <t>TXN00001381</t>
  </si>
  <si>
    <t>A00000375</t>
  </si>
  <si>
    <t>PLC00007116</t>
  </si>
  <si>
    <t>TXN00001387</t>
  </si>
  <si>
    <t>A00005010</t>
  </si>
  <si>
    <t>PLC00003215</t>
  </si>
  <si>
    <t>TXN00001391</t>
  </si>
  <si>
    <t>A00009229</t>
  </si>
  <si>
    <t>PLC00005681</t>
  </si>
  <si>
    <t>TXN00001402</t>
  </si>
  <si>
    <t>A00008134</t>
  </si>
  <si>
    <t>PLC00002436</t>
  </si>
  <si>
    <t>TXN00001403</t>
  </si>
  <si>
    <t>A00002633</t>
  </si>
  <si>
    <t>PLC00001588</t>
  </si>
  <si>
    <t>TXN00001408</t>
  </si>
  <si>
    <t>A00005099</t>
  </si>
  <si>
    <t>PLC00004072</t>
  </si>
  <si>
    <t>TXN00001410</t>
  </si>
  <si>
    <t>A00001975</t>
  </si>
  <si>
    <t>PLC00002585</t>
  </si>
  <si>
    <t>TXN00001414</t>
  </si>
  <si>
    <t>A00006985</t>
  </si>
  <si>
    <t>PLC00008391</t>
  </si>
  <si>
    <t>TXN00001415</t>
  </si>
  <si>
    <t>A00007277</t>
  </si>
  <si>
    <t>PLC00008940</t>
  </si>
  <si>
    <t>TXN00001416</t>
  </si>
  <si>
    <t>A00003757</t>
  </si>
  <si>
    <t>PLC00003775</t>
  </si>
  <si>
    <t>TXN00001417</t>
  </si>
  <si>
    <t>A00004084</t>
  </si>
  <si>
    <t>PLC00006077</t>
  </si>
  <si>
    <t>TXN00001428</t>
  </si>
  <si>
    <t>A00003474</t>
  </si>
  <si>
    <t>PLC00002500</t>
  </si>
  <si>
    <t>TXN00001441</t>
  </si>
  <si>
    <t>A00008249</t>
  </si>
  <si>
    <t>PLC00005038</t>
  </si>
  <si>
    <t>TXN00001444</t>
  </si>
  <si>
    <t>A00007887</t>
  </si>
  <si>
    <t>PLC00000188</t>
  </si>
  <si>
    <t>TXN00001446</t>
  </si>
  <si>
    <t>A00009140</t>
  </si>
  <si>
    <t>PLC00008246</t>
  </si>
  <si>
    <t>TXN00001454</t>
  </si>
  <si>
    <t>A00005900</t>
  </si>
  <si>
    <t>PLC00003031</t>
  </si>
  <si>
    <t>TXN00001456</t>
  </si>
  <si>
    <t>A00009690</t>
  </si>
  <si>
    <t>PLC00008905</t>
  </si>
  <si>
    <t>TXN00001458</t>
  </si>
  <si>
    <t>A00003546</t>
  </si>
  <si>
    <t>PLC00003755</t>
  </si>
  <si>
    <t>TXN00001459</t>
  </si>
  <si>
    <t>A00000010</t>
  </si>
  <si>
    <t>PLC00007076</t>
  </si>
  <si>
    <t>TXN00001461</t>
  </si>
  <si>
    <t>A00007301</t>
  </si>
  <si>
    <t>PLC00007129</t>
  </si>
  <si>
    <t>TXN00001463</t>
  </si>
  <si>
    <t>A00005411</t>
  </si>
  <si>
    <t>PLC00005262</t>
  </si>
  <si>
    <t>TXN00001474</t>
  </si>
  <si>
    <t>A00004334</t>
  </si>
  <si>
    <t>PLC00008598</t>
  </si>
  <si>
    <t>TXN00001493</t>
  </si>
  <si>
    <t>A00000001</t>
  </si>
  <si>
    <t>PLC00003705</t>
  </si>
  <si>
    <t>TXN00001494</t>
  </si>
  <si>
    <t>A00001805</t>
  </si>
  <si>
    <t>PLC00003292</t>
  </si>
  <si>
    <t>TXN00001496</t>
  </si>
  <si>
    <t>A00007035</t>
  </si>
  <si>
    <t>PLC00002634</t>
  </si>
  <si>
    <t>TXN00001517</t>
  </si>
  <si>
    <t>A00000098</t>
  </si>
  <si>
    <t>PLC00006160</t>
  </si>
  <si>
    <t>TXN00001525</t>
  </si>
  <si>
    <t>A00006471</t>
  </si>
  <si>
    <t>PLC00000996</t>
  </si>
  <si>
    <t>TXN00001532</t>
  </si>
  <si>
    <t>A00002823</t>
  </si>
  <si>
    <t>PLC00008851</t>
  </si>
  <si>
    <t>TXN00001535</t>
  </si>
  <si>
    <t>A00003672</t>
  </si>
  <si>
    <t>PLC00000745</t>
  </si>
  <si>
    <t>TXN00001555</t>
  </si>
  <si>
    <t>A00006903</t>
  </si>
  <si>
    <t>PLC00002743</t>
  </si>
  <si>
    <t>TXN00001564</t>
  </si>
  <si>
    <t>A00006979</t>
  </si>
  <si>
    <t>PLC00005060</t>
  </si>
  <si>
    <t>TXN00001570</t>
  </si>
  <si>
    <t>A00002002</t>
  </si>
  <si>
    <t>PLC00009480</t>
  </si>
  <si>
    <t>TXN00001580</t>
  </si>
  <si>
    <t>A00005631</t>
  </si>
  <si>
    <t>PLC00002534</t>
  </si>
  <si>
    <t>TXN00001587</t>
  </si>
  <si>
    <t>A00000990</t>
  </si>
  <si>
    <t>PLC00005152</t>
  </si>
  <si>
    <t>TXN00001589</t>
  </si>
  <si>
    <t>A00006981</t>
  </si>
  <si>
    <t>PLC00002083</t>
  </si>
  <si>
    <t>TXN00001591</t>
  </si>
  <si>
    <t>A00002269</t>
  </si>
  <si>
    <t>PLC00006927</t>
  </si>
  <si>
    <t>TXN00001602</t>
  </si>
  <si>
    <t>A00008570</t>
  </si>
  <si>
    <t>PLC00000635</t>
  </si>
  <si>
    <t>TXN00001604</t>
  </si>
  <si>
    <t>A00001604</t>
  </si>
  <si>
    <t>PLC00002421</t>
  </si>
  <si>
    <t>TXN00001605</t>
  </si>
  <si>
    <t>A00003307</t>
  </si>
  <si>
    <t>PLC00009633</t>
  </si>
  <si>
    <t>TXN00001608</t>
  </si>
  <si>
    <t>A00002593</t>
  </si>
  <si>
    <t>PLC00006925</t>
  </si>
  <si>
    <t>TXN00001609</t>
  </si>
  <si>
    <t>A00006484</t>
  </si>
  <si>
    <t>PLC00006983</t>
  </si>
  <si>
    <t>TXN00001613</t>
  </si>
  <si>
    <t>A00001876</t>
  </si>
  <si>
    <t>PLC00000533</t>
  </si>
  <si>
    <t>TXN00001614</t>
  </si>
  <si>
    <t>A00008114</t>
  </si>
  <si>
    <t>PLC00009650</t>
  </si>
  <si>
    <t>TXN00001615</t>
  </si>
  <si>
    <t>A00004911</t>
  </si>
  <si>
    <t>PLC00000693</t>
  </si>
  <si>
    <t>TXN00001616</t>
  </si>
  <si>
    <t>A00002437</t>
  </si>
  <si>
    <t>PLC00005905</t>
  </si>
  <si>
    <t>TXN00001620</t>
  </si>
  <si>
    <t>A00002627</t>
  </si>
  <si>
    <t>PLC00008084</t>
  </si>
  <si>
    <t>TXN00001625</t>
  </si>
  <si>
    <t>A00006856</t>
  </si>
  <si>
    <t>PLC00004329</t>
  </si>
  <si>
    <t>TXN00001626</t>
  </si>
  <si>
    <t>A00006166</t>
  </si>
  <si>
    <t>PLC00004473</t>
  </si>
  <si>
    <t>TXN00001628</t>
  </si>
  <si>
    <t>A00001204</t>
  </si>
  <si>
    <t>PLC00000964</t>
  </si>
  <si>
    <t>TXN00001629</t>
  </si>
  <si>
    <t>A00007178</t>
  </si>
  <si>
    <t>PLC00006330</t>
  </si>
  <si>
    <t>TXN00001641</t>
  </si>
  <si>
    <t>A00009183</t>
  </si>
  <si>
    <t>PLC00006588</t>
  </si>
  <si>
    <t>TXN00001649</t>
  </si>
  <si>
    <t>A00000364</t>
  </si>
  <si>
    <t>PLC00007111</t>
  </si>
  <si>
    <t>TXN00001652</t>
  </si>
  <si>
    <t>A00002343</t>
  </si>
  <si>
    <t>PLC00000156</t>
  </si>
  <si>
    <t>TXN00001653</t>
  </si>
  <si>
    <t>A00003223</t>
  </si>
  <si>
    <t>PLC00009095</t>
  </si>
  <si>
    <t>TXN00001672</t>
  </si>
  <si>
    <t>A00008712</t>
  </si>
  <si>
    <t>PLC00002235</t>
  </si>
  <si>
    <t>TXN00001678</t>
  </si>
  <si>
    <t>A00000580</t>
  </si>
  <si>
    <t>PLC00002675</t>
  </si>
  <si>
    <t>TXN00001686</t>
  </si>
  <si>
    <t>A00000276</t>
  </si>
  <si>
    <t>PLC00003760</t>
  </si>
  <si>
    <t>TXN00001687</t>
  </si>
  <si>
    <t>A00004995</t>
  </si>
  <si>
    <t>PLC00007098</t>
  </si>
  <si>
    <t>TXN00001689</t>
  </si>
  <si>
    <t>A00005431</t>
  </si>
  <si>
    <t>PLC00003761</t>
  </si>
  <si>
    <t>TXN00001700</t>
  </si>
  <si>
    <t>A00007197</t>
  </si>
  <si>
    <t>PLC00008411</t>
  </si>
  <si>
    <t>TXN00001701</t>
  </si>
  <si>
    <t>A00004618</t>
  </si>
  <si>
    <t>PLC00004124</t>
  </si>
  <si>
    <t>TXN00001705</t>
  </si>
  <si>
    <t>A00001976</t>
  </si>
  <si>
    <t>PLC00004740</t>
  </si>
  <si>
    <t>TXN00001711</t>
  </si>
  <si>
    <t>A00009302</t>
  </si>
  <si>
    <t>PLC00008158</t>
  </si>
  <si>
    <t>TXN00001712</t>
  </si>
  <si>
    <t>A00005681</t>
  </si>
  <si>
    <t>PLC00009526</t>
  </si>
  <si>
    <t>TXN00001716</t>
  </si>
  <si>
    <t>A00007043</t>
  </si>
  <si>
    <t>PLC00006123</t>
  </si>
  <si>
    <t>TXN00001719</t>
  </si>
  <si>
    <t>A00004180</t>
  </si>
  <si>
    <t>PLC00008562</t>
  </si>
  <si>
    <t>TXN00001725</t>
  </si>
  <si>
    <t>A00005905</t>
  </si>
  <si>
    <t>PLC00003121</t>
  </si>
  <si>
    <t>TXN00001729</t>
  </si>
  <si>
    <t>A00005503</t>
  </si>
  <si>
    <t>PLC00000986</t>
  </si>
  <si>
    <t>TXN00001752</t>
  </si>
  <si>
    <t>A00006281</t>
  </si>
  <si>
    <t>PLC00007720</t>
  </si>
  <si>
    <t>TXN00001755</t>
  </si>
  <si>
    <t>A00002279</t>
  </si>
  <si>
    <t>PLC00009291</t>
  </si>
  <si>
    <t>TXN00001769</t>
  </si>
  <si>
    <t>A00001573</t>
  </si>
  <si>
    <t>PLC00006056</t>
  </si>
  <si>
    <t>TXN00001776</t>
  </si>
  <si>
    <t>A00007347</t>
  </si>
  <si>
    <t>PLC00000547</t>
  </si>
  <si>
    <t>TXN00001787</t>
  </si>
  <si>
    <t>A00000926</t>
  </si>
  <si>
    <t>PLC00005577</t>
  </si>
  <si>
    <t>TXN00001802</t>
  </si>
  <si>
    <t>A00001638</t>
  </si>
  <si>
    <t>PLC00007288</t>
  </si>
  <si>
    <t>TXN00001804</t>
  </si>
  <si>
    <t>A00002661</t>
  </si>
  <si>
    <t>PLC00000589</t>
  </si>
  <si>
    <t>TXN00001811</t>
  </si>
  <si>
    <t>A00001243</t>
  </si>
  <si>
    <t>PLC00008191</t>
  </si>
  <si>
    <t>TXN00001824</t>
  </si>
  <si>
    <t>A00008704</t>
  </si>
  <si>
    <t>PLC00001783</t>
  </si>
  <si>
    <t>TXN00001827</t>
  </si>
  <si>
    <t>A00006821</t>
  </si>
  <si>
    <t>PLC00009392</t>
  </si>
  <si>
    <t>TXN00001830</t>
  </si>
  <si>
    <t>A00007734</t>
  </si>
  <si>
    <t>PLC00001507</t>
  </si>
  <si>
    <t>TXN00001834</t>
  </si>
  <si>
    <t>A00008429</t>
  </si>
  <si>
    <t>PLC00001105</t>
  </si>
  <si>
    <t>TXN00001857</t>
  </si>
  <si>
    <t>A00000070</t>
  </si>
  <si>
    <t>PLC00002812</t>
  </si>
  <si>
    <t>TXN00001859</t>
  </si>
  <si>
    <t>A00002275</t>
  </si>
  <si>
    <t>PLC00005110</t>
  </si>
  <si>
    <t>TXN00001861</t>
  </si>
  <si>
    <t>A00009873</t>
  </si>
  <si>
    <t>PLC00005250</t>
  </si>
  <si>
    <t>TXN00001871</t>
  </si>
  <si>
    <t>A00005480</t>
  </si>
  <si>
    <t>PLC00005702</t>
  </si>
  <si>
    <t>TXN00001876</t>
  </si>
  <si>
    <t>A00002229</t>
  </si>
  <si>
    <t>PLC00002120</t>
  </si>
  <si>
    <t>TXN00001883</t>
  </si>
  <si>
    <t>A00007882</t>
  </si>
  <si>
    <t>PLC00002146</t>
  </si>
  <si>
    <t>TXN00001887</t>
  </si>
  <si>
    <t>A00007632</t>
  </si>
  <si>
    <t>PLC00000765</t>
  </si>
  <si>
    <t>TXN00001891</t>
  </si>
  <si>
    <t>A00009898</t>
  </si>
  <si>
    <t>PLC00002497</t>
  </si>
  <si>
    <t>TXN00001893</t>
  </si>
  <si>
    <t>A00001372</t>
  </si>
  <si>
    <t>PLC00009484</t>
  </si>
  <si>
    <t>TXN00001897</t>
  </si>
  <si>
    <t>A00004267</t>
  </si>
  <si>
    <t>PLC00007877</t>
  </si>
  <si>
    <t>TXN00001898</t>
  </si>
  <si>
    <t>A00005344</t>
  </si>
  <si>
    <t>PLC00007855</t>
  </si>
  <si>
    <t>TXN00001924</t>
  </si>
  <si>
    <t>A00002081</t>
  </si>
  <si>
    <t>PLC00008945</t>
  </si>
  <si>
    <t>TXN00001935</t>
  </si>
  <si>
    <t>A00003303</t>
  </si>
  <si>
    <t>PLC00003219</t>
  </si>
  <si>
    <t>TXN00001958</t>
  </si>
  <si>
    <t>A00000768</t>
  </si>
  <si>
    <t>PLC00004140</t>
  </si>
  <si>
    <t>TXN00001965</t>
  </si>
  <si>
    <t>A00006534</t>
  </si>
  <si>
    <t>PLC00007613</t>
  </si>
  <si>
    <t>TXN00001969</t>
  </si>
  <si>
    <t>A00004068</t>
  </si>
  <si>
    <t>PLC00000811</t>
  </si>
  <si>
    <t>TXN00001989</t>
  </si>
  <si>
    <t>A00001926</t>
  </si>
  <si>
    <t>PLC00004094</t>
  </si>
  <si>
    <t>TXN00001991</t>
  </si>
  <si>
    <t>A00004745</t>
  </si>
  <si>
    <t>PLC00004807</t>
  </si>
  <si>
    <t>TXN00001993</t>
  </si>
  <si>
    <t>A00008839</t>
  </si>
  <si>
    <t>PLC00000557</t>
  </si>
  <si>
    <t>TXN00001996</t>
  </si>
  <si>
    <t>A00006947</t>
  </si>
  <si>
    <t>PLC00002719</t>
  </si>
  <si>
    <t>TXN00001999</t>
  </si>
  <si>
    <t>A00007015</t>
  </si>
  <si>
    <t>PLC00007196</t>
  </si>
  <si>
    <t>TXN00002000</t>
  </si>
  <si>
    <t>A00003091</t>
  </si>
  <si>
    <t>PLC00002955</t>
  </si>
  <si>
    <t>TXN00002003</t>
  </si>
  <si>
    <t>A00003312</t>
  </si>
  <si>
    <t>PLC00001905</t>
  </si>
  <si>
    <t>TXN00002008</t>
  </si>
  <si>
    <t>A00000101</t>
  </si>
  <si>
    <t>PLC00005584</t>
  </si>
  <si>
    <t>TXN00002015</t>
  </si>
  <si>
    <t>A00002674</t>
  </si>
  <si>
    <t>PLC00001738</t>
  </si>
  <si>
    <t>TXN00002046</t>
  </si>
  <si>
    <t>A00001439</t>
  </si>
  <si>
    <t>PLC00001632</t>
  </si>
  <si>
    <t>TXN00002054</t>
  </si>
  <si>
    <t>A00004629</t>
  </si>
  <si>
    <t>PLC00008096</t>
  </si>
  <si>
    <t>TXN00002071</t>
  </si>
  <si>
    <t>A00004651</t>
  </si>
  <si>
    <t>PLC00000945</t>
  </si>
  <si>
    <t>TXN00002080</t>
  </si>
  <si>
    <t>A00006533</t>
  </si>
  <si>
    <t>PLC00001864</t>
  </si>
  <si>
    <t>TXN00002091</t>
  </si>
  <si>
    <t>A00008523</t>
  </si>
  <si>
    <t>PLC00000347</t>
  </si>
  <si>
    <t>TXN00002103</t>
  </si>
  <si>
    <t>A00007406</t>
  </si>
  <si>
    <t>PLC00008711</t>
  </si>
  <si>
    <t>TXN00002104</t>
  </si>
  <si>
    <t>A00006157</t>
  </si>
  <si>
    <t>PLC00008214</t>
  </si>
  <si>
    <t>TXN00002115</t>
  </si>
  <si>
    <t>A00000893</t>
  </si>
  <si>
    <t>PLC00006681</t>
  </si>
  <si>
    <t>TXN00002121</t>
  </si>
  <si>
    <t>A00008279</t>
  </si>
  <si>
    <t>PLC00003874</t>
  </si>
  <si>
    <t>TXN00002122</t>
  </si>
  <si>
    <t>A00004371</t>
  </si>
  <si>
    <t>PLC00002540</t>
  </si>
  <si>
    <t>TXN00002128</t>
  </si>
  <si>
    <t>A00006426</t>
  </si>
  <si>
    <t>PLC00006328</t>
  </si>
  <si>
    <t>TXN00002132</t>
  </si>
  <si>
    <t>A00009205</t>
  </si>
  <si>
    <t>PLC00009951</t>
  </si>
  <si>
    <t>TXN00002136</t>
  </si>
  <si>
    <t>A00002417</t>
  </si>
  <si>
    <t>PLC00009596</t>
  </si>
  <si>
    <t>TXN00002151</t>
  </si>
  <si>
    <t>A00003437</t>
  </si>
  <si>
    <t>PLC00008563</t>
  </si>
  <si>
    <t>TXN00002154</t>
  </si>
  <si>
    <t>A00006218</t>
  </si>
  <si>
    <t>PLC00003393</t>
  </si>
  <si>
    <t>TXN00002163</t>
  </si>
  <si>
    <t>A00000225</t>
  </si>
  <si>
    <t>PLC00004961</t>
  </si>
  <si>
    <t>TXN00002168</t>
  </si>
  <si>
    <t>A00005043</t>
  </si>
  <si>
    <t>PLC00001652</t>
  </si>
  <si>
    <t>TXN00002171</t>
  </si>
  <si>
    <t>A00007467</t>
  </si>
  <si>
    <t>PLC00001810</t>
  </si>
  <si>
    <t>TXN00002212</t>
  </si>
  <si>
    <t>A00003704</t>
  </si>
  <si>
    <t>PLC00003791</t>
  </si>
  <si>
    <t>TXN00002225</t>
  </si>
  <si>
    <t>A00007741</t>
  </si>
  <si>
    <t>PLC00008996</t>
  </si>
  <si>
    <t>TXN00002233</t>
  </si>
  <si>
    <t>A00000507</t>
  </si>
  <si>
    <t>PLC00003967</t>
  </si>
  <si>
    <t>TXN00002241</t>
  </si>
  <si>
    <t>A00008469</t>
  </si>
  <si>
    <t>PLC00003341</t>
  </si>
  <si>
    <t>TXN00002261</t>
  </si>
  <si>
    <t>A00009423</t>
  </si>
  <si>
    <t>PLC00004848</t>
  </si>
  <si>
    <t>TXN00002277</t>
  </si>
  <si>
    <t>A00001776</t>
  </si>
  <si>
    <t>PLC00004501</t>
  </si>
  <si>
    <t>TXN00002289</t>
  </si>
  <si>
    <t>A00002433</t>
  </si>
  <si>
    <t>PLC00000953</t>
  </si>
  <si>
    <t>TXN00002290</t>
  </si>
  <si>
    <t>A00007700</t>
  </si>
  <si>
    <t>PLC00006724</t>
  </si>
  <si>
    <t>TXN00002298</t>
  </si>
  <si>
    <t>A00007016</t>
  </si>
  <si>
    <t>PLC00008602</t>
  </si>
  <si>
    <t>TXN00002308</t>
  </si>
  <si>
    <t>A00000925</t>
  </si>
  <si>
    <t>PLC00007943</t>
  </si>
  <si>
    <t>TXN00002317</t>
  </si>
  <si>
    <t>A00007378</t>
  </si>
  <si>
    <t>PLC00009502</t>
  </si>
  <si>
    <t>TXN00002320</t>
  </si>
  <si>
    <t>A00008939</t>
  </si>
  <si>
    <t>PLC00003561</t>
  </si>
  <si>
    <t>TXN00002325</t>
  </si>
  <si>
    <t>A00004893</t>
  </si>
  <si>
    <t>PLC00000469</t>
  </si>
  <si>
    <t>TXN00002330</t>
  </si>
  <si>
    <t>A00006107</t>
  </si>
  <si>
    <t>PLC00004878</t>
  </si>
  <si>
    <t>TXN00002336</t>
  </si>
  <si>
    <t>A00004632</t>
  </si>
  <si>
    <t>PLC00000712</t>
  </si>
  <si>
    <t>TXN00002338</t>
  </si>
  <si>
    <t>A00007858</t>
  </si>
  <si>
    <t>PLC00000047</t>
  </si>
  <si>
    <t>TXN00002342</t>
  </si>
  <si>
    <t>A00002199</t>
  </si>
  <si>
    <t>PLC00006909</t>
  </si>
  <si>
    <t>TXN00002347</t>
  </si>
  <si>
    <t>A00004807</t>
  </si>
  <si>
    <t>PLC00002024</t>
  </si>
  <si>
    <t>TXN00002349</t>
  </si>
  <si>
    <t>A00007456</t>
  </si>
  <si>
    <t>PLC00007332</t>
  </si>
  <si>
    <t>TXN00002353</t>
  </si>
  <si>
    <t>A00008172</t>
  </si>
  <si>
    <t>PLC00004937</t>
  </si>
  <si>
    <t>TXN00002369</t>
  </si>
  <si>
    <t>A00002673</t>
  </si>
  <si>
    <t>PLC00008109</t>
  </si>
  <si>
    <t>TXN00002375</t>
  </si>
  <si>
    <t>A00008513</t>
  </si>
  <si>
    <t>PLC00005103</t>
  </si>
  <si>
    <t>TXN00002377</t>
  </si>
  <si>
    <t>A00000873</t>
  </si>
  <si>
    <t>PLC00002364</t>
  </si>
  <si>
    <t>TXN00002379</t>
  </si>
  <si>
    <t>A00006706</t>
  </si>
  <si>
    <t>PLC00005655</t>
  </si>
  <si>
    <t>TXN00002381</t>
  </si>
  <si>
    <t>A00008235</t>
  </si>
  <si>
    <t>PLC00008153</t>
  </si>
  <si>
    <t>TXN00002388</t>
  </si>
  <si>
    <t>A00007416</t>
  </si>
  <si>
    <t>PLC00000888</t>
  </si>
  <si>
    <t>TXN00002391</t>
  </si>
  <si>
    <t>A00006879</t>
  </si>
  <si>
    <t>PLC00002125</t>
  </si>
  <si>
    <t>TXN00002397</t>
  </si>
  <si>
    <t>A00006252</t>
  </si>
  <si>
    <t>PLC00007600</t>
  </si>
  <si>
    <t>TXN00002411</t>
  </si>
  <si>
    <t>A00009943</t>
  </si>
  <si>
    <t>PLC00003395</t>
  </si>
  <si>
    <t>TXN00002412</t>
  </si>
  <si>
    <t>A00007534</t>
  </si>
  <si>
    <t>PLC00008896</t>
  </si>
  <si>
    <t>TXN00002413</t>
  </si>
  <si>
    <t>A00004203</t>
  </si>
  <si>
    <t>PLC00001175</t>
  </si>
  <si>
    <t>TXN00002425</t>
  </si>
  <si>
    <t>A00001084</t>
  </si>
  <si>
    <t>PLC00008045</t>
  </si>
  <si>
    <t>TXN00002446</t>
  </si>
  <si>
    <t>A00005467</t>
  </si>
  <si>
    <t>PLC00008160</t>
  </si>
  <si>
    <t>TXN00002449</t>
  </si>
  <si>
    <t>A00009194</t>
  </si>
  <si>
    <t>PLC00002240</t>
  </si>
  <si>
    <t>TXN00002455</t>
  </si>
  <si>
    <t>A00003431</t>
  </si>
  <si>
    <t>PLC00008948</t>
  </si>
  <si>
    <t>TXN00002481</t>
  </si>
  <si>
    <t>A00008393</t>
  </si>
  <si>
    <t>PLC00005928</t>
  </si>
  <si>
    <t>TXN00002488</t>
  </si>
  <si>
    <t>A00009328</t>
  </si>
  <si>
    <t>PLC00001182</t>
  </si>
  <si>
    <t>TXN00002492</t>
  </si>
  <si>
    <t>A00002753</t>
  </si>
  <si>
    <t>PLC00004830</t>
  </si>
  <si>
    <t>TXN00002496</t>
  </si>
  <si>
    <t>A00004420</t>
  </si>
  <si>
    <t>PLC00004582</t>
  </si>
  <si>
    <t>TXN00002497</t>
  </si>
  <si>
    <t>A00002831</t>
  </si>
  <si>
    <t>PLC00005394</t>
  </si>
  <si>
    <t>TXN00002500</t>
  </si>
  <si>
    <t>A00000709</t>
  </si>
  <si>
    <t>PLC00005075</t>
  </si>
  <si>
    <t>TXN00002510</t>
  </si>
  <si>
    <t>A00000007</t>
  </si>
  <si>
    <t>PLC00000651</t>
  </si>
  <si>
    <t>TXN00002511</t>
  </si>
  <si>
    <t>A00008367</t>
  </si>
  <si>
    <t>PLC00005399</t>
  </si>
  <si>
    <t>TXN00002518</t>
  </si>
  <si>
    <t>A00009799</t>
  </si>
  <si>
    <t>PLC00002079</t>
  </si>
  <si>
    <t>TXN00002528</t>
  </si>
  <si>
    <t>A00003840</t>
  </si>
  <si>
    <t>PLC00003840</t>
  </si>
  <si>
    <t>TXN00002531</t>
  </si>
  <si>
    <t>A00009294</t>
  </si>
  <si>
    <t>PLC00000477</t>
  </si>
  <si>
    <t>TXN00002532</t>
  </si>
  <si>
    <t>A00004708</t>
  </si>
  <si>
    <t>PLC00007868</t>
  </si>
  <si>
    <t>TXN00002555</t>
  </si>
  <si>
    <t>A00006196</t>
  </si>
  <si>
    <t>PLC00009406</t>
  </si>
  <si>
    <t>TXN00002557</t>
  </si>
  <si>
    <t>A00009372</t>
  </si>
  <si>
    <t>PLC00000920</t>
  </si>
  <si>
    <t>TXN00002585</t>
  </si>
  <si>
    <t>A00005437</t>
  </si>
  <si>
    <t>PLC00007482</t>
  </si>
  <si>
    <t>TXN00002591</t>
  </si>
  <si>
    <t>A00009997</t>
  </si>
  <si>
    <t>PLC00002441</t>
  </si>
  <si>
    <t>TXN00002606</t>
  </si>
  <si>
    <t>A00005002</t>
  </si>
  <si>
    <t>PLC00004284</t>
  </si>
  <si>
    <t>TXN00002609</t>
  </si>
  <si>
    <t>A00006402</t>
  </si>
  <si>
    <t>PLC00003866</t>
  </si>
  <si>
    <t>TXN00002621</t>
  </si>
  <si>
    <t>A00000496</t>
  </si>
  <si>
    <t>PLC00006770</t>
  </si>
  <si>
    <t>TXN00002641</t>
  </si>
  <si>
    <t>A00008985</t>
  </si>
  <si>
    <t>PLC00002895</t>
  </si>
  <si>
    <t>TXN00002646</t>
  </si>
  <si>
    <t>A00004567</t>
  </si>
  <si>
    <t>PLC00005848</t>
  </si>
  <si>
    <t>TXN00002654</t>
  </si>
  <si>
    <t>A00003047</t>
  </si>
  <si>
    <t>PLC00004345</t>
  </si>
  <si>
    <t>TXN00002656</t>
  </si>
  <si>
    <t>A00006028</t>
  </si>
  <si>
    <t>PLC00009409</t>
  </si>
  <si>
    <t>TXN00002661</t>
  </si>
  <si>
    <t>A00002921</t>
  </si>
  <si>
    <t>PLC00001428</t>
  </si>
  <si>
    <t>TXN00002669</t>
  </si>
  <si>
    <t>A00008820</t>
  </si>
  <si>
    <t>PLC00004137</t>
  </si>
  <si>
    <t>TXN00002689</t>
  </si>
  <si>
    <t>A00007002</t>
  </si>
  <si>
    <t>PLC00004302</t>
  </si>
  <si>
    <t>TXN00002691</t>
  </si>
  <si>
    <t>A00009557</t>
  </si>
  <si>
    <t>PLC00004867</t>
  </si>
  <si>
    <t>TXN00002694</t>
  </si>
  <si>
    <t>A00004156</t>
  </si>
  <si>
    <t>PLC00007061</t>
  </si>
  <si>
    <t>TXN00002718</t>
  </si>
  <si>
    <t>A00009124</t>
  </si>
  <si>
    <t>PLC00000680</t>
  </si>
  <si>
    <t>TXN00002725</t>
  </si>
  <si>
    <t>A00006685</t>
  </si>
  <si>
    <t>PLC00002158</t>
  </si>
  <si>
    <t>TXN00002728</t>
  </si>
  <si>
    <t>A00007102</t>
  </si>
  <si>
    <t>PLC00004052</t>
  </si>
  <si>
    <t>TXN00002737</t>
  </si>
  <si>
    <t>A00009176</t>
  </si>
  <si>
    <t>PLC00007385</t>
  </si>
  <si>
    <t>TXN00002757</t>
  </si>
  <si>
    <t>A00002613</t>
  </si>
  <si>
    <t>PLC00009842</t>
  </si>
  <si>
    <t>TXN00002759</t>
  </si>
  <si>
    <t>A00008822</t>
  </si>
  <si>
    <t>PLC00009247</t>
  </si>
  <si>
    <t>TXN00002764</t>
  </si>
  <si>
    <t>A00006574</t>
  </si>
  <si>
    <t>PLC00003598</t>
  </si>
  <si>
    <t>TXN00002767</t>
  </si>
  <si>
    <t>A00005045</t>
  </si>
  <si>
    <t>PLC00005379</t>
  </si>
  <si>
    <t>TXN00002778</t>
  </si>
  <si>
    <t>A00007338</t>
  </si>
  <si>
    <t>PLC00001434</t>
  </si>
  <si>
    <t>TXN00002786</t>
  </si>
  <si>
    <t>A00009050</t>
  </si>
  <si>
    <t>PLC00009301</t>
  </si>
  <si>
    <t>TXN00002788</t>
  </si>
  <si>
    <t>A00003221</t>
  </si>
  <si>
    <t>PLC00002334</t>
  </si>
  <si>
    <t>TXN00002795</t>
  </si>
  <si>
    <t>A00007494</t>
  </si>
  <si>
    <t>PLC00004229</t>
  </si>
  <si>
    <t>TXN00002814</t>
  </si>
  <si>
    <t>A00009397</t>
  </si>
  <si>
    <t>PLC00005154</t>
  </si>
  <si>
    <t>TXN00002822</t>
  </si>
  <si>
    <t>A00003173</t>
  </si>
  <si>
    <t>PLC00009942</t>
  </si>
  <si>
    <t>TXN00002827</t>
  </si>
  <si>
    <t>A00009534</t>
  </si>
  <si>
    <t>PLC00003263</t>
  </si>
  <si>
    <t>TXN00002828</t>
  </si>
  <si>
    <t>A00008177</t>
  </si>
  <si>
    <t>PLC00002787</t>
  </si>
  <si>
    <t>TXN00002831</t>
  </si>
  <si>
    <t>A00005530</t>
  </si>
  <si>
    <t>PLC00001626</t>
  </si>
  <si>
    <t>TXN00002839</t>
  </si>
  <si>
    <t>A00009801</t>
  </si>
  <si>
    <t>PLC00007565</t>
  </si>
  <si>
    <t>TXN00002841</t>
  </si>
  <si>
    <t>A00004031</t>
  </si>
  <si>
    <t>PLC00009719</t>
  </si>
  <si>
    <t>TXN00002850</t>
  </si>
  <si>
    <t>A00008327</t>
  </si>
  <si>
    <t>PLC00001956</t>
  </si>
  <si>
    <t>TXN00002858</t>
  </si>
  <si>
    <t>A00005891</t>
  </si>
  <si>
    <t>PLC00004522</t>
  </si>
  <si>
    <t>TXN00002868</t>
  </si>
  <si>
    <t>A00009033</t>
  </si>
  <si>
    <t>PLC00004258</t>
  </si>
  <si>
    <t>TXN00002871</t>
  </si>
  <si>
    <t>A00005499</t>
  </si>
  <si>
    <t>PLC00003655</t>
  </si>
  <si>
    <t>TXN00002874</t>
  </si>
  <si>
    <t>A00001227</t>
  </si>
  <si>
    <t>PLC00008629</t>
  </si>
  <si>
    <t>TXN00002879</t>
  </si>
  <si>
    <t>A00007427</t>
  </si>
  <si>
    <t>PLC00006444</t>
  </si>
  <si>
    <t>TXN00002883</t>
  </si>
  <si>
    <t>A00008281</t>
  </si>
  <si>
    <t>PLC00007080</t>
  </si>
  <si>
    <t>TXN00002885</t>
  </si>
  <si>
    <t>A00002914</t>
  </si>
  <si>
    <t>PLC00003094</t>
  </si>
  <si>
    <t>TXN00002886</t>
  </si>
  <si>
    <t>A00007651</t>
  </si>
  <si>
    <t>PLC00002795</t>
  </si>
  <si>
    <t>TXN00002889</t>
  </si>
  <si>
    <t>A00007066</t>
  </si>
  <si>
    <t>PLC00006730</t>
  </si>
  <si>
    <t>TXN00002897</t>
  </si>
  <si>
    <t>A00003025</t>
  </si>
  <si>
    <t>PLC00000063</t>
  </si>
  <si>
    <t>TXN00002898</t>
  </si>
  <si>
    <t>A00007391</t>
  </si>
  <si>
    <t>PLC00004620</t>
  </si>
  <si>
    <t>TXN00002903</t>
  </si>
  <si>
    <t>A00007518</t>
  </si>
  <si>
    <t>PLC00000959</t>
  </si>
  <si>
    <t>TXN00002907</t>
  </si>
  <si>
    <t>A00001763</t>
  </si>
  <si>
    <t>PLC00005105</t>
  </si>
  <si>
    <t>TXN00002912</t>
  </si>
  <si>
    <t>A00008979</t>
  </si>
  <si>
    <t>PLC00009882</t>
  </si>
  <si>
    <t>TXN00002913</t>
  </si>
  <si>
    <t>A00004776</t>
  </si>
  <si>
    <t>PLC00007414</t>
  </si>
  <si>
    <t>TXN00002917</t>
  </si>
  <si>
    <t>A00009907</t>
  </si>
  <si>
    <t>PLC00001602</t>
  </si>
  <si>
    <t>TXN00002918</t>
  </si>
  <si>
    <t>A00005232</t>
  </si>
  <si>
    <t>PLC00009740</t>
  </si>
  <si>
    <t>TXN00002921</t>
  </si>
  <si>
    <t>A00007991</t>
  </si>
  <si>
    <t>PLC00004303</t>
  </si>
  <si>
    <t>TXN00002923</t>
  </si>
  <si>
    <t>A00001519</t>
  </si>
  <si>
    <t>PLC00007077</t>
  </si>
  <si>
    <t>TXN00002925</t>
  </si>
  <si>
    <t>A00003917</t>
  </si>
  <si>
    <t>PLC00003723</t>
  </si>
  <si>
    <t>TXN00002927</t>
  </si>
  <si>
    <t>A00003914</t>
  </si>
  <si>
    <t>PLC00000703</t>
  </si>
  <si>
    <t>TXN00002928</t>
  </si>
  <si>
    <t>A00006061</t>
  </si>
  <si>
    <t>PLC00004038</t>
  </si>
  <si>
    <t>TXN00002946</t>
  </si>
  <si>
    <t>A00009389</t>
  </si>
  <si>
    <t>PLC00009053</t>
  </si>
  <si>
    <t>TXN00002948</t>
  </si>
  <si>
    <t>A00009150</t>
  </si>
  <si>
    <t>PLC00001033</t>
  </si>
  <si>
    <t>TXN00002954</t>
  </si>
  <si>
    <t>A00002364</t>
  </si>
  <si>
    <t>PLC00005877</t>
  </si>
  <si>
    <t>TXN00002959</t>
  </si>
  <si>
    <t>A00007409</t>
  </si>
  <si>
    <t>PLC00001826</t>
  </si>
  <si>
    <t>TXN00002964</t>
  </si>
  <si>
    <t>A00003967</t>
  </si>
  <si>
    <t>PLC00003679</t>
  </si>
  <si>
    <t>TXN00002965</t>
  </si>
  <si>
    <t>A00009258</t>
  </si>
  <si>
    <t>PLC00002473</t>
  </si>
  <si>
    <t>TXN00002968</t>
  </si>
  <si>
    <t>A00006507</t>
  </si>
  <si>
    <t>PLC00003416</t>
  </si>
  <si>
    <t>TXN00002973</t>
  </si>
  <si>
    <t>A00001228</t>
  </si>
  <si>
    <t>PLC00001304</t>
  </si>
  <si>
    <t>TXN00002977</t>
  </si>
  <si>
    <t>A00007532</t>
  </si>
  <si>
    <t>PLC00008205</t>
  </si>
  <si>
    <t>TXN00002990</t>
  </si>
  <si>
    <t>A00003687</t>
  </si>
  <si>
    <t>PLC00000428</t>
  </si>
  <si>
    <t>TXN00003011</t>
  </si>
  <si>
    <t>A00009967</t>
  </si>
  <si>
    <t>PLC00000569</t>
  </si>
  <si>
    <t>TXN00003012</t>
  </si>
  <si>
    <t>A00002885</t>
  </si>
  <si>
    <t>PLC00001007</t>
  </si>
  <si>
    <t>TXN00003021</t>
  </si>
  <si>
    <t>A00008449</t>
  </si>
  <si>
    <t>PLC00008161</t>
  </si>
  <si>
    <t>TXN00003038</t>
  </si>
  <si>
    <t>A00006147</t>
  </si>
  <si>
    <t>PLC00009345</t>
  </si>
  <si>
    <t>TXN00003040</t>
  </si>
  <si>
    <t>A00000518</t>
  </si>
  <si>
    <t>PLC00005541</t>
  </si>
  <si>
    <t>TXN00003041</t>
  </si>
  <si>
    <t>A00004887</t>
  </si>
  <si>
    <t>PLC00007692</t>
  </si>
  <si>
    <t>TXN00003050</t>
  </si>
  <si>
    <t>A00003229</t>
  </si>
  <si>
    <t>PLC00008029</t>
  </si>
  <si>
    <t>TXN00003067</t>
  </si>
  <si>
    <t>A00007045</t>
  </si>
  <si>
    <t>PLC00000977</t>
  </si>
  <si>
    <t>TXN00003069</t>
  </si>
  <si>
    <t>A00009820</t>
  </si>
  <si>
    <t>PLC00002621</t>
  </si>
  <si>
    <t>TXN00003074</t>
  </si>
  <si>
    <t>A00002877</t>
  </si>
  <si>
    <t>PLC00006401</t>
  </si>
  <si>
    <t>TXN00003080</t>
  </si>
  <si>
    <t>A00007953</t>
  </si>
  <si>
    <t>PLC00001265</t>
  </si>
  <si>
    <t>TXN00003082</t>
  </si>
  <si>
    <t>A00000229</t>
  </si>
  <si>
    <t>PLC00006528</t>
  </si>
  <si>
    <t>TXN00003085</t>
  </si>
  <si>
    <t>A00004637</t>
  </si>
  <si>
    <t>PLC00008657</t>
  </si>
  <si>
    <t>TXN00003093</t>
  </si>
  <si>
    <t>A00002254</t>
  </si>
  <si>
    <t>PLC00000137</t>
  </si>
  <si>
    <t>TXN00003097</t>
  </si>
  <si>
    <t>A00003567</t>
  </si>
  <si>
    <t>PLC00009654</t>
  </si>
  <si>
    <t>TXN00003100</t>
  </si>
  <si>
    <t>A00001671</t>
  </si>
  <si>
    <t>PLC00004096</t>
  </si>
  <si>
    <t>TXN00003103</t>
  </si>
  <si>
    <t>A00005666</t>
  </si>
  <si>
    <t>PLC00003771</t>
  </si>
  <si>
    <t>TXN00003116</t>
  </si>
  <si>
    <t>A00002482</t>
  </si>
  <si>
    <t>PLC00006578</t>
  </si>
  <si>
    <t>TXN00003117</t>
  </si>
  <si>
    <t>A00006703</t>
  </si>
  <si>
    <t>PLC00006340</t>
  </si>
  <si>
    <t>TXN00003118</t>
  </si>
  <si>
    <t>A00001212</t>
  </si>
  <si>
    <t>PLC00007365</t>
  </si>
  <si>
    <t>TXN00003122</t>
  </si>
  <si>
    <t>A00003635</t>
  </si>
  <si>
    <t>PLC00002556</t>
  </si>
  <si>
    <t>TXN00003123</t>
  </si>
  <si>
    <t>A00004004</t>
  </si>
  <si>
    <t>PLC00006980</t>
  </si>
  <si>
    <t>TXN00003124</t>
  </si>
  <si>
    <t>A00001050</t>
  </si>
  <si>
    <t>PLC00004490</t>
  </si>
  <si>
    <t>TXN00003135</t>
  </si>
  <si>
    <t>A00003208</t>
  </si>
  <si>
    <t>PLC00004929</t>
  </si>
  <si>
    <t>TXN00003137</t>
  </si>
  <si>
    <t>A00005355</t>
  </si>
  <si>
    <t>PLC00002290</t>
  </si>
  <si>
    <t>TXN00003146</t>
  </si>
  <si>
    <t>A00009911</t>
  </si>
  <si>
    <t>PLC00005456</t>
  </si>
  <si>
    <t>TXN00003147</t>
  </si>
  <si>
    <t>A00001458</t>
  </si>
  <si>
    <t>PLC00006533</t>
  </si>
  <si>
    <t>TXN00003159</t>
  </si>
  <si>
    <t>A00001644</t>
  </si>
  <si>
    <t>PLC00005898</t>
  </si>
  <si>
    <t>TXN00003165</t>
  </si>
  <si>
    <t>A00002936</t>
  </si>
  <si>
    <t>PLC00006564</t>
  </si>
  <si>
    <t>TXN00003170</t>
  </si>
  <si>
    <t>A00006362</t>
  </si>
  <si>
    <t>PLC00007201</t>
  </si>
  <si>
    <t>TXN00003177</t>
  </si>
  <si>
    <t>A00000073</t>
  </si>
  <si>
    <t>PLC00004090</t>
  </si>
  <si>
    <t>TXN00003181</t>
  </si>
  <si>
    <t>A00003847</t>
  </si>
  <si>
    <t>PLC00008737</t>
  </si>
  <si>
    <t>TXN00003185</t>
  </si>
  <si>
    <t>A00003082</t>
  </si>
  <si>
    <t>PLC00003792</t>
  </si>
  <si>
    <t>TXN00003187</t>
  </si>
  <si>
    <t>A00002092</t>
  </si>
  <si>
    <t>PLC00007173</t>
  </si>
  <si>
    <t>TXN00003190</t>
  </si>
  <si>
    <t>A00009491</t>
  </si>
  <si>
    <t>PLC00006109</t>
  </si>
  <si>
    <t>TXN00003191</t>
  </si>
  <si>
    <t>A00000508</t>
  </si>
  <si>
    <t>PLC00008381</t>
  </si>
  <si>
    <t>TXN00003193</t>
  </si>
  <si>
    <t>A00002192</t>
  </si>
  <si>
    <t>PLC00007151</t>
  </si>
  <si>
    <t>TXN00003197</t>
  </si>
  <si>
    <t>A00001831</t>
  </si>
  <si>
    <t>PLC00001927</t>
  </si>
  <si>
    <t>TXN00003200</t>
  </si>
  <si>
    <t>A00005827</t>
  </si>
  <si>
    <t>PLC00005299</t>
  </si>
  <si>
    <t>TXN00003204</t>
  </si>
  <si>
    <t>A00004430</t>
  </si>
  <si>
    <t>PLC00009198</t>
  </si>
  <si>
    <t>TXN00003205</t>
  </si>
  <si>
    <t>A00000208</t>
  </si>
  <si>
    <t>PLC00003087</t>
  </si>
  <si>
    <t>TXN00003219</t>
  </si>
  <si>
    <t>A00007425</t>
  </si>
  <si>
    <t>PLC00008379</t>
  </si>
  <si>
    <t>TXN00003226</t>
  </si>
  <si>
    <t>A00007314</t>
  </si>
  <si>
    <t>PLC00008952</t>
  </si>
  <si>
    <t>TXN00003242</t>
  </si>
  <si>
    <t>A00000162</t>
  </si>
  <si>
    <t>PLC00009262</t>
  </si>
  <si>
    <t>TXN00003244</t>
  </si>
  <si>
    <t>A00002685</t>
  </si>
  <si>
    <t>PLC00003568</t>
  </si>
  <si>
    <t>TXN00003247</t>
  </si>
  <si>
    <t>A00000081</t>
  </si>
  <si>
    <t>PLC00004060</t>
  </si>
  <si>
    <t>TXN00003250</t>
  </si>
  <si>
    <t>A00009168</t>
  </si>
  <si>
    <t>PLC00009946</t>
  </si>
  <si>
    <t>TXN00003255</t>
  </si>
  <si>
    <t>A00008659</t>
  </si>
  <si>
    <t>PLC00002166</t>
  </si>
  <si>
    <t>TXN00003258</t>
  </si>
  <si>
    <t>A00006359</t>
  </si>
  <si>
    <t>PLC00005202</t>
  </si>
  <si>
    <t>TXN00003263</t>
  </si>
  <si>
    <t>A00003720</t>
  </si>
  <si>
    <t>PLC00007419</t>
  </si>
  <si>
    <t>TXN00003270</t>
  </si>
  <si>
    <t>A00006060</t>
  </si>
  <si>
    <t>PLC00009577</t>
  </si>
  <si>
    <t>TXN00003282</t>
  </si>
  <si>
    <t>A00003543</t>
  </si>
  <si>
    <t>PLC00003452</t>
  </si>
  <si>
    <t>TXN00003283</t>
  </si>
  <si>
    <t>A00004732</t>
  </si>
  <si>
    <t>PLC00001675</t>
  </si>
  <si>
    <t>TXN00003286</t>
  </si>
  <si>
    <t>A00009727</t>
  </si>
  <si>
    <t>PLC00000385</t>
  </si>
  <si>
    <t>TXN00003294</t>
  </si>
  <si>
    <t>A00002011</t>
  </si>
  <si>
    <t>PLC00007790</t>
  </si>
  <si>
    <t>TXN00003295</t>
  </si>
  <si>
    <t>A00001869</t>
  </si>
  <si>
    <t>PLC00005157</t>
  </si>
  <si>
    <t>TXN00003300</t>
  </si>
  <si>
    <t>A00007232</t>
  </si>
  <si>
    <t>PLC00006945</t>
  </si>
  <si>
    <t>TXN00003313</t>
  </si>
  <si>
    <t>A00002509</t>
  </si>
  <si>
    <t>PLC00003260</t>
  </si>
  <si>
    <t>TXN00003320</t>
  </si>
  <si>
    <t>A00002421</t>
  </si>
  <si>
    <t>PLC00006898</t>
  </si>
  <si>
    <t>TXN00003326</t>
  </si>
  <si>
    <t>A00007728</t>
  </si>
  <si>
    <t>PLC00004255</t>
  </si>
  <si>
    <t>TXN00003331</t>
  </si>
  <si>
    <t>A00009667</t>
  </si>
  <si>
    <t>PLC00000672</t>
  </si>
  <si>
    <t>TXN00003335</t>
  </si>
  <si>
    <t>A00004097</t>
  </si>
  <si>
    <t>PLC00003114</t>
  </si>
  <si>
    <t>TXN00003352</t>
  </si>
  <si>
    <t>A00009137</t>
  </si>
  <si>
    <t>PLC00003814</t>
  </si>
  <si>
    <t>TXN00003368</t>
  </si>
  <si>
    <t>A00002121</t>
  </si>
  <si>
    <t>PLC00008923</t>
  </si>
  <si>
    <t>TXN00003370</t>
  </si>
  <si>
    <t>A00006693</t>
  </si>
  <si>
    <t>PLC00006562</t>
  </si>
  <si>
    <t>TXN00003374</t>
  </si>
  <si>
    <t>A00006645</t>
  </si>
  <si>
    <t>PLC00008789</t>
  </si>
  <si>
    <t>TXN00003390</t>
  </si>
  <si>
    <t>A00000539</t>
  </si>
  <si>
    <t>PLC00009998</t>
  </si>
  <si>
    <t>TXN00003392</t>
  </si>
  <si>
    <t>A00009218</t>
  </si>
  <si>
    <t>PLC00009699</t>
  </si>
  <si>
    <t>TXN00003393</t>
  </si>
  <si>
    <t>A00007628</t>
  </si>
  <si>
    <t>PLC00009032</t>
  </si>
  <si>
    <t>TXN00003402</t>
  </si>
  <si>
    <t>A00002329</t>
  </si>
  <si>
    <t>PLC00002491</t>
  </si>
  <si>
    <t>TXN00003410</t>
  </si>
  <si>
    <t>A00004295</t>
  </si>
  <si>
    <t>PLC00004428</t>
  </si>
  <si>
    <t>TXN00003414</t>
  </si>
  <si>
    <t>A00002203</t>
  </si>
  <si>
    <t>PLC00001687</t>
  </si>
  <si>
    <t>TXN00003419</t>
  </si>
  <si>
    <t>A00006511</t>
  </si>
  <si>
    <t>PLC00006443</t>
  </si>
  <si>
    <t>TXN00003420</t>
  </si>
  <si>
    <t>A00002021</t>
  </si>
  <si>
    <t>PLC00000576</t>
  </si>
  <si>
    <t>TXN00003426</t>
  </si>
  <si>
    <t>A00000646</t>
  </si>
  <si>
    <t>PLC00000439</t>
  </si>
  <si>
    <t>TXN00003435</t>
  </si>
  <si>
    <t>A00009162</t>
  </si>
  <si>
    <t>PLC00000130</t>
  </si>
  <si>
    <t>TXN00003444</t>
  </si>
  <si>
    <t>A00005575</t>
  </si>
  <si>
    <t>PLC00002909</t>
  </si>
  <si>
    <t>TXN00003456</t>
  </si>
  <si>
    <t>A00002053</t>
  </si>
  <si>
    <t>PLC00006827</t>
  </si>
  <si>
    <t>TXN00003457</t>
  </si>
  <si>
    <t>A00006857</t>
  </si>
  <si>
    <t>PLC00007821</t>
  </si>
  <si>
    <t>TXN00003458</t>
  </si>
  <si>
    <t>A00000303</t>
  </si>
  <si>
    <t>PLC00008937</t>
  </si>
  <si>
    <t>TXN00003463</t>
  </si>
  <si>
    <t>A00007951</t>
  </si>
  <si>
    <t>PLC00007347</t>
  </si>
  <si>
    <t>TXN00003466</t>
  </si>
  <si>
    <t>A00002234</t>
  </si>
  <si>
    <t>PLC00005833</t>
  </si>
  <si>
    <t>TXN00003481</t>
  </si>
  <si>
    <t>A00009375</t>
  </si>
  <si>
    <t>PLC00008397</t>
  </si>
  <si>
    <t>TXN00003496</t>
  </si>
  <si>
    <t>A00005241</t>
  </si>
  <si>
    <t>PLC00006663</t>
  </si>
  <si>
    <t>TXN00003505</t>
  </si>
  <si>
    <t>A00007257</t>
  </si>
  <si>
    <t>PLC00008899</t>
  </si>
  <si>
    <t>TXN00003508</t>
  </si>
  <si>
    <t>A00008790</t>
  </si>
  <si>
    <t>PLC00004863</t>
  </si>
  <si>
    <t>TXN00003522</t>
  </si>
  <si>
    <t>A00008266</t>
  </si>
  <si>
    <t>PLC00000924</t>
  </si>
  <si>
    <t>TXN00003523</t>
  </si>
  <si>
    <t>A00002912</t>
  </si>
  <si>
    <t>PLC00001282</t>
  </si>
  <si>
    <t>TXN00003526</t>
  </si>
  <si>
    <t>A00003391</t>
  </si>
  <si>
    <t>PLC00003520</t>
  </si>
  <si>
    <t>TXN00003541</t>
  </si>
  <si>
    <t>A00004969</t>
  </si>
  <si>
    <t>PLC00005694</t>
  </si>
  <si>
    <t>TXN00003544</t>
  </si>
  <si>
    <t>A00003192</t>
  </si>
  <si>
    <t>PLC00002885</t>
  </si>
  <si>
    <t>TXN00003564</t>
  </si>
  <si>
    <t>A00001141</t>
  </si>
  <si>
    <t>PLC00000146</t>
  </si>
  <si>
    <t>TXN00003566</t>
  </si>
  <si>
    <t>A00008282</t>
  </si>
  <si>
    <t>PLC00003818</t>
  </si>
  <si>
    <t>TXN00003584</t>
  </si>
  <si>
    <t>A00009944</t>
  </si>
  <si>
    <t>PLC00000035</t>
  </si>
  <si>
    <t>TXN00003598</t>
  </si>
  <si>
    <t>A00006298</t>
  </si>
  <si>
    <t>PLC00002271</t>
  </si>
  <si>
    <t>TXN00003602</t>
  </si>
  <si>
    <t>A00006861</t>
  </si>
  <si>
    <t>PLC00002111</t>
  </si>
  <si>
    <t>TXN00003604</t>
  </si>
  <si>
    <t>A00006720</t>
  </si>
  <si>
    <t>PLC00002677</t>
  </si>
  <si>
    <t>TXN00003605</t>
  </si>
  <si>
    <t>A00006757</t>
  </si>
  <si>
    <t>PLC00007610</t>
  </si>
  <si>
    <t>TXN00003611</t>
  </si>
  <si>
    <t>A00009174</t>
  </si>
  <si>
    <t>PLC00008902</t>
  </si>
  <si>
    <t>TXN00003612</t>
  </si>
  <si>
    <t>A00005722</t>
  </si>
  <si>
    <t>PLC00002678</t>
  </si>
  <si>
    <t>TXN00003630</t>
  </si>
  <si>
    <t>A00009379</t>
  </si>
  <si>
    <t>PLC00004977</t>
  </si>
  <si>
    <t>TXN00003635</t>
  </si>
  <si>
    <t>A00001343</t>
  </si>
  <si>
    <t>PLC00006408</t>
  </si>
  <si>
    <t>TXN00003656</t>
  </si>
  <si>
    <t>A00000085</t>
  </si>
  <si>
    <t>PLC00000395</t>
  </si>
  <si>
    <t>TXN00003666</t>
  </si>
  <si>
    <t>A00003050</t>
  </si>
  <si>
    <t>PLC00003926</t>
  </si>
  <si>
    <t>TXN00003674</t>
  </si>
  <si>
    <t>A00008098</t>
  </si>
  <si>
    <t>PLC00000985</t>
  </si>
  <si>
    <t>TXN00003675</t>
  </si>
  <si>
    <t>A00006022</t>
  </si>
  <si>
    <t>PLC00004281</t>
  </si>
  <si>
    <t>TXN00003676</t>
  </si>
  <si>
    <t>A00001411</t>
  </si>
  <si>
    <t>PLC00002186</t>
  </si>
  <si>
    <t>TXN00003686</t>
  </si>
  <si>
    <t>A00007697</t>
  </si>
  <si>
    <t>PLC00002941</t>
  </si>
  <si>
    <t>TXN00003688</t>
  </si>
  <si>
    <t>A00005297</t>
  </si>
  <si>
    <t>PLC00000668</t>
  </si>
  <si>
    <t>TXN00003697</t>
  </si>
  <si>
    <t>A00004898</t>
  </si>
  <si>
    <t>PLC00003017</t>
  </si>
  <si>
    <t>TXN00003700</t>
  </si>
  <si>
    <t>A00007400</t>
  </si>
  <si>
    <t>PLC00002786</t>
  </si>
  <si>
    <t>TXN00003701</t>
  </si>
  <si>
    <t>A00008560</t>
  </si>
  <si>
    <t>PLC00009917</t>
  </si>
  <si>
    <t>TXN00003714</t>
  </si>
  <si>
    <t>A00001996</t>
  </si>
  <si>
    <t>PLC00000739</t>
  </si>
  <si>
    <t>TXN00003715</t>
  </si>
  <si>
    <t>A00003601</t>
  </si>
  <si>
    <t>PLC00003439</t>
  </si>
  <si>
    <t>TXN00003720</t>
  </si>
  <si>
    <t>A00002355</t>
  </si>
  <si>
    <t>PLC00003690</t>
  </si>
  <si>
    <t>TXN00003721</t>
  </si>
  <si>
    <t>A00005529</t>
  </si>
  <si>
    <t>PLC00000304</t>
  </si>
  <si>
    <t>TXN00003729</t>
  </si>
  <si>
    <t>A00008987</t>
  </si>
  <si>
    <t>PLC00000059</t>
  </si>
  <si>
    <t>TXN00003730</t>
  </si>
  <si>
    <t>A00003008</t>
  </si>
  <si>
    <t>PLC00004236</t>
  </si>
  <si>
    <t>TXN00003735</t>
  </si>
  <si>
    <t>A00009079</t>
  </si>
  <si>
    <t>PLC00005569</t>
  </si>
  <si>
    <t>TXN00003749</t>
  </si>
  <si>
    <t>A00009313</t>
  </si>
  <si>
    <t>PLC00005012</t>
  </si>
  <si>
    <t>TXN00003753</t>
  </si>
  <si>
    <t>A00003746</t>
  </si>
  <si>
    <t>PLC00008288</t>
  </si>
  <si>
    <t>TXN00003757</t>
  </si>
  <si>
    <t>A00001764</t>
  </si>
  <si>
    <t>PLC00003588</t>
  </si>
  <si>
    <t>TXN00003764</t>
  </si>
  <si>
    <t>A00008632</t>
  </si>
  <si>
    <t>PLC00001324</t>
  </si>
  <si>
    <t>TXN00003789</t>
  </si>
  <si>
    <t>A00007866</t>
  </si>
  <si>
    <t>PLC00000162</t>
  </si>
  <si>
    <t>TXN00003790</t>
  </si>
  <si>
    <t>A00008647</t>
  </si>
  <si>
    <t>PLC00006423</t>
  </si>
  <si>
    <t>TXN00003792</t>
  </si>
  <si>
    <t>A00000823</t>
  </si>
  <si>
    <t>PLC00008093</t>
  </si>
  <si>
    <t>TXN00003794</t>
  </si>
  <si>
    <t>A00003159</t>
  </si>
  <si>
    <t>PLC00005392</t>
  </si>
  <si>
    <t>TXN00003807</t>
  </si>
  <si>
    <t>A00009595</t>
  </si>
  <si>
    <t>PLC00004708</t>
  </si>
  <si>
    <t>TXN00003813</t>
  </si>
  <si>
    <t>A00002826</t>
  </si>
  <si>
    <t>PLC00000942</t>
  </si>
  <si>
    <t>TXN00003819</t>
  </si>
  <si>
    <t>A00000344</t>
  </si>
  <si>
    <t>PLC00006946</t>
  </si>
  <si>
    <t>TXN00003826</t>
  </si>
  <si>
    <t>A00009053</t>
  </si>
  <si>
    <t>PLC00009498</t>
  </si>
  <si>
    <t>TXN00003827</t>
  </si>
  <si>
    <t>A00000771</t>
  </si>
  <si>
    <t>PLC00006006</t>
  </si>
  <si>
    <t>TXN00003830</t>
  </si>
  <si>
    <t>A00009788</t>
  </si>
  <si>
    <t>PLC00000252</t>
  </si>
  <si>
    <t>TXN00003833</t>
  </si>
  <si>
    <t>A00003429</t>
  </si>
  <si>
    <t>PLC00005774</t>
  </si>
  <si>
    <t>TXN00003837</t>
  </si>
  <si>
    <t>A00004240</t>
  </si>
  <si>
    <t>PLC00004731</t>
  </si>
  <si>
    <t>TXN00003845</t>
  </si>
  <si>
    <t>A00003846</t>
  </si>
  <si>
    <t>PLC00004045</t>
  </si>
  <si>
    <t>TXN00003847</t>
  </si>
  <si>
    <t>A00008020</t>
  </si>
  <si>
    <t>PLC00004050</t>
  </si>
  <si>
    <t>TXN00003863</t>
  </si>
  <si>
    <t>A00005019</t>
  </si>
  <si>
    <t>PLC00001031</t>
  </si>
  <si>
    <t>TXN00003866</t>
  </si>
  <si>
    <t>A00000076</t>
  </si>
  <si>
    <t>PLC00005501</t>
  </si>
  <si>
    <t>TXN00003869</t>
  </si>
  <si>
    <t>A00004585</t>
  </si>
  <si>
    <t>PLC00005506</t>
  </si>
  <si>
    <t>TXN00003872</t>
  </si>
  <si>
    <t>A00001787</t>
  </si>
  <si>
    <t>PLC00003278</t>
  </si>
  <si>
    <t>TXN00003884</t>
  </si>
  <si>
    <t>A00005247</t>
  </si>
  <si>
    <t>PLC00000802</t>
  </si>
  <si>
    <t>TXN00003891</t>
  </si>
  <si>
    <t>A00009023</t>
  </si>
  <si>
    <t>PLC00006753</t>
  </si>
  <si>
    <t>TXN00003899</t>
  </si>
  <si>
    <t>A00008582</t>
  </si>
  <si>
    <t>PLC00007265</t>
  </si>
  <si>
    <t>TXN00003911</t>
  </si>
  <si>
    <t>A00009949</t>
  </si>
  <si>
    <t>PLC00006666</t>
  </si>
  <si>
    <t>TXN00003913</t>
  </si>
  <si>
    <t>A00003918</t>
  </si>
  <si>
    <t>PLC00001790</t>
  </si>
  <si>
    <t>TXN00003914</t>
  </si>
  <si>
    <t>A00002071</t>
  </si>
  <si>
    <t>PLC00003324</t>
  </si>
  <si>
    <t>TXN00003927</t>
  </si>
  <si>
    <t>A00003751</t>
  </si>
  <si>
    <t>PLC00002684</t>
  </si>
  <si>
    <t>TXN00003928</t>
  </si>
  <si>
    <t>A00002688</t>
  </si>
  <si>
    <t>PLC00005724</t>
  </si>
  <si>
    <t>TXN00003933</t>
  </si>
  <si>
    <t>A00004383</t>
  </si>
  <si>
    <t>PLC00009352</t>
  </si>
  <si>
    <t>TXN00003942</t>
  </si>
  <si>
    <t>A00007036</t>
  </si>
  <si>
    <t>PLC00007824</t>
  </si>
  <si>
    <t>TXN00003944</t>
  </si>
  <si>
    <t>A00007850</t>
  </si>
  <si>
    <t>PLC00006861</t>
  </si>
  <si>
    <t>TXN00003962</t>
  </si>
  <si>
    <t>A00001624</t>
  </si>
  <si>
    <t>PLC00000236</t>
  </si>
  <si>
    <t>TXN00003968</t>
  </si>
  <si>
    <t>A00001875</t>
  </si>
  <si>
    <t>PLC00006076</t>
  </si>
  <si>
    <t>TXN00003970</t>
  </si>
  <si>
    <t>A00001054</t>
  </si>
  <si>
    <t>PLC00002269</t>
  </si>
  <si>
    <t>TXN00003975</t>
  </si>
  <si>
    <t>A00008128</t>
  </si>
  <si>
    <t>PLC00006406</t>
  </si>
  <si>
    <t>TXN00003981</t>
  </si>
  <si>
    <t>A00006481</t>
  </si>
  <si>
    <t>PLC00008628</t>
  </si>
  <si>
    <t>TXN00003986</t>
  </si>
  <si>
    <t>A00003425</t>
  </si>
  <si>
    <t>PLC00009516</t>
  </si>
  <si>
    <t>TXN00003991</t>
  </si>
  <si>
    <t>A00004796</t>
  </si>
  <si>
    <t>PLC00009810</t>
  </si>
  <si>
    <t>TXN00003999</t>
  </si>
  <si>
    <t>A00009342</t>
  </si>
  <si>
    <t>PLC00006404</t>
  </si>
  <si>
    <t>TXN00004001</t>
  </si>
  <si>
    <t>A00005088</t>
  </si>
  <si>
    <t>PLC00006484</t>
  </si>
  <si>
    <t>TXN00004006</t>
  </si>
  <si>
    <t>A00009561</t>
  </si>
  <si>
    <t>PLC00000285</t>
  </si>
  <si>
    <t>TXN00004014</t>
  </si>
  <si>
    <t>A00004972</t>
  </si>
  <si>
    <t>PLC00000378</t>
  </si>
  <si>
    <t>TXN00004031</t>
  </si>
  <si>
    <t>A00004311</t>
  </si>
  <si>
    <t>PLC00001323</t>
  </si>
  <si>
    <t>TXN00004035</t>
  </si>
  <si>
    <t>A00005889</t>
  </si>
  <si>
    <t>PLC00003101</t>
  </si>
  <si>
    <t>TXN00004036</t>
  </si>
  <si>
    <t>A00002035</t>
  </si>
  <si>
    <t>PLC00000867</t>
  </si>
  <si>
    <t>TXN00004043</t>
  </si>
  <si>
    <t>A00006264</t>
  </si>
  <si>
    <t>PLC00009375</t>
  </si>
  <si>
    <t>TXN00004044</t>
  </si>
  <si>
    <t>A00008867</t>
  </si>
  <si>
    <t>PLC00004054</t>
  </si>
  <si>
    <t>TXN00004053</t>
  </si>
  <si>
    <t>A00007678</t>
  </si>
  <si>
    <t>PLC00001303</t>
  </si>
  <si>
    <t>TXN00004061</t>
  </si>
  <si>
    <t>A00002782</t>
  </si>
  <si>
    <t>PLC00007680</t>
  </si>
  <si>
    <t>TXN00004062</t>
  </si>
  <si>
    <t>A00001305</t>
  </si>
  <si>
    <t>PLC00004349</t>
  </si>
  <si>
    <t>TXN00004083</t>
  </si>
  <si>
    <t>A00006597</t>
  </si>
  <si>
    <t>PLC00008509</t>
  </si>
  <si>
    <t>TXN00004084</t>
  </si>
  <si>
    <t>A00002905</t>
  </si>
  <si>
    <t>PLC00009618</t>
  </si>
  <si>
    <t>TXN00004090</t>
  </si>
  <si>
    <t>A00003455</t>
  </si>
  <si>
    <t>PLC00003054</t>
  </si>
  <si>
    <t>TXN00004094</t>
  </si>
  <si>
    <t>A00007186</t>
  </si>
  <si>
    <t>PLC00008892</t>
  </si>
  <si>
    <t>TXN00004098</t>
  </si>
  <si>
    <t>A00005890</t>
  </si>
  <si>
    <t>PLC00003124</t>
  </si>
  <si>
    <t>TXN00004100</t>
  </si>
  <si>
    <t>A00006543</t>
  </si>
  <si>
    <t>PLC00009645</t>
  </si>
  <si>
    <t>TXN00004109</t>
  </si>
  <si>
    <t>A00003084</t>
  </si>
  <si>
    <t>PLC00000269</t>
  </si>
  <si>
    <t>TXN00004113</t>
  </si>
  <si>
    <t>A00000616</t>
  </si>
  <si>
    <t>PLC00005007</t>
  </si>
  <si>
    <t>TXN00004128</t>
  </si>
  <si>
    <t>A00008957</t>
  </si>
  <si>
    <t>PLC00005223</t>
  </si>
  <si>
    <t>TXN00004132</t>
  </si>
  <si>
    <t>A00009625</t>
  </si>
  <si>
    <t>PLC00002487</t>
  </si>
  <si>
    <t>TXN00004133</t>
  </si>
  <si>
    <t>A00001889</t>
  </si>
  <si>
    <t>PLC00005436</t>
  </si>
  <si>
    <t>TXN00004135</t>
  </si>
  <si>
    <t>A00000807</t>
  </si>
  <si>
    <t>PLC00003815</t>
  </si>
  <si>
    <t>TXN00004140</t>
  </si>
  <si>
    <t>A00001890</t>
  </si>
  <si>
    <t>PLC00004165</t>
  </si>
  <si>
    <t>TXN00004143</t>
  </si>
  <si>
    <t>A00003196</t>
  </si>
  <si>
    <t>PLC00006972</t>
  </si>
  <si>
    <t>TXN00004146</t>
  </si>
  <si>
    <t>A00009399</t>
  </si>
  <si>
    <t>PLC00002856</t>
  </si>
  <si>
    <t>TXN00004148</t>
  </si>
  <si>
    <t>A00001839</t>
  </si>
  <si>
    <t>PLC00007383</t>
  </si>
  <si>
    <t>TXN00004154</t>
  </si>
  <si>
    <t>A00002989</t>
  </si>
  <si>
    <t>PLC00009040</t>
  </si>
  <si>
    <t>TXN00004157</t>
  </si>
  <si>
    <t>A00007382</t>
  </si>
  <si>
    <t>PLC00009374</t>
  </si>
  <si>
    <t>TXN00004161</t>
  </si>
  <si>
    <t>A00000383</t>
  </si>
  <si>
    <t>PLC00007789</t>
  </si>
  <si>
    <t>TXN00004163</t>
  </si>
  <si>
    <t>A00007533</t>
  </si>
  <si>
    <t>PLC00007460</t>
  </si>
  <si>
    <t>TXN00004164</t>
  </si>
  <si>
    <t>A00005474</t>
  </si>
  <si>
    <t>PLC00004647</t>
  </si>
  <si>
    <t>TXN00004171</t>
  </si>
  <si>
    <t>A00003360</t>
  </si>
  <si>
    <t>PLC00001124</t>
  </si>
  <si>
    <t>TXN00004172</t>
  </si>
  <si>
    <t>A00007298</t>
  </si>
  <si>
    <t>PLC00002244</t>
  </si>
  <si>
    <t>TXN00004174</t>
  </si>
  <si>
    <t>A00004473</t>
  </si>
  <si>
    <t>PLC00001089</t>
  </si>
  <si>
    <t>TXN00004182</t>
  </si>
  <si>
    <t>A00009786</t>
  </si>
  <si>
    <t>PLC00008907</t>
  </si>
  <si>
    <t>TXN00004184</t>
  </si>
  <si>
    <t>A00002224</t>
  </si>
  <si>
    <t>PLC00008805</t>
  </si>
  <si>
    <t>TXN00004190</t>
  </si>
  <si>
    <t>A00007936</t>
  </si>
  <si>
    <t>PLC00003242</t>
  </si>
  <si>
    <t>TXN00004195</t>
  </si>
  <si>
    <t>A00004428</t>
  </si>
  <si>
    <t>PLC00005751</t>
  </si>
  <si>
    <t>TXN00004196</t>
  </si>
  <si>
    <t>A00000232</t>
  </si>
  <si>
    <t>PLC00001685</t>
  </si>
  <si>
    <t>TXN00004203</t>
  </si>
  <si>
    <t>A00001950</t>
  </si>
  <si>
    <t>PLC00001110</t>
  </si>
  <si>
    <t>TXN00004204</t>
  </si>
  <si>
    <t>A00003023</t>
  </si>
  <si>
    <t>PLC00003378</t>
  </si>
  <si>
    <t>TXN00004215</t>
  </si>
  <si>
    <t>A00004676</t>
  </si>
  <si>
    <t>PLC00007938</t>
  </si>
  <si>
    <t>TXN00004221</t>
  </si>
  <si>
    <t>A00009664</t>
  </si>
  <si>
    <t>PLC00006732</t>
  </si>
  <si>
    <t>TXN00004223</t>
  </si>
  <si>
    <t>A00006081</t>
  </si>
  <si>
    <t>PLC00006604</t>
  </si>
  <si>
    <t>TXN00004224</t>
  </si>
  <si>
    <t>A00004848</t>
  </si>
  <si>
    <t>PLC00002351</t>
  </si>
  <si>
    <t>TXN00004226</t>
  </si>
  <si>
    <t>A00000357</t>
  </si>
  <si>
    <t>PLC00005150</t>
  </si>
  <si>
    <t>TXN00004228</t>
  </si>
  <si>
    <t>A00008644</t>
  </si>
  <si>
    <t>PLC00009290</t>
  </si>
  <si>
    <t>TXN00004232</t>
  </si>
  <si>
    <t>A00009107</t>
  </si>
  <si>
    <t>PLC00000544</t>
  </si>
  <si>
    <t>TXN00004233</t>
  </si>
  <si>
    <t>A00003480</t>
  </si>
  <si>
    <t>PLC00000529</t>
  </si>
  <si>
    <t>TXN00004242</t>
  </si>
  <si>
    <t>A00007791</t>
  </si>
  <si>
    <t>PLC00005229</t>
  </si>
  <si>
    <t>TXN00004245</t>
  </si>
  <si>
    <t>A00007065</t>
  </si>
  <si>
    <t>PLC00001857</t>
  </si>
  <si>
    <t>TXN00004251</t>
  </si>
  <si>
    <t>A00007675</t>
  </si>
  <si>
    <t>PLC00004651</t>
  </si>
  <si>
    <t>TXN00004253</t>
  </si>
  <si>
    <t>A00009400</t>
  </si>
  <si>
    <t>PLC00008850</t>
  </si>
  <si>
    <t>TXN00004257</t>
  </si>
  <si>
    <t>A00001419</t>
  </si>
  <si>
    <t>PLC00001506</t>
  </si>
  <si>
    <t>TXN00004289</t>
  </si>
  <si>
    <t>A00003656</t>
  </si>
  <si>
    <t>PLC00007400</t>
  </si>
  <si>
    <t>TXN00004293</t>
  </si>
  <si>
    <t>A00005435</t>
  </si>
  <si>
    <t>PLC00003612</t>
  </si>
  <si>
    <t>TXN00004296</t>
  </si>
  <si>
    <t>A00005067</t>
  </si>
  <si>
    <t>PLC00009665</t>
  </si>
  <si>
    <t>TXN00004304</t>
  </si>
  <si>
    <t>A00008331</t>
  </si>
  <si>
    <t>PLC00004832</t>
  </si>
  <si>
    <t>TXN00004313</t>
  </si>
  <si>
    <t>A00004957</t>
  </si>
  <si>
    <t>PLC00008594</t>
  </si>
  <si>
    <t>TXN00004328</t>
  </si>
  <si>
    <t>A00001569</t>
  </si>
  <si>
    <t>PLC00006587</t>
  </si>
  <si>
    <t>TXN00004338</t>
  </si>
  <si>
    <t>A00003817</t>
  </si>
  <si>
    <t>PLC00000987</t>
  </si>
  <si>
    <t>TXN00004339</t>
  </si>
  <si>
    <t>A00007428</t>
  </si>
  <si>
    <t>PLC00009804</t>
  </si>
  <si>
    <t>TXN00004354</t>
  </si>
  <si>
    <t>A00000019</t>
  </si>
  <si>
    <t>PLC00005643</t>
  </si>
  <si>
    <t>TXN00004363</t>
  </si>
  <si>
    <t>A00004678</t>
  </si>
  <si>
    <t>PLC00001757</t>
  </si>
  <si>
    <t>TXN00004364</t>
  </si>
  <si>
    <t>A00001442</t>
  </si>
  <si>
    <t>PLC00008212</t>
  </si>
  <si>
    <t>TXN00004370</t>
  </si>
  <si>
    <t>A00003559</t>
  </si>
  <si>
    <t>PLC00006354</t>
  </si>
  <si>
    <t>TXN00004381</t>
  </si>
  <si>
    <t>A00002068</t>
  </si>
  <si>
    <t>PLC00009082</t>
  </si>
  <si>
    <t>TXN00004407</t>
  </si>
  <si>
    <t>A00007150</t>
  </si>
  <si>
    <t>PLC00007813</t>
  </si>
  <si>
    <t>TXN00004408</t>
  </si>
  <si>
    <t>A00005000</t>
  </si>
  <si>
    <t>PLC00009848</t>
  </si>
  <si>
    <t>TXN00004409</t>
  </si>
  <si>
    <t>A00007256</t>
  </si>
  <si>
    <t>PLC00005794</t>
  </si>
  <si>
    <t>TXN00004413</t>
  </si>
  <si>
    <t>A00009056</t>
  </si>
  <si>
    <t>PLC00009288</t>
  </si>
  <si>
    <t>TXN00004424</t>
  </si>
  <si>
    <t>A00007313</t>
  </si>
  <si>
    <t>PLC00005206</t>
  </si>
  <si>
    <t>TXN00004439</t>
  </si>
  <si>
    <t>A00008764</t>
  </si>
  <si>
    <t>PLC00000039</t>
  </si>
  <si>
    <t>TXN00004453</t>
  </si>
  <si>
    <t>A00003410</t>
  </si>
  <si>
    <t>PLC00000106</t>
  </si>
  <si>
    <t>TXN00004455</t>
  </si>
  <si>
    <t>A00002200</t>
  </si>
  <si>
    <t>PLC00001076</t>
  </si>
  <si>
    <t>TXN00004471</t>
  </si>
  <si>
    <t>A00004077</t>
  </si>
  <si>
    <t>PLC00006830</t>
  </si>
  <si>
    <t>TXN00004483</t>
  </si>
  <si>
    <t>A00004930</t>
  </si>
  <si>
    <t>PLC00004432</t>
  </si>
  <si>
    <t>TXN00004484</t>
  </si>
  <si>
    <t>A00001868</t>
  </si>
  <si>
    <t>PLC00002527</t>
  </si>
  <si>
    <t>TXN00004485</t>
  </si>
  <si>
    <t>A00001703</t>
  </si>
  <si>
    <t>PLC00000372</t>
  </si>
  <si>
    <t>TXN00004488</t>
  </si>
  <si>
    <t>A00005703</t>
  </si>
  <si>
    <t>PLC00005627</t>
  </si>
  <si>
    <t>TXN00004501</t>
  </si>
  <si>
    <t>A00005780</t>
  </si>
  <si>
    <t>PLC00003784</t>
  </si>
  <si>
    <t>TXN00004502</t>
  </si>
  <si>
    <t>A00008810</t>
  </si>
  <si>
    <t>PLC00000023</t>
  </si>
  <si>
    <t>TXN00004516</t>
  </si>
  <si>
    <t>A00008076</t>
  </si>
  <si>
    <t>PLC00008701</t>
  </si>
  <si>
    <t>TXN00004519</t>
  </si>
  <si>
    <t>A00005956</t>
  </si>
  <si>
    <t>PLC00009954</t>
  </si>
  <si>
    <t>TXN00004525</t>
  </si>
  <si>
    <t>A00007271</t>
  </si>
  <si>
    <t>PLC00000367</t>
  </si>
  <si>
    <t>TXN00004526</t>
  </si>
  <si>
    <t>A00001353</t>
  </si>
  <si>
    <t>PLC00007829</t>
  </si>
  <si>
    <t>TXN00004534</t>
  </si>
  <si>
    <t>A00002952</t>
  </si>
  <si>
    <t>PLC00005600</t>
  </si>
  <si>
    <t>TXN00004540</t>
  </si>
  <si>
    <t>A00002210</t>
  </si>
  <si>
    <t>PLC00008871</t>
  </si>
  <si>
    <t>TXN00004549</t>
  </si>
  <si>
    <t>A00007891</t>
  </si>
  <si>
    <t>PLC00003011</t>
  </si>
  <si>
    <t>TXN00004550</t>
  </si>
  <si>
    <t>A00008988</t>
  </si>
  <si>
    <t>PLC00006930</t>
  </si>
  <si>
    <t>TXN00004551</t>
  </si>
  <si>
    <t>A00007231</t>
  </si>
  <si>
    <t>PLC00009123</t>
  </si>
  <si>
    <t>TXN00004571</t>
  </si>
  <si>
    <t>A00006153</t>
  </si>
  <si>
    <t>PLC00003708</t>
  </si>
  <si>
    <t>TXN00004574</t>
  </si>
  <si>
    <t>A00000726</t>
  </si>
  <si>
    <t>PLC00007645</t>
  </si>
  <si>
    <t>TXN00004575</t>
  </si>
  <si>
    <t>A00004977</t>
  </si>
  <si>
    <t>PLC00005656</t>
  </si>
  <si>
    <t>TXN00004576</t>
  </si>
  <si>
    <t>A00001418</t>
  </si>
  <si>
    <t>PLC00006856</t>
  </si>
  <si>
    <t>TXN00004577</t>
  </si>
  <si>
    <t>A00008561</t>
  </si>
  <si>
    <t>PLC00003251</t>
  </si>
  <si>
    <t>TXN00004596</t>
  </si>
  <si>
    <t>A00006762</t>
  </si>
  <si>
    <t>PLC00004138</t>
  </si>
  <si>
    <t>TXN00004611</t>
  </si>
  <si>
    <t>A00001476</t>
  </si>
  <si>
    <t>PLC00005705</t>
  </si>
  <si>
    <t>TXN00004618</t>
  </si>
  <si>
    <t>A00000336</t>
  </si>
  <si>
    <t>PLC00008530</t>
  </si>
  <si>
    <t>TXN00004624</t>
  </si>
  <si>
    <t>A00007597</t>
  </si>
  <si>
    <t>PLC00006500</t>
  </si>
  <si>
    <t>TXN00004645</t>
  </si>
  <si>
    <t>A00003948</t>
  </si>
  <si>
    <t>PLC00001238</t>
  </si>
  <si>
    <t>TXN00004652</t>
  </si>
  <si>
    <t>A00001807</t>
  </si>
  <si>
    <t>PLC00003042</t>
  </si>
  <si>
    <t>TXN00004653</t>
  </si>
  <si>
    <t>A00007769</t>
  </si>
  <si>
    <t>PLC00008555</t>
  </si>
  <si>
    <t>TXN00004654</t>
  </si>
  <si>
    <t>A00005526</t>
  </si>
  <si>
    <t>PLC00004021</t>
  </si>
  <si>
    <t>TXN00004677</t>
  </si>
  <si>
    <t>A00001088</t>
  </si>
  <si>
    <t>PLC00002469</t>
  </si>
  <si>
    <t>TXN00004690</t>
  </si>
  <si>
    <t>A00001928</t>
  </si>
  <si>
    <t>PLC00004918</t>
  </si>
  <si>
    <t>TXN00004711</t>
  </si>
  <si>
    <t>A00005851</t>
  </si>
  <si>
    <t>PLC00000327</t>
  </si>
  <si>
    <t>TXN00004716</t>
  </si>
  <si>
    <t>A00001533</t>
  </si>
  <si>
    <t>PLC00001167</t>
  </si>
  <si>
    <t>TXN00004723</t>
  </si>
  <si>
    <t>A00003053</t>
  </si>
  <si>
    <t>PLC00004612</t>
  </si>
  <si>
    <t>TXN00004725</t>
  </si>
  <si>
    <t>A00002859</t>
  </si>
  <si>
    <t>PLC00001216</t>
  </si>
  <si>
    <t>TXN00004726</t>
  </si>
  <si>
    <t>A00006052</t>
  </si>
  <si>
    <t>PLC00005457</t>
  </si>
  <si>
    <t>TXN00004727</t>
  </si>
  <si>
    <t>A00003434</t>
  </si>
  <si>
    <t>PLC00001450</t>
  </si>
  <si>
    <t>TXN00004736</t>
  </si>
  <si>
    <t>A00006200</t>
  </si>
  <si>
    <t>PLC00000793</t>
  </si>
  <si>
    <t>TXN00004737</t>
  </si>
  <si>
    <t>A00002709</t>
  </si>
  <si>
    <t>PLC00004108</t>
  </si>
  <si>
    <t>TXN00004741</t>
  </si>
  <si>
    <t>A00007439</t>
  </si>
  <si>
    <t>PLC00004638</t>
  </si>
  <si>
    <t>TXN00004742</t>
  </si>
  <si>
    <t>A00005775</t>
  </si>
  <si>
    <t>PLC00007312</t>
  </si>
  <si>
    <t>TXN00004745</t>
  </si>
  <si>
    <t>A00002005</t>
  </si>
  <si>
    <t>PLC00003288</t>
  </si>
  <si>
    <t>TXN00004752</t>
  </si>
  <si>
    <t>A00009487</t>
  </si>
  <si>
    <t>PLC00009293</t>
  </si>
  <si>
    <t>TXN00004757</t>
  </si>
  <si>
    <t>A00008990</t>
  </si>
  <si>
    <t>PLC00002229</t>
  </si>
  <si>
    <t>TXN00004758</t>
  </si>
  <si>
    <t>A00002273</t>
  </si>
  <si>
    <t>PLC00001683</t>
  </si>
  <si>
    <t>TXN00004759</t>
  </si>
  <si>
    <t>A00000821</t>
  </si>
  <si>
    <t>PLC00005470</t>
  </si>
  <si>
    <t>TXN00004763</t>
  </si>
  <si>
    <t>A00001450</t>
  </si>
  <si>
    <t>PLC00007408</t>
  </si>
  <si>
    <t>TXN00004768</t>
  </si>
  <si>
    <t>A00000774</t>
  </si>
  <si>
    <t>PLC00007599</t>
  </si>
  <si>
    <t>TXN00004774</t>
  </si>
  <si>
    <t>A00007641</t>
  </si>
  <si>
    <t>PLC00000485</t>
  </si>
  <si>
    <t>TXN00004776</t>
  </si>
  <si>
    <t>A00004583</t>
  </si>
  <si>
    <t>PLC00009941</t>
  </si>
  <si>
    <t>TXN00004779</t>
  </si>
  <si>
    <t>A00003965</t>
  </si>
  <si>
    <t>PLC00007708</t>
  </si>
  <si>
    <t>TXN00004791</t>
  </si>
  <si>
    <t>A00004913</t>
  </si>
  <si>
    <t>PLC00003174</t>
  </si>
  <si>
    <t>TXN00004792</t>
  </si>
  <si>
    <t>A00004510</t>
  </si>
  <si>
    <t>PLC00004586</t>
  </si>
  <si>
    <t>TXN00004812</t>
  </si>
  <si>
    <t>A00006939</t>
  </si>
  <si>
    <t>PLC00009275</t>
  </si>
  <si>
    <t>TXN00004833</t>
  </si>
  <si>
    <t>A00005924</t>
  </si>
  <si>
    <t>PLC00008371</t>
  </si>
  <si>
    <t>TXN00004834</t>
  </si>
  <si>
    <t>A00002619</t>
  </si>
  <si>
    <t>PLC00000510</t>
  </si>
  <si>
    <t>TXN00004835</t>
  </si>
  <si>
    <t>A00004656</t>
  </si>
  <si>
    <t>PLC00006333</t>
  </si>
  <si>
    <t>TXN00004850</t>
  </si>
  <si>
    <t>A00002403</t>
  </si>
  <si>
    <t>PLC00004804</t>
  </si>
  <si>
    <t>TXN00004853</t>
  </si>
  <si>
    <t>A00008136</t>
  </si>
  <si>
    <t>PLC00003825</t>
  </si>
  <si>
    <t>TXN00004856</t>
  </si>
  <si>
    <t>A00006787</t>
  </si>
  <si>
    <t>PLC00003429</t>
  </si>
  <si>
    <t>TXN00004857</t>
  </si>
  <si>
    <t>A00008434</t>
  </si>
  <si>
    <t>PLC00005319</t>
  </si>
  <si>
    <t>TXN00004858</t>
  </si>
  <si>
    <t>A00006033</t>
  </si>
  <si>
    <t>PLC00006347</t>
  </si>
  <si>
    <t>TXN00004863</t>
  </si>
  <si>
    <t>A00003878</t>
  </si>
  <si>
    <t>PLC00001010</t>
  </si>
  <si>
    <t>TXN00004871</t>
  </si>
  <si>
    <t>A00004319</t>
  </si>
  <si>
    <t>PLC00007718</t>
  </si>
  <si>
    <t>TXN00004874</t>
  </si>
  <si>
    <t>A00007860</t>
  </si>
  <si>
    <t>PLC00000391</t>
  </si>
  <si>
    <t>TXN00004878</t>
  </si>
  <si>
    <t>A00001324</t>
  </si>
  <si>
    <t>PLC00004211</t>
  </si>
  <si>
    <t>TXN00004879</t>
  </si>
  <si>
    <t>A00002908</t>
  </si>
  <si>
    <t>PLC00003811</t>
  </si>
  <si>
    <t>TXN00004890</t>
  </si>
  <si>
    <t>A00009031</t>
  </si>
  <si>
    <t>PLC00009511</t>
  </si>
  <si>
    <t>TXN00004891</t>
  </si>
  <si>
    <t>A00009004</t>
  </si>
  <si>
    <t>PLC00009718</t>
  </si>
  <si>
    <t>TXN00004895</t>
  </si>
  <si>
    <t>A00005235</t>
  </si>
  <si>
    <t>PLC00002451</t>
  </si>
  <si>
    <t>TXN00004903</t>
  </si>
  <si>
    <t>A00007660</t>
  </si>
  <si>
    <t>PLC00004476</t>
  </si>
  <si>
    <t>TXN00004912</t>
  </si>
  <si>
    <t>A00009980</t>
  </si>
  <si>
    <t>PLC00007464</t>
  </si>
  <si>
    <t>TXN00004914</t>
  </si>
  <si>
    <t>A00006783</t>
  </si>
  <si>
    <t>PLC00000382</t>
  </si>
  <si>
    <t>TXN00004934</t>
  </si>
  <si>
    <t>A00009455</t>
  </si>
  <si>
    <t>PLC00001532</t>
  </si>
  <si>
    <t>TXN00004938</t>
  </si>
  <si>
    <t>A00003343</t>
  </si>
  <si>
    <t>PLC00001677</t>
  </si>
  <si>
    <t>TXN00004946</t>
  </si>
  <si>
    <t>A00007636</t>
  </si>
  <si>
    <t>PLC00006320</t>
  </si>
  <si>
    <t>TXN00004951</t>
  </si>
  <si>
    <t>A00004512</t>
  </si>
  <si>
    <t>PLC00005125</t>
  </si>
  <si>
    <t>TXN00004953</t>
  </si>
  <si>
    <t>A00004364</t>
  </si>
  <si>
    <t>PLC00008623</t>
  </si>
  <si>
    <t>TXN00004962</t>
  </si>
  <si>
    <t>A00009068</t>
  </si>
  <si>
    <t>PLC00002050</t>
  </si>
  <si>
    <t>TXN00004969</t>
  </si>
  <si>
    <t>A00003205</t>
  </si>
  <si>
    <t>PLC00005128</t>
  </si>
  <si>
    <t>TXN00004971</t>
  </si>
  <si>
    <t>A00003677</t>
  </si>
  <si>
    <t>PLC00008041</t>
  </si>
  <si>
    <t>TXN00004973</t>
  </si>
  <si>
    <t>A00007392</t>
  </si>
  <si>
    <t>PLC00009207</t>
  </si>
  <si>
    <t>TXN00004975</t>
  </si>
  <si>
    <t>A00005893</t>
  </si>
  <si>
    <t>PLC00005924</t>
  </si>
  <si>
    <t>TXN00004979</t>
  </si>
  <si>
    <t>A00009615</t>
  </si>
  <si>
    <t>PLC00009200</t>
  </si>
  <si>
    <t>TXN00004981</t>
  </si>
  <si>
    <t>A00003845</t>
  </si>
  <si>
    <t>PLC00004006</t>
  </si>
  <si>
    <t>TXN00004988</t>
  </si>
  <si>
    <t>A00007118</t>
  </si>
  <si>
    <t>PLC00006204</t>
  </si>
  <si>
    <t>TXN00004990</t>
  </si>
  <si>
    <t>A00004037</t>
  </si>
  <si>
    <t>PLC00001569</t>
  </si>
  <si>
    <t>TXN00004992</t>
  </si>
  <si>
    <t>A00006401</t>
  </si>
  <si>
    <t>PLC00009120</t>
  </si>
  <si>
    <t>TXN00005006</t>
  </si>
  <si>
    <t>A00004836</t>
  </si>
  <si>
    <t>PLC00007008</t>
  </si>
  <si>
    <t>TXN00005011</t>
  </si>
  <si>
    <t>A00004929</t>
  </si>
  <si>
    <t>PLC00005112</t>
  </si>
  <si>
    <t>TXN00005014</t>
  </si>
  <si>
    <t>A00009000</t>
  </si>
  <si>
    <t>PLC00006771</t>
  </si>
  <si>
    <t>TXN00005022</t>
  </si>
  <si>
    <t>A00002539</t>
  </si>
  <si>
    <t>PLC00003540</t>
  </si>
  <si>
    <t>TXN00005023</t>
  </si>
  <si>
    <t>A00008141</t>
  </si>
  <si>
    <t>PLC00004387</t>
  </si>
  <si>
    <t>TXN00005026</t>
  </si>
  <si>
    <t>A00005680</t>
  </si>
  <si>
    <t>PLC00008082</t>
  </si>
  <si>
    <t>TXN00005031</t>
  </si>
  <si>
    <t>A00001195</t>
  </si>
  <si>
    <t>PLC00007350</t>
  </si>
  <si>
    <t>TXN00005039</t>
  </si>
  <si>
    <t>A00002471</t>
  </si>
  <si>
    <t>PLC00005417</t>
  </si>
  <si>
    <t>TXN00005043</t>
  </si>
  <si>
    <t>A00002665</t>
  </si>
  <si>
    <t>PLC00005732</t>
  </si>
  <si>
    <t>TXN00005045</t>
  </si>
  <si>
    <t>A00009596</t>
  </si>
  <si>
    <t>PLC00003597</t>
  </si>
  <si>
    <t>TXN00005046</t>
  </si>
  <si>
    <t>A00006329</t>
  </si>
  <si>
    <t>PLC00004380</t>
  </si>
  <si>
    <t>TXN00005056</t>
  </si>
  <si>
    <t>A00002282</t>
  </si>
  <si>
    <t>PLC00002306</t>
  </si>
  <si>
    <t>TXN00005066</t>
  </si>
  <si>
    <t>A00000036</t>
  </si>
  <si>
    <t>PLC00003606</t>
  </si>
  <si>
    <t>TXN00005072</t>
  </si>
  <si>
    <t>A00008950</t>
  </si>
  <si>
    <t>PLC00008366</t>
  </si>
  <si>
    <t>TXN00005074</t>
  </si>
  <si>
    <t>A00002196</t>
  </si>
  <si>
    <t>PLC00000650</t>
  </si>
  <si>
    <t>TXN00005080</t>
  </si>
  <si>
    <t>A00005453</t>
  </si>
  <si>
    <t>PLC00004732</t>
  </si>
  <si>
    <t>TXN00005086</t>
  </si>
  <si>
    <t>A00006301</t>
  </si>
  <si>
    <t>PLC00001732</t>
  </si>
  <si>
    <t>TXN00005091</t>
  </si>
  <si>
    <t>A00006696</t>
  </si>
  <si>
    <t>PLC00000613</t>
  </si>
  <si>
    <t>TXN00005105</t>
  </si>
  <si>
    <t>A00004287</t>
  </si>
  <si>
    <t>PLC00002530</t>
  </si>
  <si>
    <t>TXN00005110</t>
  </si>
  <si>
    <t>A00001865</t>
  </si>
  <si>
    <t>PLC00003548</t>
  </si>
  <si>
    <t>TXN00005112</t>
  </si>
  <si>
    <t>A00000256</t>
  </si>
  <si>
    <t>PLC00006822</t>
  </si>
  <si>
    <t>TXN00005119</t>
  </si>
  <si>
    <t>A00001434</t>
  </si>
  <si>
    <t>PLC00005855</t>
  </si>
  <si>
    <t>TXN00005125</t>
  </si>
  <si>
    <t>A00005767</t>
  </si>
  <si>
    <t>PLC00000732</t>
  </si>
  <si>
    <t>TXN00005126</t>
  </si>
  <si>
    <t>A00007167</t>
  </si>
  <si>
    <t>PLC00004478</t>
  </si>
  <si>
    <t>TXN00005127</t>
  </si>
  <si>
    <t>A00006602</t>
  </si>
  <si>
    <t>PLC00007523</t>
  </si>
  <si>
    <t>TXN00005132</t>
  </si>
  <si>
    <t>A00003330</t>
  </si>
  <si>
    <t>PLC00008446</t>
  </si>
  <si>
    <t>TXN00005137</t>
  </si>
  <si>
    <t>A00009589</t>
  </si>
  <si>
    <t>PLC00009679</t>
  </si>
  <si>
    <t>TXN00005138</t>
  </si>
  <si>
    <t>A00004463</t>
  </si>
  <si>
    <t>PLC00003176</t>
  </si>
  <si>
    <t>TXN00005139</t>
  </si>
  <si>
    <t>A00001024</t>
  </si>
  <si>
    <t>PLC00008627</t>
  </si>
  <si>
    <t>TXN00005144</t>
  </si>
  <si>
    <t>A00008261</t>
  </si>
  <si>
    <t>PLC00006173</t>
  </si>
  <si>
    <t>TXN00005179</t>
  </si>
  <si>
    <t>A00005440</t>
  </si>
  <si>
    <t>PLC00009257</t>
  </si>
  <si>
    <t>TXN00005185</t>
  </si>
  <si>
    <t>A00008410</t>
  </si>
  <si>
    <t>PLC00009334</t>
  </si>
  <si>
    <t>TXN00005187</t>
  </si>
  <si>
    <t>A00001044</t>
  </si>
  <si>
    <t>PLC00002599</t>
  </si>
  <si>
    <t>TXN00005190</t>
  </si>
  <si>
    <t>A00000685</t>
  </si>
  <si>
    <t>PLC00005357</t>
  </si>
  <si>
    <t>TXN00005196</t>
  </si>
  <si>
    <t>A00009314</t>
  </si>
  <si>
    <t>PLC00008237</t>
  </si>
  <si>
    <t>TXN00005202</t>
  </si>
  <si>
    <t>A00002681</t>
  </si>
  <si>
    <t>PLC00002018</t>
  </si>
  <si>
    <t>TXN00005210</t>
  </si>
  <si>
    <t>A00007884</t>
  </si>
  <si>
    <t>PLC00005057</t>
  </si>
  <si>
    <t>TXN00005215</t>
  </si>
  <si>
    <t>A00004238</t>
  </si>
  <si>
    <t>PLC00000606</t>
  </si>
  <si>
    <t>TXN00005217</t>
  </si>
  <si>
    <t>A00001459</t>
  </si>
  <si>
    <t>PLC00002875</t>
  </si>
  <si>
    <t>TXN00005232</t>
  </si>
  <si>
    <t>A00002969</t>
  </si>
  <si>
    <t>PLC00009429</t>
  </si>
  <si>
    <t>TXN00005238</t>
  </si>
  <si>
    <t>A00001640</t>
  </si>
  <si>
    <t>PLC00002996</t>
  </si>
  <si>
    <t>TXN00005243</t>
  </si>
  <si>
    <t>A00005801</t>
  </si>
  <si>
    <t>PLC00003253</t>
  </si>
  <si>
    <t>TXN00005245</t>
  </si>
  <si>
    <t>A00003994</t>
  </si>
  <si>
    <t>PLC00008704</t>
  </si>
  <si>
    <t>TXN00005248</t>
  </si>
  <si>
    <t>A00003252</t>
  </si>
  <si>
    <t>PLC00007229</t>
  </si>
  <si>
    <t>TXN00005253</t>
  </si>
  <si>
    <t>A00008160</t>
  </si>
  <si>
    <t>PLC00002570</t>
  </si>
  <si>
    <t>TXN00005259</t>
  </si>
  <si>
    <t>A00008797</t>
  </si>
  <si>
    <t>PLC00005812</t>
  </si>
  <si>
    <t>TXN00005261</t>
  </si>
  <si>
    <t>A00000706</t>
  </si>
  <si>
    <t>PLC00007202</t>
  </si>
  <si>
    <t>TXN00005264</t>
  </si>
  <si>
    <t>A00003574</t>
  </si>
  <si>
    <t>PLC00008521</t>
  </si>
  <si>
    <t>TXN00005267</t>
  </si>
  <si>
    <t>A00009077</t>
  </si>
  <si>
    <t>PLC00003462</t>
  </si>
  <si>
    <t>TXN00005268</t>
  </si>
  <si>
    <t>A00003728</t>
  </si>
  <si>
    <t>PLC00009287</t>
  </si>
  <si>
    <t>TXN00005272</t>
  </si>
  <si>
    <t>A00003956</t>
  </si>
  <si>
    <t>PLC00006054</t>
  </si>
  <si>
    <t>TXN00005281</t>
  </si>
  <si>
    <t>A00000947</t>
  </si>
  <si>
    <t>PLC00003697</t>
  </si>
  <si>
    <t>TXN00005282</t>
  </si>
  <si>
    <t>A00002911</t>
  </si>
  <si>
    <t>PLC00002724</t>
  </si>
  <si>
    <t>TXN00005301</t>
  </si>
  <si>
    <t>A00003416</t>
  </si>
  <si>
    <t>PLC00009090</t>
  </si>
  <si>
    <t>TXN00005305</t>
  </si>
  <si>
    <t>A00004661</t>
  </si>
  <si>
    <t>PLC00001973</t>
  </si>
  <si>
    <t>TXN00005320</t>
  </si>
  <si>
    <t>A00001146</t>
  </si>
  <si>
    <t>PLC00003194</t>
  </si>
  <si>
    <t>TXN00005323</t>
  </si>
  <si>
    <t>A00005071</t>
  </si>
  <si>
    <t>PLC00006606</t>
  </si>
  <si>
    <t>TXN00005324</t>
  </si>
  <si>
    <t>A00006575</t>
  </si>
  <si>
    <t>PLC00005195</t>
  </si>
  <si>
    <t>TXN00005326</t>
  </si>
  <si>
    <t>A00008913</t>
  </si>
  <si>
    <t>PLC00008334</t>
  </si>
  <si>
    <t>TXN00005338</t>
  </si>
  <si>
    <t>A00009019</t>
  </si>
  <si>
    <t>PLC00009267</t>
  </si>
  <si>
    <t>TXN00005366</t>
  </si>
  <si>
    <t>A00003488</t>
  </si>
  <si>
    <t>PLC00003922</t>
  </si>
  <si>
    <t>TXN00005386</t>
  </si>
  <si>
    <t>A00008265</t>
  </si>
  <si>
    <t>PLC00005385</t>
  </si>
  <si>
    <t>TXN00005393</t>
  </si>
  <si>
    <t>A00004126</t>
  </si>
  <si>
    <t>PLC00004517</t>
  </si>
  <si>
    <t>TXN00005400</t>
  </si>
  <si>
    <t>A00005724</t>
  </si>
  <si>
    <t>PLC00000457</t>
  </si>
  <si>
    <t>TXN00005405</t>
  </si>
  <si>
    <t>A00006503</t>
  </si>
  <si>
    <t>PLC00001584</t>
  </si>
  <si>
    <t>TXN00005409</t>
  </si>
  <si>
    <t>A00006761</t>
  </si>
  <si>
    <t>PLC00008320</t>
  </si>
  <si>
    <t>TXN00005419</t>
  </si>
  <si>
    <t>A00005772</t>
  </si>
  <si>
    <t>PLC00000323</t>
  </si>
  <si>
    <t>TXN00005426</t>
  </si>
  <si>
    <t>A00006587</t>
  </si>
  <si>
    <t>PLC00004421</t>
  </si>
  <si>
    <t>TXN00005434</t>
  </si>
  <si>
    <t>A00008772</t>
  </si>
  <si>
    <t>PLC00003440</t>
  </si>
  <si>
    <t>TXN00005436</t>
  </si>
  <si>
    <t>A00007663</t>
  </si>
  <si>
    <t>PLC00001192</t>
  </si>
  <si>
    <t>TXN00005441</t>
  </si>
  <si>
    <t>A00005218</t>
  </si>
  <si>
    <t>PLC00007393</t>
  </si>
  <si>
    <t>TXN00005442</t>
  </si>
  <si>
    <t>A00003325</t>
  </si>
  <si>
    <t>PLC00000641</t>
  </si>
  <si>
    <t>TXN00005451</t>
  </si>
  <si>
    <t>A00000566</t>
  </si>
  <si>
    <t>PLC00006734</t>
  </si>
  <si>
    <t>TXN00005453</t>
  </si>
  <si>
    <t>A00009344</t>
  </si>
  <si>
    <t>PLC00009239</t>
  </si>
  <si>
    <t>TXN00005455</t>
  </si>
  <si>
    <t>A00005268</t>
  </si>
  <si>
    <t>PLC00004354</t>
  </si>
  <si>
    <t>TXN00005457</t>
  </si>
  <si>
    <t>A00000997</t>
  </si>
  <si>
    <t>PLC00001658</t>
  </si>
  <si>
    <t>TXN00005464</t>
  </si>
  <si>
    <t>A00003501</t>
  </si>
  <si>
    <t>PLC00003566</t>
  </si>
  <si>
    <t>TXN00005475</t>
  </si>
  <si>
    <t>A00005426</t>
  </si>
  <si>
    <t>PLC00009886</t>
  </si>
  <si>
    <t>TXN00005477</t>
  </si>
  <si>
    <t>A00008468</t>
  </si>
  <si>
    <t>PLC00001188</t>
  </si>
  <si>
    <t>TXN00005484</t>
  </si>
  <si>
    <t>A00009308</t>
  </si>
  <si>
    <t>PLC00008219</t>
  </si>
  <si>
    <t>TXN00005496</t>
  </si>
  <si>
    <t>A00009748</t>
  </si>
  <si>
    <t>PLC00002121</t>
  </si>
  <si>
    <t>TXN00005504</t>
  </si>
  <si>
    <t>A00007292</t>
  </si>
  <si>
    <t>PLC00006222</t>
  </si>
  <si>
    <t>TXN00005518</t>
  </si>
  <si>
    <t>A00007172</t>
  </si>
  <si>
    <t>PLC00006477</t>
  </si>
  <si>
    <t>TXN00005549</t>
  </si>
  <si>
    <t>A00000899</t>
  </si>
  <si>
    <t>PLC00006456</t>
  </si>
  <si>
    <t>TXN00005555</t>
  </si>
  <si>
    <t>A00008517</t>
  </si>
  <si>
    <t>PLC00004808</t>
  </si>
  <si>
    <t>TXN00005557</t>
  </si>
  <si>
    <t>A00006154</t>
  </si>
  <si>
    <t>PLC00002030</t>
  </si>
  <si>
    <t>TXN00005561</t>
  </si>
  <si>
    <t>A00000502</t>
  </si>
  <si>
    <t>PLC00009405</t>
  </si>
  <si>
    <t>TXN00005562</t>
  </si>
  <si>
    <t>A00009941</t>
  </si>
  <si>
    <t>PLC00003601</t>
  </si>
  <si>
    <t>TXN00005569</t>
  </si>
  <si>
    <t>A00006172</t>
  </si>
  <si>
    <t>PLC00002547</t>
  </si>
  <si>
    <t>TXN00005574</t>
  </si>
  <si>
    <t>A00006995</t>
  </si>
  <si>
    <t>PLC00009161</t>
  </si>
  <si>
    <t>TXN00005597</t>
  </si>
  <si>
    <t>A00005412</t>
  </si>
  <si>
    <t>PLC00001513</t>
  </si>
  <si>
    <t>TXN00005609</t>
  </si>
  <si>
    <t>A00008760</t>
  </si>
  <si>
    <t>PLC00009614</t>
  </si>
  <si>
    <t>TXN00005614</t>
  </si>
  <si>
    <t>A00005993</t>
  </si>
  <si>
    <t>PLC00008416</t>
  </si>
  <si>
    <t>TXN00005615</t>
  </si>
  <si>
    <t>A00003653</t>
  </si>
  <si>
    <t>PLC00004244</t>
  </si>
  <si>
    <t>TXN00005624</t>
  </si>
  <si>
    <t>A00003191</t>
  </si>
  <si>
    <t>PLC00009690</t>
  </si>
  <si>
    <t>TXN00005634</t>
  </si>
  <si>
    <t>A00002283</t>
  </si>
  <si>
    <t>PLC00000283</t>
  </si>
  <si>
    <t>TXN00005638</t>
  </si>
  <si>
    <t>A00002481</t>
  </si>
  <si>
    <t>PLC00009856</t>
  </si>
  <si>
    <t>TXN00005648</t>
  </si>
  <si>
    <t>A00003862</t>
  </si>
  <si>
    <t>PLC00003328</t>
  </si>
  <si>
    <t>TXN00005660</t>
  </si>
  <si>
    <t>A00005056</t>
  </si>
  <si>
    <t>PLC00003248</t>
  </si>
  <si>
    <t>TXN00005666</t>
  </si>
  <si>
    <t>A00009877</t>
  </si>
  <si>
    <t>PLC00007860</t>
  </si>
  <si>
    <t>TXN00005671</t>
  </si>
  <si>
    <t>A00009957</t>
  </si>
  <si>
    <t>PLC00009003</t>
  </si>
  <si>
    <t>TXN00005678</t>
  </si>
  <si>
    <t>A00009212</t>
  </si>
  <si>
    <t>PLC00003089</t>
  </si>
  <si>
    <t>TXN00005684</t>
  </si>
  <si>
    <t>A00003408</t>
  </si>
  <si>
    <t>PLC00009755</t>
  </si>
  <si>
    <t>TXN00005687</t>
  </si>
  <si>
    <t>A00009679</t>
  </si>
  <si>
    <t>PLC00001686</t>
  </si>
  <si>
    <t>TXN00005701</t>
  </si>
  <si>
    <t>A00005011</t>
  </si>
  <si>
    <t>PLC00000728</t>
  </si>
  <si>
    <t>TXN00005711</t>
  </si>
  <si>
    <t>A00000902</t>
  </si>
  <si>
    <t>PLC00004087</t>
  </si>
  <si>
    <t>TXN00005721</t>
  </si>
  <si>
    <t>A00004959</t>
  </si>
  <si>
    <t>PLC00004910</t>
  </si>
  <si>
    <t>TXN00005724</t>
  </si>
  <si>
    <t>A00007006</t>
  </si>
  <si>
    <t>PLC00007771</t>
  </si>
  <si>
    <t>TXN00005730</t>
  </si>
  <si>
    <t>A00008768</t>
  </si>
  <si>
    <t>PLC00007921</t>
  </si>
  <si>
    <t>TXN00005747</t>
  </si>
  <si>
    <t>A00004167</t>
  </si>
  <si>
    <t>PLC00002838</t>
  </si>
  <si>
    <t>TXN00005754</t>
  </si>
  <si>
    <t>A00008494</t>
  </si>
  <si>
    <t>PLC00007339</t>
  </si>
  <si>
    <t>TXN00005755</t>
  </si>
  <si>
    <t>A00007491</t>
  </si>
  <si>
    <t>PLC00005835</t>
  </si>
  <si>
    <t>TXN00005756</t>
  </si>
  <si>
    <t>A00006796</t>
  </si>
  <si>
    <t>PLC00003192</t>
  </si>
  <si>
    <t>TXN00005758</t>
  </si>
  <si>
    <t>A00000874</t>
  </si>
  <si>
    <t>PLC00006458</t>
  </si>
  <si>
    <t>TXN00005766</t>
  </si>
  <si>
    <t>A00000840</t>
  </si>
  <si>
    <t>PLC00005921</t>
  </si>
  <si>
    <t>TXN00005770</t>
  </si>
  <si>
    <t>A00004817</t>
  </si>
  <si>
    <t>PLC00005009</t>
  </si>
  <si>
    <t>TXN00005776</t>
  </si>
  <si>
    <t>A00008485</t>
  </si>
  <si>
    <t>PLC00006104</t>
  </si>
  <si>
    <t>TXN00005779</t>
  </si>
  <si>
    <t>A00004082</t>
  </si>
  <si>
    <t>PLC00004510</t>
  </si>
  <si>
    <t>TXN00005784</t>
  </si>
  <si>
    <t>A00004465</t>
  </si>
  <si>
    <t>PLC00005714</t>
  </si>
  <si>
    <t>TXN00005797</t>
  </si>
  <si>
    <t>A00008045</t>
  </si>
  <si>
    <t>PLC00002968</t>
  </si>
  <si>
    <t>TXN00005803</t>
  </si>
  <si>
    <t>A00008176</t>
  </si>
  <si>
    <t>PLC00000056</t>
  </si>
  <si>
    <t>TXN00005805</t>
  </si>
  <si>
    <t>A00001282</t>
  </si>
  <si>
    <t>PLC00002892</t>
  </si>
  <si>
    <t>TXN00005818</t>
  </si>
  <si>
    <t>A00003539</t>
  </si>
  <si>
    <t>PLC00007283</t>
  </si>
  <si>
    <t>TXN00005824</t>
  </si>
  <si>
    <t>A00007464</t>
  </si>
  <si>
    <t>PLC00004755</t>
  </si>
  <si>
    <t>TXN00005826</t>
  </si>
  <si>
    <t>A00006129</t>
  </si>
  <si>
    <t>PLC00003542</t>
  </si>
  <si>
    <t>TXN00005829</t>
  </si>
  <si>
    <t>A00001149</t>
  </si>
  <si>
    <t>PLC00006610</t>
  </si>
  <si>
    <t>TXN00005832</t>
  </si>
  <si>
    <t>A00005634</t>
  </si>
  <si>
    <t>PLC00004902</t>
  </si>
  <si>
    <t>TXN00005839</t>
  </si>
  <si>
    <t>A00005049</t>
  </si>
  <si>
    <t>PLC00006253</t>
  </si>
  <si>
    <t>TXN00005840</t>
  </si>
  <si>
    <t>A00006040</t>
  </si>
  <si>
    <t>PLC00001856</t>
  </si>
  <si>
    <t>TXN00005854</t>
  </si>
  <si>
    <t>A00003371</t>
  </si>
  <si>
    <t>PLC00002992</t>
  </si>
  <si>
    <t>TXN00005867</t>
  </si>
  <si>
    <t>A00003625</t>
  </si>
  <si>
    <t>PLC00000492</t>
  </si>
  <si>
    <t>TXN00005869</t>
  </si>
  <si>
    <t>A00007947</t>
  </si>
  <si>
    <t>PLC00006022</t>
  </si>
  <si>
    <t>TXN00005873</t>
  </si>
  <si>
    <t>A00005306</t>
  </si>
  <si>
    <t>PLC00001061</t>
  </si>
  <si>
    <t>TXN00005875</t>
  </si>
  <si>
    <t>A00000054</t>
  </si>
  <si>
    <t>PLC00005522</t>
  </si>
  <si>
    <t>TXN00005886</t>
  </si>
  <si>
    <t>A00008848</t>
  </si>
  <si>
    <t>PLC00008778</t>
  </si>
  <si>
    <t>TXN00005890</t>
  </si>
  <si>
    <t>A00009686</t>
  </si>
  <si>
    <t>PLC00000747</t>
  </si>
  <si>
    <t>TXN00005891</t>
  </si>
  <si>
    <t>A00008756</t>
  </si>
  <si>
    <t>PLC00009609</t>
  </si>
  <si>
    <t>TXN00005908</t>
  </si>
  <si>
    <t>A00008892</t>
  </si>
  <si>
    <t>PLC00007963</t>
  </si>
  <si>
    <t>TXN00005915</t>
  </si>
  <si>
    <t>A00006840</t>
  </si>
  <si>
    <t>PLC00006671</t>
  </si>
  <si>
    <t>TXN00005928</t>
  </si>
  <si>
    <t>A00008681</t>
  </si>
  <si>
    <t>PLC00000779</t>
  </si>
  <si>
    <t>TXN00005939</t>
  </si>
  <si>
    <t>A00009074</t>
  </si>
  <si>
    <t>PLC00006850</t>
  </si>
  <si>
    <t>TXN00005943</t>
  </si>
  <si>
    <t>A00008920</t>
  </si>
  <si>
    <t>PLC00004378</t>
  </si>
  <si>
    <t>TXN00005958</t>
  </si>
  <si>
    <t>A00008526</t>
  </si>
  <si>
    <t>PLC00009945</t>
  </si>
  <si>
    <t>TXN00005964</t>
  </si>
  <si>
    <t>A00007581</t>
  </si>
  <si>
    <t>PLC00004247</t>
  </si>
  <si>
    <t>TXN00005971</t>
  </si>
  <si>
    <t>A00000181</t>
  </si>
  <si>
    <t>PLC00008768</t>
  </si>
  <si>
    <t>TXN00005973</t>
  </si>
  <si>
    <t>A00008606</t>
  </si>
  <si>
    <t>PLC00009731</t>
  </si>
  <si>
    <t>TXN00005983</t>
  </si>
  <si>
    <t>A00000667</t>
  </si>
  <si>
    <t>PLC00002542</t>
  </si>
  <si>
    <t>TXN00005987</t>
  </si>
  <si>
    <t>A00005015</t>
  </si>
  <si>
    <t>PLC00007125</t>
  </si>
  <si>
    <t>TXN00005993</t>
  </si>
  <si>
    <t>A00001916</t>
  </si>
  <si>
    <t>PLC00006798</t>
  </si>
  <si>
    <t>TXN00006007</t>
  </si>
  <si>
    <t>A00000522</t>
  </si>
  <si>
    <t>PLC00000257</t>
  </si>
  <si>
    <t>TXN00006014</t>
  </si>
  <si>
    <t>A00004862</t>
  </si>
  <si>
    <t>PLC00005983</t>
  </si>
  <si>
    <t>TXN00006018</t>
  </si>
  <si>
    <t>A00007476</t>
  </si>
  <si>
    <t>PLC00002772</t>
  </si>
  <si>
    <t>TXN00006024</t>
  </si>
  <si>
    <t>A00001655</t>
  </si>
  <si>
    <t>PLC00008460</t>
  </si>
  <si>
    <t>TXN00006028</t>
  </si>
  <si>
    <t>A00007723</t>
  </si>
  <si>
    <t>PLC00004840</t>
  </si>
  <si>
    <t>TXN00006048</t>
  </si>
  <si>
    <t>A00007764</t>
  </si>
  <si>
    <t>PLC00005222</t>
  </si>
  <si>
    <t>TXN00006049</t>
  </si>
  <si>
    <t>A00006171</t>
  </si>
  <si>
    <t>PLC00000447</t>
  </si>
  <si>
    <t>TXN00006055</t>
  </si>
  <si>
    <t>A00000715</t>
  </si>
  <si>
    <t>PLC00009876</t>
  </si>
  <si>
    <t>TXN00006073</t>
  </si>
  <si>
    <t>A00005210</t>
  </si>
  <si>
    <t>PLC00004980</t>
  </si>
  <si>
    <t>TXN00006088</t>
  </si>
  <si>
    <t>A00004703</t>
  </si>
  <si>
    <t>PLC00003929</t>
  </si>
  <si>
    <t>TXN00006114</t>
  </si>
  <si>
    <t>A00001269</t>
  </si>
  <si>
    <t>PLC00004637</t>
  </si>
  <si>
    <t>TXN00006117</t>
  </si>
  <si>
    <t>A00008131</t>
  </si>
  <si>
    <t>PLC00007247</t>
  </si>
  <si>
    <t>TXN00006119</t>
  </si>
  <si>
    <t>A00003783</t>
  </si>
  <si>
    <t>PLC00000003</t>
  </si>
  <si>
    <t>TXN00006126</t>
  </si>
  <si>
    <t>A00002129</t>
  </si>
  <si>
    <t>PLC00007749</t>
  </si>
  <si>
    <t>TXN00006135</t>
  </si>
  <si>
    <t>A00004819</t>
  </si>
  <si>
    <t>PLC00001159</t>
  </si>
  <si>
    <t>TXN00006136</t>
  </si>
  <si>
    <t>A00007204</t>
  </si>
  <si>
    <t>PLC00009908</t>
  </si>
  <si>
    <t>TXN00006143</t>
  </si>
  <si>
    <t>A00000198</t>
  </si>
  <si>
    <t>PLC00004475</t>
  </si>
  <si>
    <t>TXN00006146</t>
  </si>
  <si>
    <t>A00003057</t>
  </si>
  <si>
    <t>PLC00005695</t>
  </si>
  <si>
    <t>TXN00006154</t>
  </si>
  <si>
    <t>A00009830</t>
  </si>
  <si>
    <t>PLC00000072</t>
  </si>
  <si>
    <t>TXN00006172</t>
  </si>
  <si>
    <t>A00004549</t>
  </si>
  <si>
    <t>PLC00006947</t>
  </si>
  <si>
    <t>TXN00006178</t>
  </si>
  <si>
    <t>A00007500</t>
  </si>
  <si>
    <t>PLC00005512</t>
  </si>
  <si>
    <t>TXN00006179</t>
  </si>
  <si>
    <t>A00009386</t>
  </si>
  <si>
    <t>PLC00008926</t>
  </si>
  <si>
    <t>TXN00006181</t>
  </si>
  <si>
    <t>A00004572</t>
  </si>
  <si>
    <t>PLC00007654</t>
  </si>
  <si>
    <t>TXN00006187</t>
  </si>
  <si>
    <t>A00004272</t>
  </si>
  <si>
    <t>PLC00008083</t>
  </si>
  <si>
    <t>TXN00006192</t>
  </si>
  <si>
    <t>A00007910</t>
  </si>
  <si>
    <t>PLC00001217</t>
  </si>
  <si>
    <t>TXN00006193</t>
  </si>
  <si>
    <t>A00000907</t>
  </si>
  <si>
    <t>PLC00006813</t>
  </si>
  <si>
    <t>TXN00006234</t>
  </si>
  <si>
    <t>A00005531</t>
  </si>
  <si>
    <t>PLC00000294</t>
  </si>
  <si>
    <t>TXN00006235</t>
  </si>
  <si>
    <t>A00009457</t>
  </si>
  <si>
    <t>PLC00000936</t>
  </si>
  <si>
    <t>TXN00006240</t>
  </si>
  <si>
    <t>A00001421</t>
  </si>
  <si>
    <t>PLC00003930</t>
  </si>
  <si>
    <t>TXN00006249</t>
  </si>
  <si>
    <t>A00008991</t>
  </si>
  <si>
    <t>PLC00006811</t>
  </si>
  <si>
    <t>TXN00006252</t>
  </si>
  <si>
    <t>A00008724</t>
  </si>
  <si>
    <t>PLC00008520</t>
  </si>
  <si>
    <t>TXN00006287</t>
  </si>
  <si>
    <t>A00000147</t>
  </si>
  <si>
    <t>PLC00007304</t>
  </si>
  <si>
    <t>TXN00006291</t>
  </si>
  <si>
    <t>A00004947</t>
  </si>
  <si>
    <t>PLC00001072</t>
  </si>
  <si>
    <t>TXN00006292</t>
  </si>
  <si>
    <t>A00002163</t>
  </si>
  <si>
    <t>PLC00003086</t>
  </si>
  <si>
    <t>TXN00006307</t>
  </si>
  <si>
    <t>A00000436</t>
  </si>
  <si>
    <t>PLC00002109</t>
  </si>
  <si>
    <t>TXN00006316</t>
  </si>
  <si>
    <t>A00006649</t>
  </si>
  <si>
    <t>PLC00007118</t>
  </si>
  <si>
    <t>TXN00006326</t>
  </si>
  <si>
    <t>A00000918</t>
  </si>
  <si>
    <t>PLC00009712</t>
  </si>
  <si>
    <t>TXN00006329</t>
  </si>
  <si>
    <t>A00003716</t>
  </si>
  <si>
    <t>PLC00000124</t>
  </si>
  <si>
    <t>TXN00006335</t>
  </si>
  <si>
    <t>A00004573</t>
  </si>
  <si>
    <t>PLC00006198</t>
  </si>
  <si>
    <t>TXN00006361</t>
  </si>
  <si>
    <t>A00008878</t>
  </si>
  <si>
    <t>PLC00006388</t>
  </si>
  <si>
    <t>TXN00006362</t>
  </si>
  <si>
    <t>A00004495</t>
  </si>
  <si>
    <t>PLC00003694</t>
  </si>
  <si>
    <t>TXN00006369</t>
  </si>
  <si>
    <t>A00000258</t>
  </si>
  <si>
    <t>PLC00008593</t>
  </si>
  <si>
    <t>TXN00006372</t>
  </si>
  <si>
    <t>A00002247</t>
  </si>
  <si>
    <t>PLC00007308</t>
  </si>
  <si>
    <t>TXN00006381</t>
  </si>
  <si>
    <t>A00007557</t>
  </si>
  <si>
    <t>PLC00007812</t>
  </si>
  <si>
    <t>TXN00006391</t>
  </si>
  <si>
    <t>A00002099</t>
  </si>
  <si>
    <t>PLC00002539</t>
  </si>
  <si>
    <t>TXN00006398</t>
  </si>
  <si>
    <t>A00004416</t>
  </si>
  <si>
    <t>PLC00005845</t>
  </si>
  <si>
    <t>TXN00006401</t>
  </si>
  <si>
    <t>A00006525</t>
  </si>
  <si>
    <t>PLC00007248</t>
  </si>
  <si>
    <t>TXN00006405</t>
  </si>
  <si>
    <t>A00005175</t>
  </si>
  <si>
    <t>PLC00008744</t>
  </si>
  <si>
    <t>TXN00006412</t>
  </si>
  <si>
    <t>A00008213</t>
  </si>
  <si>
    <t>PLC00000479</t>
  </si>
  <si>
    <t>TXN00006414</t>
  </si>
  <si>
    <t>A00007203</t>
  </si>
  <si>
    <t>PLC00004555</t>
  </si>
  <si>
    <t>TXN00006429</t>
  </si>
  <si>
    <t>A00003618</t>
  </si>
  <si>
    <t>PLC00008323</t>
  </si>
  <si>
    <t>TXN00006432</t>
  </si>
  <si>
    <t>A00009463</t>
  </si>
  <si>
    <t>PLC00002964</t>
  </si>
  <si>
    <t>TXN00006434</t>
  </si>
  <si>
    <t>A00007639</t>
  </si>
  <si>
    <t>PLC00005471</t>
  </si>
  <si>
    <t>TXN00006436</t>
  </si>
  <si>
    <t>A00002872</t>
  </si>
  <si>
    <t>PLC00009779</t>
  </si>
  <si>
    <t>TXN00006440</t>
  </si>
  <si>
    <t>A00009369</t>
  </si>
  <si>
    <t>PLC00001382</t>
  </si>
  <si>
    <t>TXN00006441</t>
  </si>
  <si>
    <t>A00008821</t>
  </si>
  <si>
    <t>PLC00000365</t>
  </si>
  <si>
    <t>TXN00006463</t>
  </si>
  <si>
    <t>A00006929</t>
  </si>
  <si>
    <t>PLC00001776</t>
  </si>
  <si>
    <t>TXN00006465</t>
  </si>
  <si>
    <t>A00007285</t>
  </si>
  <si>
    <t>PLC00008980</t>
  </si>
  <si>
    <t>TXN00006467</t>
  </si>
  <si>
    <t>A00003609</t>
  </si>
  <si>
    <t>PLC00001034</t>
  </si>
  <si>
    <t>TXN00006470</t>
  </si>
  <si>
    <t>A00009470</t>
  </si>
  <si>
    <t>PLC00006645</t>
  </si>
  <si>
    <t>TXN00006475</t>
  </si>
  <si>
    <t>A00009800</t>
  </si>
  <si>
    <t>PLC00009563</t>
  </si>
  <si>
    <t>TXN00006479</t>
  </si>
  <si>
    <t>A00001699</t>
  </si>
  <si>
    <t>PLC00002820</t>
  </si>
  <si>
    <t>TXN00006484</t>
  </si>
  <si>
    <t>A00008015</t>
  </si>
  <si>
    <t>PLC00007240</t>
  </si>
  <si>
    <t>TXN00006490</t>
  </si>
  <si>
    <t>A00004072</t>
  </si>
  <si>
    <t>PLC00001019</t>
  </si>
  <si>
    <t>TXN00006492</t>
  </si>
  <si>
    <t>A00008216</t>
  </si>
  <si>
    <t>PLC00003993</t>
  </si>
  <si>
    <t>TXN00006496</t>
  </si>
  <si>
    <t>A00004881</t>
  </si>
  <si>
    <t>PLC00002873</t>
  </si>
  <si>
    <t>TXN00006502</t>
  </si>
  <si>
    <t>A00001188</t>
  </si>
  <si>
    <t>PLC00002153</t>
  </si>
  <si>
    <t>TXN00006510</t>
  </si>
  <si>
    <t>A00006884</t>
  </si>
  <si>
    <t>PLC00000401</t>
  </si>
  <si>
    <t>TXN00006511</t>
  </si>
  <si>
    <t>A00002415</t>
  </si>
  <si>
    <t>PLC00006918</t>
  </si>
  <si>
    <t>TXN00006518</t>
  </si>
  <si>
    <t>A00005656</t>
  </si>
  <si>
    <t>PLC00005107</t>
  </si>
  <si>
    <t>TXN00006522</t>
  </si>
  <si>
    <t>A00006751</t>
  </si>
  <si>
    <t>PLC00000898</t>
  </si>
  <si>
    <t>TXN00006530</t>
  </si>
  <si>
    <t>A00009616</t>
  </si>
  <si>
    <t>PLC00007420</t>
  </si>
  <si>
    <t>TXN00006532</t>
  </si>
  <si>
    <t>A00003199</t>
  </si>
  <si>
    <t>PLC00004728</t>
  </si>
  <si>
    <t>TXN00006542</t>
  </si>
  <si>
    <t>A00008351</t>
  </si>
  <si>
    <t>PLC00001366</t>
  </si>
  <si>
    <t>TXN00006548</t>
  </si>
  <si>
    <t>A00001314</t>
  </si>
  <si>
    <t>PLC00002725</t>
  </si>
  <si>
    <t>TXN00006562</t>
  </si>
  <si>
    <t>A00005039</t>
  </si>
  <si>
    <t>PLC00008038</t>
  </si>
  <si>
    <t>TXN00006569</t>
  </si>
  <si>
    <t>A00003711</t>
  </si>
  <si>
    <t>PLC00000600</t>
  </si>
  <si>
    <t>TXN00006576</t>
  </si>
  <si>
    <t>A00003489</t>
  </si>
  <si>
    <t>PLC00003693</t>
  </si>
  <si>
    <t>TXN00006579</t>
  </si>
  <si>
    <t>A00004462</t>
  </si>
  <si>
    <t>PLC00002371</t>
  </si>
  <si>
    <t>TXN00006581</t>
  </si>
  <si>
    <t>A00001565</t>
  </si>
  <si>
    <t>PLC00001384</t>
  </si>
  <si>
    <t>TXN00006585</t>
  </si>
  <si>
    <t>A00005635</t>
  </si>
  <si>
    <t>PLC00004831</t>
  </si>
  <si>
    <t>TXN00006589</t>
  </si>
  <si>
    <t>A00001704</t>
  </si>
  <si>
    <t>PLC00004067</t>
  </si>
  <si>
    <t>TXN00006595</t>
  </si>
  <si>
    <t>A00002127</t>
  </si>
  <si>
    <t>PLC00003688</t>
  </si>
  <si>
    <t>TXN00006602</t>
  </si>
  <si>
    <t>A00002428</t>
  </si>
  <si>
    <t>PLC00006841</t>
  </si>
  <si>
    <t>TXN00006614</t>
  </si>
  <si>
    <t>A00009500</t>
  </si>
  <si>
    <t>PLC00008140</t>
  </si>
  <si>
    <t>TXN00006619</t>
  </si>
  <si>
    <t>A00002557</t>
  </si>
  <si>
    <t>PLC00004803</t>
  </si>
  <si>
    <t>TXN00006632</t>
  </si>
  <si>
    <t>A00008541</t>
  </si>
  <si>
    <t>PLC00006032</t>
  </si>
  <si>
    <t>TXN00006633</t>
  </si>
  <si>
    <t>A00000661</t>
  </si>
  <si>
    <t>PLC00002728</t>
  </si>
  <si>
    <t>TXN00006640</t>
  </si>
  <si>
    <t>A00001860</t>
  </si>
  <si>
    <t>PLC00002565</t>
  </si>
  <si>
    <t>TXN00006646</t>
  </si>
  <si>
    <t>A00004602</t>
  </si>
  <si>
    <t>PLC00002430</t>
  </si>
  <si>
    <t>TXN00006657</t>
  </si>
  <si>
    <t>A00007971</t>
  </si>
  <si>
    <t>PLC00000980</t>
  </si>
  <si>
    <t>TXN00006658</t>
  </si>
  <si>
    <t>A00004262</t>
  </si>
  <si>
    <t>PLC00001397</t>
  </si>
  <si>
    <t>TXN00006670</t>
  </si>
  <si>
    <t>A00001731</t>
  </si>
  <si>
    <t>PLC00000097</t>
  </si>
  <si>
    <t>TXN00006685</t>
  </si>
  <si>
    <t>A00003038</t>
  </si>
  <si>
    <t>PLC00006397</t>
  </si>
  <si>
    <t>TXN00006692</t>
  </si>
  <si>
    <t>A00000714</t>
  </si>
  <si>
    <t>PLC00001341</t>
  </si>
  <si>
    <t>TXN00006700</t>
  </si>
  <si>
    <t>A00000527</t>
  </si>
  <si>
    <t>PLC00009397</t>
  </si>
  <si>
    <t>TXN00006705</t>
  </si>
  <si>
    <t>A00003623</t>
  </si>
  <si>
    <t>PLC00004726</t>
  </si>
  <si>
    <t>TXN00006707</t>
  </si>
  <si>
    <t>A00001599</t>
  </si>
  <si>
    <t>PLC00007019</t>
  </si>
  <si>
    <t>TXN00006708</t>
  </si>
  <si>
    <t>A00000772</t>
  </si>
  <si>
    <t>PLC00000647</t>
  </si>
  <si>
    <t>TXN00006715</t>
  </si>
  <si>
    <t>A00005181</t>
  </si>
  <si>
    <t>PLC00002769</t>
  </si>
  <si>
    <t>TXN00006717</t>
  </si>
  <si>
    <t>A00000319</t>
  </si>
  <si>
    <t>PLC00008640</t>
  </si>
  <si>
    <t>TXN00006718</t>
  </si>
  <si>
    <t>A00004934</t>
  </si>
  <si>
    <t>PLC00008458</t>
  </si>
  <si>
    <t>TXN00006719</t>
  </si>
  <si>
    <t>A00005668</t>
  </si>
  <si>
    <t>PLC00001005</t>
  </si>
  <si>
    <t>TXN00006720</t>
  </si>
  <si>
    <t>A00004616</t>
  </si>
  <si>
    <t>PLC00005183</t>
  </si>
  <si>
    <t>TXN00006726</t>
  </si>
  <si>
    <t>A00002139</t>
  </si>
  <si>
    <t>PLC00001385</t>
  </si>
  <si>
    <t>TXN00006731</t>
  </si>
  <si>
    <t>A00001444</t>
  </si>
  <si>
    <t>PLC00001611</t>
  </si>
  <si>
    <t>TXN00006742</t>
  </si>
  <si>
    <t>A00007612</t>
  </si>
  <si>
    <t>PLC00003487</t>
  </si>
  <si>
    <t>TXN00006753</t>
  </si>
  <si>
    <t>A00004002</t>
  </si>
  <si>
    <t>PLC00009915</t>
  </si>
  <si>
    <t>TXN00006760</t>
  </si>
  <si>
    <t>A00000233</t>
  </si>
  <si>
    <t>PLC00001084</t>
  </si>
  <si>
    <t>TXN00006768</t>
  </si>
  <si>
    <t>A00004087</t>
  </si>
  <si>
    <t>PLC00001770</t>
  </si>
  <si>
    <t>TXN00006773</t>
  </si>
  <si>
    <t>A00003806</t>
  </si>
  <si>
    <t>PLC00007638</t>
  </si>
  <si>
    <t>TXN00006780</t>
  </si>
  <si>
    <t>A00008297</t>
  </si>
  <si>
    <t>PLC00006025</t>
  </si>
  <si>
    <t>TXN00006781</t>
  </si>
  <si>
    <t>A00004303</t>
  </si>
  <si>
    <t>PLC00006577</t>
  </si>
  <si>
    <t>TXN00006787</t>
  </si>
  <si>
    <t>A00009529</t>
  </si>
  <si>
    <t>PLC00004460</t>
  </si>
  <si>
    <t>TXN00006791</t>
  </si>
  <si>
    <t>A00004006</t>
  </si>
  <si>
    <t>PLC00007893</t>
  </si>
  <si>
    <t>TXN00006799</t>
  </si>
  <si>
    <t>A00002151</t>
  </si>
  <si>
    <t>PLC00000242</t>
  </si>
  <si>
    <t>TXN00006806</t>
  </si>
  <si>
    <t>A00002803</t>
  </si>
  <si>
    <t>PLC00001307</t>
  </si>
  <si>
    <t>TXN00006808</t>
  </si>
  <si>
    <t>A00007959</t>
  </si>
  <si>
    <t>PLC00003095</t>
  </si>
  <si>
    <t>TXN00006816</t>
  </si>
  <si>
    <t>A00002253</t>
  </si>
  <si>
    <t>PLC00008235</t>
  </si>
  <si>
    <t>TXN00006819</t>
  </si>
  <si>
    <t>A00003513</t>
  </si>
  <si>
    <t>PLC00008990</t>
  </si>
  <si>
    <t>TXN00006832</t>
  </si>
  <si>
    <t>A00001508</t>
  </si>
  <si>
    <t>PLC00009605</t>
  </si>
  <si>
    <t>TXN00006834</t>
  </si>
  <si>
    <t>A00003129</t>
  </si>
  <si>
    <t>PLC00003334</t>
  </si>
  <si>
    <t>TXN00006837</t>
  </si>
  <si>
    <t>A00004255</t>
  </si>
  <si>
    <t>PLC00003743</t>
  </si>
  <si>
    <t>TXN00006838</t>
  </si>
  <si>
    <t>A00009815</t>
  </si>
  <si>
    <t>PLC00003644</t>
  </si>
  <si>
    <t>TXN00006846</t>
  </si>
  <si>
    <t>A00004376</t>
  </si>
  <si>
    <t>PLC00004999</t>
  </si>
  <si>
    <t>TXN00006847</t>
  </si>
  <si>
    <t>A00008063</t>
  </si>
  <si>
    <t>PLC00004443</t>
  </si>
  <si>
    <t>TXN00006848</t>
  </si>
  <si>
    <t>A00007977</t>
  </si>
  <si>
    <t>PLC00009178</t>
  </si>
  <si>
    <t>TXN00006850</t>
  </si>
  <si>
    <t>A00002894</t>
  </si>
  <si>
    <t>PLC00009871</t>
  </si>
  <si>
    <t>TXN00006886</t>
  </si>
  <si>
    <t>A00003575</t>
  </si>
  <si>
    <t>PLC00000866</t>
  </si>
  <si>
    <t>TXN00006890</t>
  </si>
  <si>
    <t>A00008437</t>
  </si>
  <si>
    <t>PLC00001976</t>
  </si>
  <si>
    <t>TXN00006891</t>
  </si>
  <si>
    <t>A00000474</t>
  </si>
  <si>
    <t>PLC00008705</t>
  </si>
  <si>
    <t>TXN00006907</t>
  </si>
  <si>
    <t>A00001255</t>
  </si>
  <si>
    <t>PLC00009916</t>
  </si>
  <si>
    <t>TXN00006921</t>
  </si>
  <si>
    <t>A00009810</t>
  </si>
  <si>
    <t>PLC00001117</t>
  </si>
  <si>
    <t>TXN00006931</t>
  </si>
  <si>
    <t>A00008369</t>
  </si>
  <si>
    <t>PLC00004268</t>
  </si>
  <si>
    <t>TXN00006942</t>
  </si>
  <si>
    <t>A00006455</t>
  </si>
  <si>
    <t>PLC00001250</t>
  </si>
  <si>
    <t>TXN00006943</t>
  </si>
  <si>
    <t>A00003151</t>
  </si>
  <si>
    <t>PLC00004042</t>
  </si>
  <si>
    <t>TXN00006948</t>
  </si>
  <si>
    <t>A00009472</t>
  </si>
  <si>
    <t>PLC00005483</t>
  </si>
  <si>
    <t>TXN00006952</t>
  </si>
  <si>
    <t>A00001717</t>
  </si>
  <si>
    <t>PLC00006139</t>
  </si>
  <si>
    <t>TXN00006954</t>
  </si>
  <si>
    <t>A00000567</t>
  </si>
  <si>
    <t>PLC00008569</t>
  </si>
  <si>
    <t>TXN00006976</t>
  </si>
  <si>
    <t>A00001258</t>
  </si>
  <si>
    <t>PLC00003937</t>
  </si>
  <si>
    <t>TXN00006977</t>
  </si>
  <si>
    <t>A00000468</t>
  </si>
  <si>
    <t>PLC00006254</t>
  </si>
  <si>
    <t>TXN00006982</t>
  </si>
  <si>
    <t>A00001174</t>
  </si>
  <si>
    <t>PLC00009610</t>
  </si>
  <si>
    <t>TXN00006986</t>
  </si>
  <si>
    <t>A00005636</t>
  </si>
  <si>
    <t>PLC00009189</t>
  </si>
  <si>
    <t>TXN00006997</t>
  </si>
  <si>
    <t>A00008072</t>
  </si>
  <si>
    <t>PLC00001460</t>
  </si>
  <si>
    <t>TXN00007001</t>
  </si>
  <si>
    <t>A00003099</t>
  </si>
  <si>
    <t>PLC00001234</t>
  </si>
  <si>
    <t>TXN00007011</t>
  </si>
  <si>
    <t>A00004756</t>
  </si>
  <si>
    <t>PLC00004529</t>
  </si>
  <si>
    <t>TXN00007019</t>
  </si>
  <si>
    <t>A00009293</t>
  </si>
  <si>
    <t>PLC00001280</t>
  </si>
  <si>
    <t>TXN00007023</t>
  </si>
  <si>
    <t>A00009746</t>
  </si>
  <si>
    <t>PLC00003581</t>
  </si>
  <si>
    <t>TXN00007035</t>
  </si>
  <si>
    <t>A00005173</t>
  </si>
  <si>
    <t>PLC00007372</t>
  </si>
  <si>
    <t>TXN00007043</t>
  </si>
  <si>
    <t>A00007460</t>
  </si>
  <si>
    <t>PLC00009684</t>
  </si>
  <si>
    <t>TXN00007044</t>
  </si>
  <si>
    <t>A00004021</t>
  </si>
  <si>
    <t>PLC00003182</t>
  </si>
  <si>
    <t>TXN00007047</t>
  </si>
  <si>
    <t>A00003891</t>
  </si>
  <si>
    <t>PLC00008942</t>
  </si>
  <si>
    <t>TXN00007054</t>
  </si>
  <si>
    <t>A00001097</t>
  </si>
  <si>
    <t>PLC00009536</t>
  </si>
  <si>
    <t>TXN00007057</t>
  </si>
  <si>
    <t>A00000120</t>
  </si>
  <si>
    <t>PLC00003034</t>
  </si>
  <si>
    <t>TXN00007065</t>
  </si>
  <si>
    <t>A00005287</t>
  </si>
  <si>
    <t>PLC00004114</t>
  </si>
  <si>
    <t>TXN00007070</t>
  </si>
  <si>
    <t>A00003421</t>
  </si>
  <si>
    <t>PLC00003979</t>
  </si>
  <si>
    <t>TXN00007077</t>
  </si>
  <si>
    <t>A00009737</t>
  </si>
  <si>
    <t>PLC00003006</t>
  </si>
  <si>
    <t>TXN00007086</t>
  </si>
  <si>
    <t>A00003517</t>
  </si>
  <si>
    <t>PLC00005147</t>
  </si>
  <si>
    <t>TXN00007088</t>
  </si>
  <si>
    <t>A00006068</t>
  </si>
  <si>
    <t>PLC00009544</t>
  </si>
  <si>
    <t>TXN00007092</t>
  </si>
  <si>
    <t>A00005217</t>
  </si>
  <si>
    <t>PLC00006944</t>
  </si>
  <si>
    <t>TXN00007099</t>
  </si>
  <si>
    <t>A00006384</t>
  </si>
  <si>
    <t>PLC00003438</t>
  </si>
  <si>
    <t>TXN00007103</t>
  </si>
  <si>
    <t>A00005720</t>
  </si>
  <si>
    <t>PLC00004248</t>
  </si>
  <si>
    <t>TXN00007114</t>
  </si>
  <si>
    <t>A00000359</t>
  </si>
  <si>
    <t>PLC00000595</t>
  </si>
  <si>
    <t>TXN00007115</t>
  </si>
  <si>
    <t>A00003682</t>
  </si>
  <si>
    <t>PLC00003193</t>
  </si>
  <si>
    <t>TXN00007116</t>
  </si>
  <si>
    <t>A00008272</t>
  </si>
  <si>
    <t>PLC00003689</t>
  </si>
  <si>
    <t>TXN00007119</t>
  </si>
  <si>
    <t>A00000639</t>
  </si>
  <si>
    <t>PLC00008774</t>
  </si>
  <si>
    <t>TXN00007125</t>
  </si>
  <si>
    <t>A00007716</t>
  </si>
  <si>
    <t>PLC00008762</t>
  </si>
  <si>
    <t>TXN00007133</t>
  </si>
  <si>
    <t>A00006323</t>
  </si>
  <si>
    <t>PLC00003053</t>
  </si>
  <si>
    <t>TXN00007136</t>
  </si>
  <si>
    <t>A00001036</t>
  </si>
  <si>
    <t>PLC00009598</t>
  </si>
  <si>
    <t>TXN00007138</t>
  </si>
  <si>
    <t>A00003089</t>
  </si>
  <si>
    <t>PLC00008326</t>
  </si>
  <si>
    <t>TXN00007139</t>
  </si>
  <si>
    <t>A00000757</t>
  </si>
  <si>
    <t>PLC00001778</t>
  </si>
  <si>
    <t>TXN00007143</t>
  </si>
  <si>
    <t>A00000133</t>
  </si>
  <si>
    <t>PLC00007509</t>
  </si>
  <si>
    <t>TXN00007149</t>
  </si>
  <si>
    <t>A00005035</t>
  </si>
  <si>
    <t>PLC00002841</t>
  </si>
  <si>
    <t>TXN00007152</t>
  </si>
  <si>
    <t>A00008318</t>
  </si>
  <si>
    <t>PLC00003611</t>
  </si>
  <si>
    <t>TXN00007155</t>
  </si>
  <si>
    <t>A00000986</t>
  </si>
  <si>
    <t>PLC00009384</t>
  </si>
  <si>
    <t>TXN00007165</t>
  </si>
  <si>
    <t>A00000871</t>
  </si>
  <si>
    <t>PLC00000794</t>
  </si>
  <si>
    <t>TXN00007177</t>
  </si>
  <si>
    <t>A00006813</t>
  </si>
  <si>
    <t>PLC00007280</t>
  </si>
  <si>
    <t>TXN00007179</t>
  </si>
  <si>
    <t>A00003108</t>
  </si>
  <si>
    <t>PLC00009447</t>
  </si>
  <si>
    <t>TXN00007182</t>
  </si>
  <si>
    <t>A00004005</t>
  </si>
  <si>
    <t>PLC00005829</t>
  </si>
  <si>
    <t>TXN00007186</t>
  </si>
  <si>
    <t>A00006303</t>
  </si>
  <si>
    <t>PLC00004757</t>
  </si>
  <si>
    <t>TXN00007187</t>
  </si>
  <si>
    <t>A00001667</t>
  </si>
  <si>
    <t>PLC00004365</t>
  </si>
  <si>
    <t>TXN00007203</t>
  </si>
  <si>
    <t>A00006542</t>
  </si>
  <si>
    <t>PLC00000549</t>
  </si>
  <si>
    <t>TXN00007220</t>
  </si>
  <si>
    <t>A00006588</t>
  </si>
  <si>
    <t>PLC00003224</t>
  </si>
  <si>
    <t>TXN00007223</t>
  </si>
  <si>
    <t>A00003940</t>
  </si>
  <si>
    <t>PLC00000690</t>
  </si>
  <si>
    <t>TXN00007224</t>
  </si>
  <si>
    <t>A00001417</t>
  </si>
  <si>
    <t>PLC00003227</t>
  </si>
  <si>
    <t>TXN00007233</t>
  </si>
  <si>
    <t>A00001561</t>
  </si>
  <si>
    <t>PLC00003670</t>
  </si>
  <si>
    <t>TXN00007234</t>
  </si>
  <si>
    <t>A00002794</t>
  </si>
  <si>
    <t>PLC00003523</t>
  </si>
  <si>
    <t>TXN00007235</t>
  </si>
  <si>
    <t>A00009812</t>
  </si>
  <si>
    <t>PLC00009060</t>
  </si>
  <si>
    <t>TXN00007240</t>
  </si>
  <si>
    <t>A00009152</t>
  </si>
  <si>
    <t>PLC00008308</t>
  </si>
  <si>
    <t>TXN00007242</t>
  </si>
  <si>
    <t>A00001858</t>
  </si>
  <si>
    <t>PLC00008753</t>
  </si>
  <si>
    <t>TXN00007245</t>
  </si>
  <si>
    <t>A00007833</t>
  </si>
  <si>
    <t>PLC00001278</t>
  </si>
  <si>
    <t>TXN00007247</t>
  </si>
  <si>
    <t>A00006201</t>
  </si>
  <si>
    <t>PLC00008481</t>
  </si>
  <si>
    <t>TXN00007251</t>
  </si>
  <si>
    <t>A00009802</t>
  </si>
  <si>
    <t>PLC00005431</t>
  </si>
  <si>
    <t>TXN00007253</t>
  </si>
  <si>
    <t>A00005445</t>
  </si>
  <si>
    <t>PLC00007028</t>
  </si>
  <si>
    <t>TXN00007256</t>
  </si>
  <si>
    <t>A00007225</t>
  </si>
  <si>
    <t>PLC00009194</t>
  </si>
  <si>
    <t>TXN00007278</t>
  </si>
  <si>
    <t>A00009550</t>
  </si>
  <si>
    <t>PLC00007186</t>
  </si>
  <si>
    <t>TXN00007288</t>
  </si>
  <si>
    <t>A00007103</t>
  </si>
  <si>
    <t>PLC00001581</t>
  </si>
  <si>
    <t>TXN00007295</t>
  </si>
  <si>
    <t>A00003808</t>
  </si>
  <si>
    <t>PLC00007848</t>
  </si>
  <si>
    <t>TXN00007311</t>
  </si>
  <si>
    <t>A00000750</t>
  </si>
  <si>
    <t>PLC00007660</t>
  </si>
  <si>
    <t>TXN00007312</t>
  </si>
  <si>
    <t>A00002777</t>
  </si>
  <si>
    <t>PLC00008624</t>
  </si>
  <si>
    <t>TXN00007315</t>
  </si>
  <si>
    <t>A00009948</t>
  </si>
  <si>
    <t>PLC00002481</t>
  </si>
  <si>
    <t>TXN00007318</t>
  </si>
  <si>
    <t>A00005293</t>
  </si>
  <si>
    <t>PLC00005063</t>
  </si>
  <si>
    <t>TXN00007319</t>
  </si>
  <si>
    <t>A00000882</t>
  </si>
  <si>
    <t>PLC00009809</t>
  </si>
  <si>
    <t>TXN00007320</t>
  </si>
  <si>
    <t>A00005158</t>
  </si>
  <si>
    <t>PLC00000189</t>
  </si>
  <si>
    <t>TXN00007325</t>
  </si>
  <si>
    <t>A00001416</t>
  </si>
  <si>
    <t>PLC00001418</t>
  </si>
  <si>
    <t>TXN00007328</t>
  </si>
  <si>
    <t>A00008047</t>
  </si>
  <si>
    <t>PLC00004163</t>
  </si>
  <si>
    <t>TXN00007340</t>
  </si>
  <si>
    <t>A00005664</t>
  </si>
  <si>
    <t>PLC00005645</t>
  </si>
  <si>
    <t>TXN00007349</t>
  </si>
  <si>
    <t>A00001309</t>
  </si>
  <si>
    <t>PLC00006550</t>
  </si>
  <si>
    <t>TXN00007363</t>
  </si>
  <si>
    <t>A00003305</t>
  </si>
  <si>
    <t>PLC00005737</t>
  </si>
  <si>
    <t>TXN00007366</t>
  </si>
  <si>
    <t>A00007540</t>
  </si>
  <si>
    <t>PLC00006913</t>
  </si>
  <si>
    <t>TXN00007369</t>
  </si>
  <si>
    <t>A00009505</t>
  </si>
  <si>
    <t>PLC00000437</t>
  </si>
  <si>
    <t>TXN00007372</t>
  </si>
  <si>
    <t>A00001647</t>
  </si>
  <si>
    <t>PLC00003585</t>
  </si>
  <si>
    <t>TXN00007374</t>
  </si>
  <si>
    <t>A00008296</t>
  </si>
  <si>
    <t>PLC00007097</t>
  </si>
  <si>
    <t>TXN00007376</t>
  </si>
  <si>
    <t>A00001275</t>
  </si>
  <si>
    <t>PLC00003586</t>
  </si>
  <si>
    <t>TXN00007393</t>
  </si>
  <si>
    <t>A00003651</t>
  </si>
  <si>
    <t>PLC00005783</t>
  </si>
  <si>
    <t>TXN00007396</t>
  </si>
  <si>
    <t>A00002110</t>
  </si>
  <si>
    <t>PLC00003327</t>
  </si>
  <si>
    <t>TXN00007397</t>
  </si>
  <si>
    <t>A00008663</t>
  </si>
  <si>
    <t>PLC00000117</t>
  </si>
  <si>
    <t>TXN00007401</t>
  </si>
  <si>
    <t>A00001965</t>
  </si>
  <si>
    <t>PLC00005723</t>
  </si>
  <si>
    <t>TXN00007409</t>
  </si>
  <si>
    <t>A00003285</t>
  </si>
  <si>
    <t>PLC00006670</t>
  </si>
  <si>
    <t>TXN00007416</t>
  </si>
  <si>
    <t>A00000395</t>
  </si>
  <si>
    <t>PLC00000773</t>
  </si>
  <si>
    <t>TXN00007417</t>
  </si>
  <si>
    <t>A00005964</t>
  </si>
  <si>
    <t>PLC00002383</t>
  </si>
  <si>
    <t>TXN00007429</t>
  </si>
  <si>
    <t>A00002160</t>
  </si>
  <si>
    <t>PLC00008749</t>
  </si>
  <si>
    <t>TXN00007435</t>
  </si>
  <si>
    <t>A00009504</t>
  </si>
  <si>
    <t>PLC00002659</t>
  </si>
  <si>
    <t>TXN00007436</t>
  </si>
  <si>
    <t>A00002112</t>
  </si>
  <si>
    <t>PLC00009578</t>
  </si>
  <si>
    <t>TXN00007450</t>
  </si>
  <si>
    <t>A00003418</t>
  </si>
  <si>
    <t>PLC00003357</t>
  </si>
  <si>
    <t>TXN00007454</t>
  </si>
  <si>
    <t>A00000525</t>
  </si>
  <si>
    <t>PLC00000448</t>
  </si>
  <si>
    <t>TXN00007459</t>
  </si>
  <si>
    <t>A00008365</t>
  </si>
  <si>
    <t>PLC00006687</t>
  </si>
  <si>
    <t>TXN00007468</t>
  </si>
  <si>
    <t>A00003087</t>
  </si>
  <si>
    <t>PLC00003376</t>
  </si>
  <si>
    <t>TXN00007484</t>
  </si>
  <si>
    <t>A00009527</t>
  </si>
  <si>
    <t>PLC00002802</t>
  </si>
  <si>
    <t>TXN00007491</t>
  </si>
  <si>
    <t>A00009035</t>
  </si>
  <si>
    <t>PLC00004806</t>
  </si>
  <si>
    <t>TXN00007495</t>
  </si>
  <si>
    <t>A00000659</t>
  </si>
  <si>
    <t>PLC00007444</t>
  </si>
  <si>
    <t>TXN00007501</t>
  </si>
  <si>
    <t>A00000235</t>
  </si>
  <si>
    <t>PLC00002099</t>
  </si>
  <si>
    <t>TXN00007502</t>
  </si>
  <si>
    <t>A00008678</t>
  </si>
  <si>
    <t>PLC00005280</t>
  </si>
  <si>
    <t>TXN00007503</t>
  </si>
  <si>
    <t>A00009526</t>
  </si>
  <si>
    <t>PLC00002217</t>
  </si>
  <si>
    <t>TXN00007509</t>
  </si>
  <si>
    <t>A00004146</t>
  </si>
  <si>
    <t>PLC00006911</t>
  </si>
  <si>
    <t>TXN00007529</t>
  </si>
  <si>
    <t>A00007536</t>
  </si>
  <si>
    <t>PLC00002459</t>
  </si>
  <si>
    <t>TXN00007532</t>
  </si>
  <si>
    <t>A00003587</t>
  </si>
  <si>
    <t>PLC00007227</t>
  </si>
  <si>
    <t>TXN00007535</t>
  </si>
  <si>
    <t>A00002323</t>
  </si>
  <si>
    <t>PLC00005754</t>
  </si>
  <si>
    <t>TXN00007545</t>
  </si>
  <si>
    <t>A00002990</t>
  </si>
  <si>
    <t>PLC00000941</t>
  </si>
  <si>
    <t>TXN00007546</t>
  </si>
  <si>
    <t>A00001946</t>
  </si>
  <si>
    <t>PLC00004776</t>
  </si>
  <si>
    <t>TXN00007550</t>
  </si>
  <si>
    <t>A00009131</t>
  </si>
  <si>
    <t>PLC00007342</t>
  </si>
  <si>
    <t>TXN00007568</t>
  </si>
  <si>
    <t>A00005154</t>
  </si>
  <si>
    <t>PLC00002587</t>
  </si>
  <si>
    <t>TXN00007571</t>
  </si>
  <si>
    <t>A00003204</t>
  </si>
  <si>
    <t>PLC00006952</t>
  </si>
  <si>
    <t>TXN00007578</t>
  </si>
  <si>
    <t>A00000311</t>
  </si>
  <si>
    <t>PLC00001316</t>
  </si>
  <si>
    <t>TXN00007588</t>
  </si>
  <si>
    <t>A00009239</t>
  </si>
  <si>
    <t>PLC00005442</t>
  </si>
  <si>
    <t>TXN00007608</t>
  </si>
  <si>
    <t>A00000596</t>
  </si>
  <si>
    <t>PLC00004883</t>
  </si>
  <si>
    <t>TXN00007611</t>
  </si>
  <si>
    <t>A00003001</t>
  </si>
  <si>
    <t>PLC00008761</t>
  </si>
  <si>
    <t>TXN00007624</t>
  </si>
  <si>
    <t>A00002621</t>
  </si>
  <si>
    <t>PLC00007083</t>
  </si>
  <si>
    <t>TXN00007629</t>
  </si>
  <si>
    <t>A00002810</t>
  </si>
  <si>
    <t>PLC00003365</t>
  </si>
  <si>
    <t>TXN00007631</t>
  </si>
  <si>
    <t>A00003902</t>
  </si>
  <si>
    <t>PLC00007489</t>
  </si>
  <si>
    <t>TXN00007641</t>
  </si>
  <si>
    <t>A00001603</t>
  </si>
  <si>
    <t>PLC00000384</t>
  </si>
  <si>
    <t>TXN00007649</t>
  </si>
  <si>
    <t>A00002960</t>
  </si>
  <si>
    <t>PLC00007536</t>
  </si>
  <si>
    <t>TXN00007658</t>
  </si>
  <si>
    <t>A00003820</t>
  </si>
  <si>
    <t>PLC00008215</t>
  </si>
  <si>
    <t>TXN00007661</t>
  </si>
  <si>
    <t>A00005832</t>
  </si>
  <si>
    <t>PLC00009424</t>
  </si>
  <si>
    <t>TXN00007665</t>
  </si>
  <si>
    <t>A00007503</t>
  </si>
  <si>
    <t>PLC00001977</t>
  </si>
  <si>
    <t>TXN00007666</t>
  </si>
  <si>
    <t>A00002096</t>
  </si>
  <si>
    <t>PLC00006763</t>
  </si>
  <si>
    <t>TXN00007669</t>
  </si>
  <si>
    <t>A00001104</t>
  </si>
  <si>
    <t>PLC00008779</t>
  </si>
  <si>
    <t>TXN00007677</t>
  </si>
  <si>
    <t>A00005850</t>
  </si>
  <si>
    <t>PLC00001739</t>
  </si>
  <si>
    <t>TXN00007682</t>
  </si>
  <si>
    <t>A00003781</t>
  </si>
  <si>
    <t>PLC00008131</t>
  </si>
  <si>
    <t>TXN00007683</t>
  </si>
  <si>
    <t>A00004127</t>
  </si>
  <si>
    <t>PLC00008463</t>
  </si>
  <si>
    <t>TXN00007690</t>
  </si>
  <si>
    <t>A00006190</t>
  </si>
  <si>
    <t>PLC00002323</t>
  </si>
  <si>
    <t>TXN00007691</t>
  </si>
  <si>
    <t>A00005915</t>
  </si>
  <si>
    <t>PLC00009682</t>
  </si>
  <si>
    <t>TXN00007711</t>
  </si>
  <si>
    <t>A00003775</t>
  </si>
  <si>
    <t>PLC00007349</t>
  </si>
  <si>
    <t>TXN00007713</t>
  </si>
  <si>
    <t>A00003470</t>
  </si>
  <si>
    <t>PLC00007211</t>
  </si>
  <si>
    <t>TXN00007726</t>
  </si>
  <si>
    <t>A00000855</t>
  </si>
  <si>
    <t>PLC00006151</t>
  </si>
  <si>
    <t>TXN00007728</t>
  </si>
  <si>
    <t>A00001923</t>
  </si>
  <si>
    <t>PLC00007136</t>
  </si>
  <si>
    <t>TXN00007733</t>
  </si>
  <si>
    <t>A00002860</t>
  </si>
  <si>
    <t>PLC00006712</t>
  </si>
  <si>
    <t>TXN00007735</t>
  </si>
  <si>
    <t>A00000470</t>
  </si>
  <si>
    <t>PLC00004985</t>
  </si>
  <si>
    <t>TXN00007736</t>
  </si>
  <si>
    <t>A00001798</t>
  </si>
  <si>
    <t>PLC00005395</t>
  </si>
  <si>
    <t>TXN00007753</t>
  </si>
  <si>
    <t>A00006324</t>
  </si>
  <si>
    <t>PLC00000206</t>
  </si>
  <si>
    <t>TXN00007762</t>
  </si>
  <si>
    <t>A00003763</t>
  </si>
  <si>
    <t>PLC00008033</t>
  </si>
  <si>
    <t>TXN00007765</t>
  </si>
  <si>
    <t>A00007634</t>
  </si>
  <si>
    <t>PLC00001470</t>
  </si>
  <si>
    <t>TXN00007771</t>
  </si>
  <si>
    <t>A00000919</t>
  </si>
  <si>
    <t>PLC00007552</t>
  </si>
  <si>
    <t>TXN00007778</t>
  </si>
  <si>
    <t>A00005272</t>
  </si>
  <si>
    <t>PLC00001756</t>
  </si>
  <si>
    <t>TXN00007787</t>
  </si>
  <si>
    <t>A00007247</t>
  </si>
  <si>
    <t>PLC00002231</t>
  </si>
  <si>
    <t>TXN00007790</t>
  </si>
  <si>
    <t>A00003282</t>
  </si>
  <si>
    <t>PLC00003146</t>
  </si>
  <si>
    <t>TXN00007791</t>
  </si>
  <si>
    <t>A00008253</t>
  </si>
  <si>
    <t>PLC00006937</t>
  </si>
  <si>
    <t>TXN00007792</t>
  </si>
  <si>
    <t>A00007681</t>
  </si>
  <si>
    <t>PLC00008193</t>
  </si>
  <si>
    <t>TXN00007798</t>
  </si>
  <si>
    <t>A00007642</t>
  </si>
  <si>
    <t>PLC00008250</t>
  </si>
  <si>
    <t>TXN00007799</t>
  </si>
  <si>
    <t>A00005395</t>
  </si>
  <si>
    <t>PLC00008548</t>
  </si>
  <si>
    <t>TXN00007807</t>
  </si>
  <si>
    <t>A00004357</t>
  </si>
  <si>
    <t>PLC00004408</t>
  </si>
  <si>
    <t>TXN00007808</t>
  </si>
  <si>
    <t>A00000835</t>
  </si>
  <si>
    <t>PLC00003273</t>
  </si>
  <si>
    <t>TXN00007812</t>
  </si>
  <si>
    <t>A00001161</t>
  </si>
  <si>
    <t>PLC00003447</t>
  </si>
  <si>
    <t>TXN00007814</t>
  </si>
  <si>
    <t>A00004480</t>
  </si>
  <si>
    <t>PLC00004547</t>
  </si>
  <si>
    <t>TXN00007826</t>
  </si>
  <si>
    <t>A00003367</t>
  </si>
  <si>
    <t>PLC00002965</t>
  </si>
  <si>
    <t>TXN00007848</t>
  </si>
  <si>
    <t>A00001064</t>
  </si>
  <si>
    <t>PLC00009797</t>
  </si>
  <si>
    <t>TXN00007868</t>
  </si>
  <si>
    <t>A00000269</t>
  </si>
  <si>
    <t>PLC00005172</t>
  </si>
  <si>
    <t>TXN00007869</t>
  </si>
  <si>
    <t>A00008661</t>
  </si>
  <si>
    <t>PLC00003470</t>
  </si>
  <si>
    <t>TXN00007870</t>
  </si>
  <si>
    <t>A00009857</t>
  </si>
  <si>
    <t>PLC00002704</t>
  </si>
  <si>
    <t>TXN00007872</t>
  </si>
  <si>
    <t>A00006893</t>
  </si>
  <si>
    <t>PLC00001631</t>
  </si>
  <si>
    <t>TXN00007875</t>
  </si>
  <si>
    <t>A00001786</t>
  </si>
  <si>
    <t>PLC00006102</t>
  </si>
  <si>
    <t>TXN00007876</t>
  </si>
  <si>
    <t>A00000152</t>
  </si>
  <si>
    <t>PLC00008304</t>
  </si>
  <si>
    <t>TXN00007885</t>
  </si>
  <si>
    <t>A00002396</t>
  </si>
  <si>
    <t>PLC00004821</t>
  </si>
  <si>
    <t>TXN00007888</t>
  </si>
  <si>
    <t>A00009230</t>
  </si>
  <si>
    <t>PLC00004277</t>
  </si>
  <si>
    <t>TXN00007896</t>
  </si>
  <si>
    <t>A00006074</t>
  </si>
  <si>
    <t>PLC00004450</t>
  </si>
  <si>
    <t>TXN00007901</t>
  </si>
  <si>
    <t>A00004536</t>
  </si>
  <si>
    <t>PLC00001607</t>
  </si>
  <si>
    <t>TXN00007902</t>
  </si>
  <si>
    <t>A00000971</t>
  </si>
  <si>
    <t>PLC00001944</t>
  </si>
  <si>
    <t>TXN00007907</t>
  </si>
  <si>
    <t>A00007747</t>
  </si>
  <si>
    <t>PLC00001206</t>
  </si>
  <si>
    <t>TXN00007917</t>
  </si>
  <si>
    <t>A00006182</t>
  </si>
  <si>
    <t>PLC00003330</t>
  </si>
  <si>
    <t>TXN00007927</t>
  </si>
  <si>
    <t>A00004198</t>
  </si>
  <si>
    <t>PLC00007415</t>
  </si>
  <si>
    <t>TXN00007936</t>
  </si>
  <si>
    <t>A00006501</t>
  </si>
  <si>
    <t>PLC00005467</t>
  </si>
  <si>
    <t>TXN00007937</t>
  </si>
  <si>
    <t>A00009072</t>
  </si>
  <si>
    <t>PLC00008972</t>
  </si>
  <si>
    <t>TXN00007939</t>
  </si>
  <si>
    <t>A00004528</t>
  </si>
  <si>
    <t>PLC00005086</t>
  </si>
  <si>
    <t>TXN00007941</t>
  </si>
  <si>
    <t>A00006308</t>
  </si>
  <si>
    <t>PLC00000006</t>
  </si>
  <si>
    <t>TXN00007948</t>
  </si>
  <si>
    <t>A00002386</t>
  </si>
  <si>
    <t>PLC00001371</t>
  </si>
  <si>
    <t>TXN00007958</t>
  </si>
  <si>
    <t>A00000484</t>
  </si>
  <si>
    <t>PLC00007584</t>
  </si>
  <si>
    <t>TXN00007960</t>
  </si>
  <si>
    <t>A00004680</t>
  </si>
  <si>
    <t>PLC00007519</t>
  </si>
  <si>
    <t>TXN00007965</t>
  </si>
  <si>
    <t>A00006450</t>
  </si>
  <si>
    <t>PLC00002362</t>
  </si>
  <si>
    <t>TXN00007968</t>
  </si>
  <si>
    <t>A00008190</t>
  </si>
  <si>
    <t>PLC00001723</t>
  </si>
  <si>
    <t>TXN00007972</t>
  </si>
  <si>
    <t>A00002783</t>
  </si>
  <si>
    <t>PLC00003896</t>
  </si>
  <si>
    <t>TXN00007978</t>
  </si>
  <si>
    <t>A00002714</t>
  </si>
  <si>
    <t>PLC00001050</t>
  </si>
  <si>
    <t>TXN00007983</t>
  </si>
  <si>
    <t>A00000789</t>
  </si>
  <si>
    <t>PLC00002278</t>
  </si>
  <si>
    <t>TXN00007990</t>
  </si>
  <si>
    <t>A00007596</t>
  </si>
  <si>
    <t>PLC00003512</t>
  </si>
  <si>
    <t>TXN00007992</t>
  </si>
  <si>
    <t>A00003813</t>
  </si>
  <si>
    <t>PLC00005861</t>
  </si>
  <si>
    <t>TXN00008002</t>
  </si>
  <si>
    <t>A00004202</t>
  </si>
  <si>
    <t>PLC00005111</t>
  </si>
  <si>
    <t>TXN00008007</t>
  </si>
  <si>
    <t>A00007242</t>
  </si>
  <si>
    <t>PLC00006584</t>
  </si>
  <si>
    <t>TXN00008024</t>
  </si>
  <si>
    <t>A00001071</t>
  </si>
  <si>
    <t>PLC00006609</t>
  </si>
  <si>
    <t>TXN00008027</t>
  </si>
  <si>
    <t>A00003324</t>
  </si>
  <si>
    <t>PLC00005757</t>
  </si>
  <si>
    <t>TXN00008028</t>
  </si>
  <si>
    <t>A00004236</t>
  </si>
  <si>
    <t>PLC00002830</t>
  </si>
  <si>
    <t>TXN00008059</t>
  </si>
  <si>
    <t>A00000794</t>
  </si>
  <si>
    <t>PLC00007453</t>
  </si>
  <si>
    <t>TXN00008062</t>
  </si>
  <si>
    <t>A00002164</t>
  </si>
  <si>
    <t>PLC00000400</t>
  </si>
  <si>
    <t>TXN00008068</t>
  </si>
  <si>
    <t>A00008034</t>
  </si>
  <si>
    <t>PLC00003736</t>
  </si>
  <si>
    <t>TXN00008069</t>
  </si>
  <si>
    <t>A00003927</t>
  </si>
  <si>
    <t>PLC00005382</t>
  </si>
  <si>
    <t>TXN00008072</t>
  </si>
  <si>
    <t>A00003553</t>
  </si>
  <si>
    <t>PLC00008313</t>
  </si>
  <si>
    <t>TXN00008081</t>
  </si>
  <si>
    <t>A00004312</t>
  </si>
  <si>
    <t>PLC00005767</t>
  </si>
  <si>
    <t>TXN00008083</t>
  </si>
  <si>
    <t>A00003148</t>
  </si>
  <si>
    <t>PLC00002553</t>
  </si>
  <si>
    <t>TXN00008088</t>
  </si>
  <si>
    <t>A00002537</t>
  </si>
  <si>
    <t>PLC00005836</t>
  </si>
  <si>
    <t>TXN00008093</t>
  </si>
  <si>
    <t>A00006386</t>
  </si>
  <si>
    <t>PLC00005136</t>
  </si>
  <si>
    <t>TXN00008104</t>
  </si>
  <si>
    <t>A00000469</t>
  </si>
  <si>
    <t>PLC00006429</t>
  </si>
  <si>
    <t>TXN00008107</t>
  </si>
  <si>
    <t>A00002370</t>
  </si>
  <si>
    <t>PLC00008991</t>
  </si>
  <si>
    <t>TXN00008118</t>
  </si>
  <si>
    <t>A00008575</t>
  </si>
  <si>
    <t>PLC00008125</t>
  </si>
  <si>
    <t>TXN00008125</t>
  </si>
  <si>
    <t>A00005838</t>
  </si>
  <si>
    <t>PLC00009615</t>
  </si>
  <si>
    <t>TXN00008129</t>
  </si>
  <si>
    <t>A00000318</t>
  </si>
  <si>
    <t>PLC00007706</t>
  </si>
  <si>
    <t>TXN00008137</t>
  </si>
  <si>
    <t>A00006448</t>
  </si>
  <si>
    <t>PLC00008311</t>
  </si>
  <si>
    <t>TXN00008143</t>
  </si>
  <si>
    <t>A00004071</t>
  </si>
  <si>
    <t>PLC00009851</t>
  </si>
  <si>
    <t>TXN00008145</t>
  </si>
  <si>
    <t>A00008745</t>
  </si>
  <si>
    <t>PLC00006585</t>
  </si>
  <si>
    <t>TXN00008167</t>
  </si>
  <si>
    <t>A00003504</t>
  </si>
  <si>
    <t>PLC00003299</t>
  </si>
  <si>
    <t>TXN00008168</t>
  </si>
  <si>
    <t>A00004774</t>
  </si>
  <si>
    <t>PLC00002468</t>
  </si>
  <si>
    <t>TXN00008178</t>
  </si>
  <si>
    <t>A00004715</t>
  </si>
  <si>
    <t>PLC00001150</t>
  </si>
  <si>
    <t>TXN00008184</t>
  </si>
  <si>
    <t>A00009091</t>
  </si>
  <si>
    <t>PLC00003010</t>
  </si>
  <si>
    <t>TXN00008185</t>
  </si>
  <si>
    <t>A00009006</t>
  </si>
  <si>
    <t>PLC00005722</t>
  </si>
  <si>
    <t>TXN00008188</t>
  </si>
  <si>
    <t>A00009027</t>
  </si>
  <si>
    <t>PLC00000799</t>
  </si>
  <si>
    <t>TXN00008200</t>
  </si>
  <si>
    <t>A00000695</t>
  </si>
  <si>
    <t>PLC00001279</t>
  </si>
  <si>
    <t>TXN00008204</t>
  </si>
  <si>
    <t>A00003256</t>
  </si>
  <si>
    <t>PLC00005638</t>
  </si>
  <si>
    <t>TXN00008205</t>
  </si>
  <si>
    <t>A00004015</t>
  </si>
  <si>
    <t>PLC00006357</t>
  </si>
  <si>
    <t>TXN00008233</t>
  </si>
  <si>
    <t>A00009406</t>
  </si>
  <si>
    <t>PLC00008652</t>
  </si>
  <si>
    <t>TXN00008239</t>
  </si>
  <si>
    <t>A00008010</t>
  </si>
  <si>
    <t>PLC00001755</t>
  </si>
  <si>
    <t>TXN00008256</t>
  </si>
  <si>
    <t>A00007721</t>
  </si>
  <si>
    <t>PLC00000336</t>
  </si>
  <si>
    <t>TXN00008257</t>
  </si>
  <si>
    <t>A00009248</t>
  </si>
  <si>
    <t>PLC00008852</t>
  </si>
  <si>
    <t>TXN00008258</t>
  </si>
  <si>
    <t>A00004924</t>
  </si>
  <si>
    <t>PLC00000143</t>
  </si>
  <si>
    <t>TXN00008260</t>
  </si>
  <si>
    <t>A00006682</t>
  </si>
  <si>
    <t>PLC00007396</t>
  </si>
  <si>
    <t>TXN00008271</t>
  </si>
  <si>
    <t>A00001177</t>
  </si>
  <si>
    <t>PLC00006880</t>
  </si>
  <si>
    <t>TXN00008274</t>
  </si>
  <si>
    <t>A00009893</t>
  </si>
  <si>
    <t>PLC00009468</t>
  </si>
  <si>
    <t>TXN00008281</t>
  </si>
  <si>
    <t>A00009435</t>
  </si>
  <si>
    <t>PLC00008964</t>
  </si>
  <si>
    <t>TXN00008286</t>
  </si>
  <si>
    <t>A00006445</t>
  </si>
  <si>
    <t>PLC00005439</t>
  </si>
  <si>
    <t>TXN00008287</t>
  </si>
  <si>
    <t>A00000491</t>
  </si>
  <si>
    <t>PLC00001975</t>
  </si>
  <si>
    <t>TXN00008293</t>
  </si>
  <si>
    <t>A00005126</t>
  </si>
  <si>
    <t>PLC00000976</t>
  </si>
  <si>
    <t>TXN00008306</t>
  </si>
  <si>
    <t>A00005100</t>
  </si>
  <si>
    <t>PLC00007370</t>
  </si>
  <si>
    <t>TXN00008315</t>
  </si>
  <si>
    <t>A00008938</t>
  </si>
  <si>
    <t>PLC00003046</t>
  </si>
  <si>
    <t>TXN00008320</t>
  </si>
  <si>
    <t>A00007658</t>
  </si>
  <si>
    <t>PLC00008210</t>
  </si>
  <si>
    <t>TXN00008324</t>
  </si>
  <si>
    <t>A00000351</t>
  </si>
  <si>
    <t>PLC00002552</t>
  </si>
  <si>
    <t>TXN00008325</t>
  </si>
  <si>
    <t>A00007177</t>
  </si>
  <si>
    <t>PLC00006975</t>
  </si>
  <si>
    <t>TXN00008326</t>
  </si>
  <si>
    <t>A00008380</t>
  </si>
  <si>
    <t>PLC00008683</t>
  </si>
  <si>
    <t>TXN00008328</t>
  </si>
  <si>
    <t>A00003502</t>
  </si>
  <si>
    <t>PLC00005460</t>
  </si>
  <si>
    <t>TXN00008331</t>
  </si>
  <si>
    <t>A00009891</t>
  </si>
  <si>
    <t>PLC00008809</t>
  </si>
  <si>
    <t>TXN00008335</t>
  </si>
  <si>
    <t>A00005765</t>
  </si>
  <si>
    <t>PLC00009683</t>
  </si>
  <si>
    <t>TXN00008337</t>
  </si>
  <si>
    <t>A00000587</t>
  </si>
  <si>
    <t>PLC00001336</t>
  </si>
  <si>
    <t>TXN00008342</t>
  </si>
  <si>
    <t>A00001542</t>
  </si>
  <si>
    <t>PLC00006351</t>
  </si>
  <si>
    <t>TXN00008353</t>
  </si>
  <si>
    <t>A00004633</t>
  </si>
  <si>
    <t>PLC00000334</t>
  </si>
  <si>
    <t>TXN00008354</t>
  </si>
  <si>
    <t>A00001117</t>
  </si>
  <si>
    <t>PLC00007218</t>
  </si>
  <si>
    <t>TXN00008355</t>
  </si>
  <si>
    <t>A00007137</t>
  </si>
  <si>
    <t>PLC00004543</t>
  </si>
  <si>
    <t>TXN00008360</t>
  </si>
  <si>
    <t>A00008707</t>
  </si>
  <si>
    <t>PLC00005745</t>
  </si>
  <si>
    <t>TXN00008365</t>
  </si>
  <si>
    <t>A00007561</t>
  </si>
  <si>
    <t>PLC00009787</t>
  </si>
  <si>
    <t>TXN00008393</t>
  </si>
  <si>
    <t>A00002654</t>
  </si>
  <si>
    <t>PLC00005010</t>
  </si>
  <si>
    <t>TXN00008403</t>
  </si>
  <si>
    <t>A00007738</t>
  </si>
  <si>
    <t>PLC00008043</t>
  </si>
  <si>
    <t>TXN00008409</t>
  </si>
  <si>
    <t>A00002833</t>
  </si>
  <si>
    <t>PLC00000399</t>
  </si>
  <si>
    <t>TXN00008410</t>
  </si>
  <si>
    <t>A00000570</t>
  </si>
  <si>
    <t>PLC00002317</t>
  </si>
  <si>
    <t>TXN00008416</t>
  </si>
  <si>
    <t>A00001913</t>
  </si>
  <si>
    <t>PLC00004685</t>
  </si>
  <si>
    <t>TXN00008417</t>
  </si>
  <si>
    <t>A00005699</t>
  </si>
  <si>
    <t>PLC00004332</t>
  </si>
  <si>
    <t>TXN00008418</t>
  </si>
  <si>
    <t>A00000781</t>
  </si>
  <si>
    <t>PLC00002935</t>
  </si>
  <si>
    <t>TXN00008428</t>
  </si>
  <si>
    <t>A00009402</t>
  </si>
  <si>
    <t>PLC00007327</t>
  </si>
  <si>
    <t>TXN00008429</t>
  </si>
  <si>
    <t>A00001294</t>
  </si>
  <si>
    <t>PLC00008547</t>
  </si>
  <si>
    <t>TXN00008431</t>
  </si>
  <si>
    <t>A00007012</t>
  </si>
  <si>
    <t>PLC00006348</t>
  </si>
  <si>
    <t>TXN00008450</t>
  </si>
  <si>
    <t>A00008650</t>
  </si>
  <si>
    <t>PLC00001613</t>
  </si>
  <si>
    <t>TXN00008455</t>
  </si>
  <si>
    <t>A00007965</t>
  </si>
  <si>
    <t>PLC00008616</t>
  </si>
  <si>
    <t>TXN00008456</t>
  </si>
  <si>
    <t>A00008064</t>
  </si>
  <si>
    <t>PLC00004572</t>
  </si>
  <si>
    <t>TXN00008457</t>
  </si>
  <si>
    <t>A00003329</t>
  </si>
  <si>
    <t>PLC00001488</t>
  </si>
  <si>
    <t>TXN00008465</t>
  </si>
  <si>
    <t>A00000665</t>
  </si>
  <si>
    <t>PLC00000379</t>
  </si>
  <si>
    <t>TXN00008468</t>
  </si>
  <si>
    <t>A00005598</t>
  </si>
  <si>
    <t>PLC00005715</t>
  </si>
  <si>
    <t>TXN00008483</t>
  </si>
  <si>
    <t>A00000489</t>
  </si>
  <si>
    <t>PLC00001698</t>
  </si>
  <si>
    <t>TXN00008487</t>
  </si>
  <si>
    <t>A00008094</t>
  </si>
  <si>
    <t>PLC00003387</t>
  </si>
  <si>
    <t>TXN00008493</t>
  </si>
  <si>
    <t>A00006245</t>
  </si>
  <si>
    <t>PLC00001111</t>
  </si>
  <si>
    <t>TXN00008495</t>
  </si>
  <si>
    <t>A00003283</t>
  </si>
  <si>
    <t>PLC00007909</t>
  </si>
  <si>
    <t>TXN00008501</t>
  </si>
  <si>
    <t>A00004188</t>
  </si>
  <si>
    <t>PLC00006131</t>
  </si>
  <si>
    <t>TXN00008503</t>
  </si>
  <si>
    <t>A00001750</t>
  </si>
  <si>
    <t>PLC00008060</t>
  </si>
  <si>
    <t>TXN00008509</t>
  </si>
  <si>
    <t>A00007526</t>
  </si>
  <si>
    <t>PLC00004449</t>
  </si>
  <si>
    <t>TXN00008513</t>
  </si>
  <si>
    <t>A00008897</t>
  </si>
  <si>
    <t>PLC00007515</t>
  </si>
  <si>
    <t>TXN00008522</t>
  </si>
  <si>
    <t>A00007924</t>
  </si>
  <si>
    <t>PLC00006201</t>
  </si>
  <si>
    <t>TXN00008530</t>
  </si>
  <si>
    <t>A00002045</t>
  </si>
  <si>
    <t>PLC00003669</t>
  </si>
  <si>
    <t>TXN00008537</t>
  </si>
  <si>
    <t>A00008910</t>
  </si>
  <si>
    <t>PLC00002230</t>
  </si>
  <si>
    <t>TXN00008538</t>
  </si>
  <si>
    <t>A00008432</t>
  </si>
  <si>
    <t>PLC00006717</t>
  </si>
  <si>
    <t>TXN00008540</t>
  </si>
  <si>
    <t>A00009978</t>
  </si>
  <si>
    <t>PLC00002155</t>
  </si>
  <si>
    <t>TXN00008545</t>
  </si>
  <si>
    <t>A00003093</t>
  </si>
  <si>
    <t>PLC00003469</t>
  </si>
  <si>
    <t>TXN00008549</t>
  </si>
  <si>
    <t>A00003518</t>
  </si>
  <si>
    <t>PLC00009364</t>
  </si>
  <si>
    <t>TXN00008552</t>
  </si>
  <si>
    <t>A00000340</t>
  </si>
  <si>
    <t>PLC00000135</t>
  </si>
  <si>
    <t>TXN00008556</t>
  </si>
  <si>
    <t>A00002148</t>
  </si>
  <si>
    <t>PLC00000598</t>
  </si>
  <si>
    <t>TXN00008569</t>
  </si>
  <si>
    <t>A00004646</t>
  </si>
  <si>
    <t>PLC00006101</t>
  </si>
  <si>
    <t>TXN00008570</t>
  </si>
  <si>
    <t>A00003484</t>
  </si>
  <si>
    <t>PLC00006425</t>
  </si>
  <si>
    <t>TXN00008575</t>
  </si>
  <si>
    <t>A00008596</t>
  </si>
  <si>
    <t>PLC00001661</t>
  </si>
  <si>
    <t>TXN00008579</t>
  </si>
  <si>
    <t>A00003782</t>
  </si>
  <si>
    <t>PLC00004161</t>
  </si>
  <si>
    <t>TXN00008584</t>
  </si>
  <si>
    <t>A00004714</t>
  </si>
  <si>
    <t>PLC00002232</t>
  </si>
  <si>
    <t>TXN00008587</t>
  </si>
  <si>
    <t>A00002030</t>
  </si>
  <si>
    <t>PLC00007962</t>
  </si>
  <si>
    <t>TXN00008591</t>
  </si>
  <si>
    <t>A00002008</t>
  </si>
  <si>
    <t>PLC00000558</t>
  </si>
  <si>
    <t>TXN00008593</t>
  </si>
  <si>
    <t>A00001325</t>
  </si>
  <si>
    <t>PLC00001641</t>
  </si>
  <si>
    <t>TXN00008594</t>
  </si>
  <si>
    <t>A00000456</t>
  </si>
  <si>
    <t>PLC00004051</t>
  </si>
  <si>
    <t>TXN00008602</t>
  </si>
  <si>
    <t>A00006843</t>
  </si>
  <si>
    <t>PLC00009283</t>
  </si>
  <si>
    <t>TXN00008606</t>
  </si>
  <si>
    <t>A00004130</t>
  </si>
  <si>
    <t>PLC00007175</t>
  </si>
  <si>
    <t>TXN00008614</t>
  </si>
  <si>
    <t>A00006155</t>
  </si>
  <si>
    <t>PLC00007430</t>
  </si>
  <si>
    <t>TXN00008615</t>
  </si>
  <si>
    <t>A00003876</t>
  </si>
  <si>
    <t>PLC00007827</t>
  </si>
  <si>
    <t>TXN00008619</t>
  </si>
  <si>
    <t>A00008833</t>
  </si>
  <si>
    <t>PLC00003078</t>
  </si>
  <si>
    <t>TXN00008621</t>
  </si>
  <si>
    <t>A00008928</t>
  </si>
  <si>
    <t>PLC00005966</t>
  </si>
  <si>
    <t>TXN00008623</t>
  </si>
  <si>
    <t>A00005121</t>
  </si>
  <si>
    <t>PLC00008979</t>
  </si>
  <si>
    <t>TXN00008629</t>
  </si>
  <si>
    <t>A00005869</t>
  </si>
  <si>
    <t>PLC00000601</t>
  </si>
  <si>
    <t>TXN00008634</t>
  </si>
  <si>
    <t>A00001938</t>
  </si>
  <si>
    <t>PLC00002405</t>
  </si>
  <si>
    <t>TXN00008641</t>
  </si>
  <si>
    <t>A00002922</t>
  </si>
  <si>
    <t>PLC00007861</t>
  </si>
  <si>
    <t>TXN00008661</t>
  </si>
  <si>
    <t>A00000179</t>
  </si>
  <si>
    <t>PLC00002068</t>
  </si>
  <si>
    <t>TXN00008662</t>
  </si>
  <si>
    <t>A00000895</t>
  </si>
  <si>
    <t>PLC00002484</t>
  </si>
  <si>
    <t>TXN00008663</t>
  </si>
  <si>
    <t>A00003034</t>
  </si>
  <si>
    <t>PLC00009376</t>
  </si>
  <si>
    <t>TXN00008665</t>
  </si>
  <si>
    <t>A00002240</t>
  </si>
  <si>
    <t>PLC00007104</t>
  </si>
  <si>
    <t>TXN00008672</t>
  </si>
  <si>
    <t>A00004538</t>
  </si>
  <si>
    <t>PLC00009965</t>
  </si>
  <si>
    <t>TXN00008677</t>
  </si>
  <si>
    <t>A00005693</t>
  </si>
  <si>
    <t>PLC00008142</t>
  </si>
  <si>
    <t>TXN00008690</t>
  </si>
  <si>
    <t>A00001316</t>
  </si>
  <si>
    <t>PLC00007539</t>
  </si>
  <si>
    <t>TXN00008692</t>
  </si>
  <si>
    <t>A00000535</t>
  </si>
  <si>
    <t>PLC00003952</t>
  </si>
  <si>
    <t>TXN00008694</t>
  </si>
  <si>
    <t>A00005694</t>
  </si>
  <si>
    <t>PLC00005859</t>
  </si>
  <si>
    <t>TXN00008696</t>
  </si>
  <si>
    <t>A00008464</t>
  </si>
  <si>
    <t>PLC00005134</t>
  </si>
  <si>
    <t>TXN00008717</t>
  </si>
  <si>
    <t>A00007017</t>
  </si>
  <si>
    <t>PLC00004604</t>
  </si>
  <si>
    <t>TXN00008720</t>
  </si>
  <si>
    <t>A00003400</t>
  </si>
  <si>
    <t>PLC00008573</t>
  </si>
  <si>
    <t>TXN00008721</t>
  </si>
  <si>
    <t>A00009171</t>
  </si>
  <si>
    <t>PLC00003116</t>
  </si>
  <si>
    <t>TXN00008745</t>
  </si>
  <si>
    <t>A00008858</t>
  </si>
  <si>
    <t>PLC00002444</t>
  </si>
  <si>
    <t>TXN00008749</t>
  </si>
  <si>
    <t>A00006018</t>
  </si>
  <si>
    <t>PLC00007127</t>
  </si>
  <si>
    <t>TXN00008750</t>
  </si>
  <si>
    <t>A00005946</t>
  </si>
  <si>
    <t>PLC00008736</t>
  </si>
  <si>
    <t>TXN00008792</t>
  </si>
  <si>
    <t>A00004891</t>
  </si>
  <si>
    <t>PLC00000360</t>
  </si>
  <si>
    <t>TXN00008794</t>
  </si>
  <si>
    <t>A00007155</t>
  </si>
  <si>
    <t>PLC00007403</t>
  </si>
  <si>
    <t>TXN00008797</t>
  </si>
  <si>
    <t>A00006890</t>
  </si>
  <si>
    <t>PLC00004535</t>
  </si>
  <si>
    <t>TXN00008800</t>
  </si>
  <si>
    <t>A00004432</t>
  </si>
  <si>
    <t>PLC00005345</t>
  </si>
  <si>
    <t>TXN00008808</t>
  </si>
  <si>
    <t>A00004105</t>
  </si>
  <si>
    <t>PLC00007791</t>
  </si>
  <si>
    <t>TXN00008812</t>
  </si>
  <si>
    <t>A00005610</t>
  </si>
  <si>
    <t>PLC00000884</t>
  </si>
  <si>
    <t>TXN00008820</t>
  </si>
  <si>
    <t>A00008035</t>
  </si>
  <si>
    <t>PLC00007620</t>
  </si>
  <si>
    <t>TXN00008821</t>
  </si>
  <si>
    <t>A00007141</t>
  </si>
  <si>
    <t>PLC00001592</t>
  </si>
  <si>
    <t>TXN00008830</t>
  </si>
  <si>
    <t>A00006689</t>
  </si>
  <si>
    <t>PLC00009612</t>
  </si>
  <si>
    <t>TXN00008838</t>
  </si>
  <si>
    <t>A00007611</t>
  </si>
  <si>
    <t>PLC00005899</t>
  </si>
  <si>
    <t>TXN00008844</t>
  </si>
  <si>
    <t>A00004137</t>
  </si>
  <si>
    <t>PLC00002839</t>
  </si>
  <si>
    <t>TXN00008854</t>
  </si>
  <si>
    <t>A00007909</t>
  </si>
  <si>
    <t>PLC00009903</t>
  </si>
  <si>
    <t>TXN00008857</t>
  </si>
  <si>
    <t>A00004999</t>
  </si>
  <si>
    <t>PLC00002771</t>
  </si>
  <si>
    <t>TXN00008871</t>
  </si>
  <si>
    <t>A00009045</t>
  </si>
  <si>
    <t>PLC00006135</t>
  </si>
  <si>
    <t>TXN00008875</t>
  </si>
  <si>
    <t>A00002930</t>
  </si>
  <si>
    <t>PLC00000259</t>
  </si>
  <si>
    <t>TXN00008876</t>
  </si>
  <si>
    <t>A00000876</t>
  </si>
  <si>
    <t>PLC00004691</t>
  </si>
  <si>
    <t>TXN00008882</t>
  </si>
  <si>
    <t>A00000292</t>
  </si>
  <si>
    <t>PLC00006997</t>
  </si>
  <si>
    <t>TXN00008889</t>
  </si>
  <si>
    <t>A00009669</t>
  </si>
  <si>
    <t>PLC00003142</t>
  </si>
  <si>
    <t>TXN00008891</t>
  </si>
  <si>
    <t>A00003593</t>
  </si>
  <si>
    <t>PLC00003567</t>
  </si>
  <si>
    <t>TXN00008895</t>
  </si>
  <si>
    <t>A00006340</t>
  </si>
  <si>
    <t>PLC00004725</t>
  </si>
  <si>
    <t>TXN00008941</t>
  </si>
  <si>
    <t>A00006133</t>
  </si>
  <si>
    <t>PLC00005651</t>
  </si>
  <si>
    <t>TXN00008944</t>
  </si>
  <si>
    <t>A00002514</t>
  </si>
  <si>
    <t>PLC00004480</t>
  </si>
  <si>
    <t>TXN00008956</t>
  </si>
  <si>
    <t>A00008890</t>
  </si>
  <si>
    <t>PLC00009434</t>
  </si>
  <si>
    <t>TXN00008962</t>
  </si>
  <si>
    <t>A00002469</t>
  </si>
  <si>
    <t>PLC00007152</t>
  </si>
  <si>
    <t>TXN00008965</t>
  </si>
  <si>
    <t>A00003972</t>
  </si>
  <si>
    <t>PLC00007722</t>
  </si>
  <si>
    <t>TXN00008966</t>
  </si>
  <si>
    <t>A00003776</t>
  </si>
  <si>
    <t>PLC00006411</t>
  </si>
  <si>
    <t>TXN00008970</t>
  </si>
  <si>
    <t>A00005751</t>
  </si>
  <si>
    <t>PLC00000518</t>
  </si>
  <si>
    <t>TXN00008972</t>
  </si>
  <si>
    <t>A00005200</t>
  </si>
  <si>
    <t>PLC00009353</t>
  </si>
  <si>
    <t>TXN00008975</t>
  </si>
  <si>
    <t>A00007638</t>
  </si>
  <si>
    <t>PLC00001158</t>
  </si>
  <si>
    <t>TXN00008977</t>
  </si>
  <si>
    <t>A00008610</t>
  </si>
  <si>
    <t>PLC00001714</t>
  </si>
  <si>
    <t>TXN00008995</t>
  </si>
  <si>
    <t>A00007752</t>
  </si>
  <si>
    <t>PLC00001340</t>
  </si>
  <si>
    <t>TXN00008999</t>
  </si>
  <si>
    <t>A00004083</t>
  </si>
  <si>
    <t>PLC00001228</t>
  </si>
  <si>
    <t>TXN00009001</t>
  </si>
  <si>
    <t>A00000642</t>
  </si>
  <si>
    <t>PLC00004004</t>
  </si>
  <si>
    <t>TXN00009008</t>
  </si>
  <si>
    <t>A00008348</t>
  </si>
  <si>
    <t>PLC00007272</t>
  </si>
  <si>
    <t>TXN00009020</t>
  </si>
  <si>
    <t>A00008208</t>
  </si>
  <si>
    <t>PLC00005785</t>
  </si>
  <si>
    <t>TXN00009024</t>
  </si>
  <si>
    <t>A00007424</t>
  </si>
  <si>
    <t>PLC00002518</t>
  </si>
  <si>
    <t>TXN00009025</t>
  </si>
  <si>
    <t>A00003741</t>
  </si>
  <si>
    <t>PLC00008982</t>
  </si>
  <si>
    <t>TXN00009038</t>
  </si>
  <si>
    <t>A00009283</t>
  </si>
  <si>
    <t>PLC00005275</t>
  </si>
  <si>
    <t>TXN00009046</t>
  </si>
  <si>
    <t>A00008751</t>
  </si>
  <si>
    <t>PLC00001180</t>
  </si>
  <si>
    <t>TXN00009047</t>
  </si>
  <si>
    <t>A00001848</t>
  </si>
  <si>
    <t>PLC00009593</t>
  </si>
  <si>
    <t>TXN00009058</t>
  </si>
  <si>
    <t>A00009665</t>
  </si>
  <si>
    <t>PLC00007679</t>
  </si>
  <si>
    <t>TXN00009062</t>
  </si>
  <si>
    <t>A00001010</t>
  </si>
  <si>
    <t>PLC00008776</t>
  </si>
  <si>
    <t>TXN00009071</t>
  </si>
  <si>
    <t>A00004897</t>
  </si>
  <si>
    <t>PLC00000175</t>
  </si>
  <si>
    <t>TXN00009078</t>
  </si>
  <si>
    <t>A00008935</t>
  </si>
  <si>
    <t>PLC00006099</t>
  </si>
  <si>
    <t>TXN00009082</t>
  </si>
  <si>
    <t>A00000461</t>
  </si>
  <si>
    <t>PLC00006334</t>
  </si>
  <si>
    <t>TXN00009102</t>
  </si>
  <si>
    <t>A00009354</t>
  </si>
  <si>
    <t>PLC00000556</t>
  </si>
  <si>
    <t>TXN00009104</t>
  </si>
  <si>
    <t>A00006950</t>
  </si>
  <si>
    <t>PLC00008283</t>
  </si>
  <si>
    <t>TXN00009110</t>
  </si>
  <si>
    <t>A00004143</t>
  </si>
  <si>
    <t>PLC00005205</t>
  </si>
  <si>
    <t>TXN00009111</t>
  </si>
  <si>
    <t>A00006553</t>
  </si>
  <si>
    <t>PLC00003710</t>
  </si>
  <si>
    <t>TXN00009113</t>
  </si>
  <si>
    <t>A00000021</t>
  </si>
  <si>
    <t>PLC00002425</t>
  </si>
  <si>
    <t>TXN00009118</t>
  </si>
  <si>
    <t>A00001859</t>
  </si>
  <si>
    <t>PLC00009817</t>
  </si>
  <si>
    <t>TXN00009121</t>
  </si>
  <si>
    <t>A00004149</t>
  </si>
  <si>
    <t>PLC00007197</t>
  </si>
  <si>
    <t>TXN00009132</t>
  </si>
  <si>
    <t>A00009697</t>
  </si>
  <si>
    <t>PLC00000109</t>
  </si>
  <si>
    <t>TXN00009134</t>
  </si>
  <si>
    <t>A00007835</t>
  </si>
  <si>
    <t>PLC00004438</t>
  </si>
  <si>
    <t>TXN00009144</t>
  </si>
  <si>
    <t>A00001577</t>
  </si>
  <si>
    <t>PLC00008208</t>
  </si>
  <si>
    <t>TXN00009149</t>
  </si>
  <si>
    <t>A00004062</t>
  </si>
  <si>
    <t>PLC00000835</t>
  </si>
  <si>
    <t>TXN00009162</t>
  </si>
  <si>
    <t>A00006064</t>
  </si>
  <si>
    <t>PLC00000546</t>
  </si>
  <si>
    <t>TXN00009165</t>
  </si>
  <si>
    <t>A00002670</t>
  </si>
  <si>
    <t>PLC00003021</t>
  </si>
  <si>
    <t>TXN00009169</t>
  </si>
  <si>
    <t>A00007549</t>
  </si>
  <si>
    <t>PLC00004678</t>
  </si>
  <si>
    <t>TXN00009183</t>
  </si>
  <si>
    <t>A00009481</t>
  </si>
  <si>
    <t>PLC00007859</t>
  </si>
  <si>
    <t>TXN00009188</t>
  </si>
  <si>
    <t>A00004858</t>
  </si>
  <si>
    <t>PLC00002113</t>
  </si>
  <si>
    <t>TXN00009192</t>
  </si>
  <si>
    <t>A00009768</t>
  </si>
  <si>
    <t>PLC00000089</t>
  </si>
  <si>
    <t>TXN00009196</t>
  </si>
  <si>
    <t>A00008452</t>
  </si>
  <si>
    <t>PLC00002460</t>
  </si>
  <si>
    <t>TXN00009215</t>
  </si>
  <si>
    <t>A00008862</t>
  </si>
  <si>
    <t>PLC00005816</t>
  </si>
  <si>
    <t>TXN00009229</t>
  </si>
  <si>
    <t>A00002220</t>
  </si>
  <si>
    <t>PLC00003360</t>
  </si>
  <si>
    <t>TXN00009233</t>
  </si>
  <si>
    <t>A00006243</t>
  </si>
  <si>
    <t>PLC00007836</t>
  </si>
  <si>
    <t>TXN00009240</t>
  </si>
  <si>
    <t>A00005373</t>
  </si>
  <si>
    <t>PLC00002805</t>
  </si>
  <si>
    <t>TXN00009241</t>
  </si>
  <si>
    <t>A00006860</t>
  </si>
  <si>
    <t>PLC00000421</t>
  </si>
  <si>
    <t>TXN00009256</t>
  </si>
  <si>
    <t>A00007108</t>
  </si>
  <si>
    <t>PLC00009387</t>
  </si>
  <si>
    <t>TXN00009257</t>
  </si>
  <si>
    <t>A00007166</t>
  </si>
  <si>
    <t>PLC00002936</t>
  </si>
  <si>
    <t>TXN00009264</t>
  </si>
  <si>
    <t>A00009675</t>
  </si>
  <si>
    <t>PLC00006516</t>
  </si>
  <si>
    <t>TXN00009268</t>
  </si>
  <si>
    <t>A00008502</t>
  </si>
  <si>
    <t>PLC00003070</t>
  </si>
  <si>
    <t>TXN00009281</t>
  </si>
  <si>
    <t>A00005624</t>
  </si>
  <si>
    <t>PLC00000102</t>
  </si>
  <si>
    <t>TXN00009282</t>
  </si>
  <si>
    <t>A00000897</t>
  </si>
  <si>
    <t>PLC00007900</t>
  </si>
  <si>
    <t>TXN00009303</t>
  </si>
  <si>
    <t>A00004078</t>
  </si>
  <si>
    <t>PLC00003141</t>
  </si>
  <si>
    <t>TXN00009306</t>
  </si>
  <si>
    <t>A00003183</t>
  </si>
  <si>
    <t>PLC00000791</t>
  </si>
  <si>
    <t>TXN00009312</t>
  </si>
  <si>
    <t>A00008589</t>
  </si>
  <si>
    <t>PLC00004729</t>
  </si>
  <si>
    <t>TXN00009316</t>
  </si>
  <si>
    <t>A00001498</t>
  </si>
  <si>
    <t>PLC00002040</t>
  </si>
  <si>
    <t>TXN00009318</t>
  </si>
  <si>
    <t>A00002653</t>
  </si>
  <si>
    <t>PLC00000804</t>
  </si>
  <si>
    <t>TXN00009328</t>
  </si>
  <si>
    <t>A00000514</t>
  </si>
  <si>
    <t>PLC00008100</t>
  </si>
  <si>
    <t>TXN00009336</t>
  </si>
  <si>
    <t>A00006654</t>
  </si>
  <si>
    <t>PLC00003311</t>
  </si>
  <si>
    <t>TXN00009339</t>
  </si>
  <si>
    <t>A00000906</t>
  </si>
  <si>
    <t>PLC00009634</t>
  </si>
  <si>
    <t>TXN00009340</t>
  </si>
  <si>
    <t>A00006185</t>
  </si>
  <si>
    <t>PLC00004893</t>
  </si>
  <si>
    <t>TXN00009341</t>
  </si>
  <si>
    <t>A00006697</t>
  </si>
  <si>
    <t>PLC00003909</t>
  </si>
  <si>
    <t>TXN00009356</t>
  </si>
  <si>
    <t>A00008332</t>
  </si>
  <si>
    <t>PLC00007676</t>
  </si>
  <si>
    <t>TXN00009363</t>
  </si>
  <si>
    <t>A00007834</t>
  </si>
  <si>
    <t>PLC00007767</t>
  </si>
  <si>
    <t>TXN00009369</t>
  </si>
  <si>
    <t>A00003090</t>
  </si>
  <si>
    <t>PLC00000377</t>
  </si>
  <si>
    <t>TXN00009389</t>
  </si>
  <si>
    <t>A00003989</t>
  </si>
  <si>
    <t>PLC00008378</t>
  </si>
  <si>
    <t>TXN00009390</t>
  </si>
  <si>
    <t>A00007969</t>
  </si>
  <si>
    <t>PLC00006051</t>
  </si>
  <si>
    <t>TXN00009395</t>
  </si>
  <si>
    <t>A00009521</t>
  </si>
  <si>
    <t>PLC00006278</t>
  </si>
  <si>
    <t>TXN00009397</t>
  </si>
  <si>
    <t>A00007815</t>
  </si>
  <si>
    <t>PLC00008944</t>
  </si>
  <si>
    <t>TXN00009401</t>
  </si>
  <si>
    <t>A00005528</t>
  </si>
  <si>
    <t>PLC00000369</t>
  </si>
  <si>
    <t>TXN00009410</t>
  </si>
  <si>
    <t>A00004412</t>
  </si>
  <si>
    <t>PLC00005536</t>
  </si>
  <si>
    <t>TXN00009419</t>
  </si>
  <si>
    <t>A00006508</t>
  </si>
  <si>
    <t>PLC00008583</t>
  </si>
  <si>
    <t>TXN00009427</t>
  </si>
  <si>
    <t>A00002444</t>
  </si>
  <si>
    <t>PLC00003291</t>
  </si>
  <si>
    <t>TXN00009429</t>
  </si>
  <si>
    <t>A00007973</t>
  </si>
  <si>
    <t>PLC00003822</t>
  </si>
  <si>
    <t>TXN00009431</t>
  </si>
  <si>
    <t>A00006214</t>
  </si>
  <si>
    <t>PLC00005592</t>
  </si>
  <si>
    <t>TXN00009437</t>
  </si>
  <si>
    <t>A00007975</t>
  </si>
  <si>
    <t>PLC00003018</t>
  </si>
  <si>
    <t>TXN00009441</t>
  </si>
  <si>
    <t>A00006104</t>
  </si>
  <si>
    <t>PLC00001270</t>
  </si>
  <si>
    <t>TXN00009444</t>
  </si>
  <si>
    <t>A00009009</t>
  </si>
  <si>
    <t>PLC00004624</t>
  </si>
  <si>
    <t>TXN00009452</t>
  </si>
  <si>
    <t>A00004978</t>
  </si>
  <si>
    <t>PLC00001639</t>
  </si>
  <si>
    <t>TXN00009456</t>
  </si>
  <si>
    <t>A00008738</t>
  </si>
  <si>
    <t>PLC00005409</t>
  </si>
  <si>
    <t>TXN00009458</t>
  </si>
  <si>
    <t>A00000283</t>
  </si>
  <si>
    <t>PLC00005464</t>
  </si>
  <si>
    <t>TXN00009465</t>
  </si>
  <si>
    <t>A00000487</t>
  </si>
  <si>
    <t>PLC00007285</t>
  </si>
  <si>
    <t>TXN00009468</t>
  </si>
  <si>
    <t>A00005156</t>
  </si>
  <si>
    <t>PLC00003514</t>
  </si>
  <si>
    <t>TXN00009471</t>
  </si>
  <si>
    <t>A00008221</t>
  </si>
  <si>
    <t>PLC00008217</t>
  </si>
  <si>
    <t>TXN00009472</t>
  </si>
  <si>
    <t>A00001762</t>
  </si>
  <si>
    <t>PLC00005922</t>
  </si>
  <si>
    <t>TXN00009474</t>
  </si>
  <si>
    <t>A00009169</t>
  </si>
  <si>
    <t>PLC00001028</t>
  </si>
  <si>
    <t>TXN00009483</t>
  </si>
  <si>
    <t>A00006850</t>
  </si>
  <si>
    <t>PLC00008087</t>
  </si>
  <si>
    <t>TXN00009490</t>
  </si>
  <si>
    <t>A00005691</t>
  </si>
  <si>
    <t>PLC00001070</t>
  </si>
  <si>
    <t>TXN00009493</t>
  </si>
  <si>
    <t>A00005213</t>
  </si>
  <si>
    <t>PLC00000718</t>
  </si>
  <si>
    <t>TXN00009495</t>
  </si>
  <si>
    <t>A00004867</t>
  </si>
  <si>
    <t>PLC00009370</t>
  </si>
  <si>
    <t>TXN00009496</t>
  </si>
  <si>
    <t>A00000404</t>
  </si>
  <si>
    <t>PLC00005421</t>
  </si>
  <si>
    <t>TXN00009499</t>
  </si>
  <si>
    <t>A00009776</t>
  </si>
  <si>
    <t>PLC00004924</t>
  </si>
  <si>
    <t>TXN00009513</t>
  </si>
  <si>
    <t>A00003872</t>
  </si>
  <si>
    <t>PLC00003077</t>
  </si>
  <si>
    <t>TXN00009518</t>
  </si>
  <si>
    <t>A00001352</t>
  </si>
  <si>
    <t>PLC00008421</t>
  </si>
  <si>
    <t>TXN00009540</t>
  </si>
  <si>
    <t>A00003865</t>
  </si>
  <si>
    <t>PLC00006158</t>
  </si>
  <si>
    <t>TXN00009549</t>
  </si>
  <si>
    <t>A00004967</t>
  </si>
  <si>
    <t>PLC00002261</t>
  </si>
  <si>
    <t>TXN00009555</t>
  </si>
  <si>
    <t>A00009126</t>
  </si>
  <si>
    <t>PLC00006523</t>
  </si>
  <si>
    <t>TXN00009570</t>
  </si>
  <si>
    <t>A00006911</t>
  </si>
  <si>
    <t>PLC00002106</t>
  </si>
  <si>
    <t>TXN00009573</t>
  </si>
  <si>
    <t>A00002608</t>
  </si>
  <si>
    <t>PLC00008075</t>
  </si>
  <si>
    <t>TXN00009576</t>
  </si>
  <si>
    <t>A00000080</t>
  </si>
  <si>
    <t>PLC00008856</t>
  </si>
  <si>
    <t>TXN00009577</t>
  </si>
  <si>
    <t>A00004985</t>
  </si>
  <si>
    <t>PLC00000082</t>
  </si>
  <si>
    <t>TXN00009579</t>
  </si>
  <si>
    <t>A00002929</t>
  </si>
  <si>
    <t>PLC00004931</t>
  </si>
  <si>
    <t>TXN00009583</t>
  </si>
  <si>
    <t>A00005358</t>
  </si>
  <si>
    <t>PLC00006336</t>
  </si>
  <si>
    <t>TXN00009586</t>
  </si>
  <si>
    <t>A00003298</t>
  </si>
  <si>
    <t>PLC00002864</t>
  </si>
  <si>
    <t>TXN00009598</t>
  </si>
  <si>
    <t>A00001748</t>
  </si>
  <si>
    <t>PLC00007794</t>
  </si>
  <si>
    <t>TXN00009602</t>
  </si>
  <si>
    <t>A00008199</t>
  </si>
  <si>
    <t>PLC00005126</t>
  </si>
  <si>
    <t>TXN00009603</t>
  </si>
  <si>
    <t>A00001287</t>
  </si>
  <si>
    <t>PLC00008293</t>
  </si>
  <si>
    <t>TXN00009609</t>
  </si>
  <si>
    <t>A00007956</t>
  </si>
  <si>
    <t>PLC00005824</t>
  </si>
  <si>
    <t>TXN00009618</t>
  </si>
  <si>
    <t>A00004308</t>
  </si>
  <si>
    <t>PLC00001885</t>
  </si>
  <si>
    <t>TXN00009624</t>
  </si>
  <si>
    <t>A00007223</t>
  </si>
  <si>
    <t>PLC00009129</t>
  </si>
  <si>
    <t>TXN00009628</t>
  </si>
  <si>
    <t>A00002743</t>
  </si>
  <si>
    <t>PLC00004724</t>
  </si>
  <si>
    <t>TXN00009635</t>
  </si>
  <si>
    <t>A00002574</t>
  </si>
  <si>
    <t>PLC00007507</t>
  </si>
  <si>
    <t>TXN00009642</t>
  </si>
  <si>
    <t>A00006975</t>
  </si>
  <si>
    <t>PLC00003732</t>
  </si>
  <si>
    <t>TXN00009643</t>
  </si>
  <si>
    <t>A00008931</t>
  </si>
  <si>
    <t>PLC00001215</t>
  </si>
  <si>
    <t>TXN00009654</t>
  </si>
  <si>
    <t>A00001239</t>
  </si>
  <si>
    <t>PLC00009815</t>
  </si>
  <si>
    <t>TXN00009657</t>
  </si>
  <si>
    <t>A00005403</t>
  </si>
  <si>
    <t>PLC00006970</t>
  </si>
  <si>
    <t>TXN00009663</t>
  </si>
  <si>
    <t>A00000833</t>
  </si>
  <si>
    <t>PLC00005008</t>
  </si>
  <si>
    <t>TXN00009668</t>
  </si>
  <si>
    <t>A00000711</t>
  </si>
  <si>
    <t>PLC00009652</t>
  </si>
  <si>
    <t>TXN00009670</t>
  </si>
  <si>
    <t>A00009583</t>
  </si>
  <si>
    <t>PLC00007528</t>
  </si>
  <si>
    <t>TXN00009679</t>
  </si>
  <si>
    <t>A00002590</t>
  </si>
  <si>
    <t>PLC00005373</t>
  </si>
  <si>
    <t>TXN00009682</t>
  </si>
  <si>
    <t>A00001130</t>
  </si>
  <si>
    <t>PLC00000494</t>
  </si>
  <si>
    <t>TXN00009685</t>
  </si>
  <si>
    <t>A00000148</t>
  </si>
  <si>
    <t>PLC00008792</t>
  </si>
  <si>
    <t>TXN00009686</t>
  </si>
  <si>
    <t>A00009453</t>
  </si>
  <si>
    <t>PLC00006689</t>
  </si>
  <si>
    <t>TXN00009692</t>
  </si>
  <si>
    <t>A00006347</t>
  </si>
  <si>
    <t>PLC00006598</t>
  </si>
  <si>
    <t>TXN00009720</t>
  </si>
  <si>
    <t>A00004895</t>
  </si>
  <si>
    <t>PLC00005369</t>
  </si>
  <si>
    <t>TXN00009726</t>
  </si>
  <si>
    <t>A00009039</t>
  </si>
  <si>
    <t>PLC00006894</t>
  </si>
  <si>
    <t>TXN00009730</t>
  </si>
  <si>
    <t>A00008819</t>
  </si>
  <si>
    <t>PLC00000822</t>
  </si>
  <si>
    <t>TXN00009732</t>
  </si>
  <si>
    <t>A00007145</t>
  </si>
  <si>
    <t>PLC00001515</t>
  </si>
  <si>
    <t>TXN00009739</t>
  </si>
  <si>
    <t>A00005108</t>
  </si>
  <si>
    <t>PLC00004528</t>
  </si>
  <si>
    <t>TXN00009745</t>
  </si>
  <si>
    <t>A00007432</t>
  </si>
  <si>
    <t>PLC00004569</t>
  </si>
  <si>
    <t>TXN00009750</t>
  </si>
  <si>
    <t>A00005883</t>
  </si>
  <si>
    <t>PLC00007181</t>
  </si>
  <si>
    <t>TXN00009753</t>
  </si>
  <si>
    <t>A00000819</t>
  </si>
  <si>
    <t>PLC00002180</t>
  </si>
  <si>
    <t>TXN00009764</t>
  </si>
  <si>
    <t>A00009947</t>
  </si>
  <si>
    <t>PLC00008222</t>
  </si>
  <si>
    <t>TXN00009794</t>
  </si>
  <si>
    <t>A00009320</t>
  </si>
  <si>
    <t>PLC00006470</t>
  </si>
  <si>
    <t>TXN00009804</t>
  </si>
  <si>
    <t>A00000634</t>
  </si>
  <si>
    <t>PLC00006607</t>
  </si>
  <si>
    <t>TXN00009806</t>
  </si>
  <si>
    <t>A00002142</t>
  </si>
  <si>
    <t>PLC00009532</t>
  </si>
  <si>
    <t>TXN00009808</t>
  </si>
  <si>
    <t>A00007914</t>
  </si>
  <si>
    <t>PLC00007329</t>
  </si>
  <si>
    <t>TXN00009818</t>
  </si>
  <si>
    <t>A00008903</t>
  </si>
  <si>
    <t>PLC00001293</t>
  </si>
  <si>
    <t>TXN00009833</t>
  </si>
  <si>
    <t>A00007212</t>
  </si>
  <si>
    <t>PLC00005257</t>
  </si>
  <si>
    <t>TXN00009841</t>
  </si>
  <si>
    <t>A00001470</t>
  </si>
  <si>
    <t>PLC00000588</t>
  </si>
  <si>
    <t>TXN00009842</t>
  </si>
  <si>
    <t>A00007916</t>
  </si>
  <si>
    <t>PLC00003232</t>
  </si>
  <si>
    <t>TXN00009856</t>
  </si>
  <si>
    <t>A00001546</t>
  </si>
  <si>
    <t>PLC00000061</t>
  </si>
  <si>
    <t>TXN00009862</t>
  </si>
  <si>
    <t>A00006077</t>
  </si>
  <si>
    <t>PLC00002505</t>
  </si>
  <si>
    <t>TXN00009870</t>
  </si>
  <si>
    <t>A00000450</t>
  </si>
  <si>
    <t>PLC00005967</t>
  </si>
  <si>
    <t>TXN00009877</t>
  </si>
  <si>
    <t>A00002348</t>
  </si>
  <si>
    <t>PLC00007263</t>
  </si>
  <si>
    <t>TXN00009882</t>
  </si>
  <si>
    <t>A00003724</t>
  </si>
  <si>
    <t>PLC00009867</t>
  </si>
  <si>
    <t>TXN00009883</t>
  </si>
  <si>
    <t>A00008187</t>
  </si>
  <si>
    <t>PLC00008352</t>
  </si>
  <si>
    <t>TXN00009886</t>
  </si>
  <si>
    <t>A00001914</t>
  </si>
  <si>
    <t>PLC00004144</t>
  </si>
  <si>
    <t>TXN00009899</t>
  </si>
  <si>
    <t>A00003496</t>
  </si>
  <si>
    <t>PLC00001925</t>
  </si>
  <si>
    <t>TXN00009908</t>
  </si>
  <si>
    <t>A00009496</t>
  </si>
  <si>
    <t>PLC00005341</t>
  </si>
  <si>
    <t>TXN00009913</t>
  </si>
  <si>
    <t>A00009938</t>
  </si>
  <si>
    <t>PLC00003316</t>
  </si>
  <si>
    <t>TXN00009942</t>
  </si>
  <si>
    <t>A00003218</t>
  </si>
  <si>
    <t>PLC00001055</t>
  </si>
  <si>
    <t>TXN00009944</t>
  </si>
  <si>
    <t>A00003655</t>
  </si>
  <si>
    <t>PLC00008554</t>
  </si>
  <si>
    <t>TXN00009945</t>
  </si>
  <si>
    <t>A00005908</t>
  </si>
  <si>
    <t>PLC00007429</t>
  </si>
  <si>
    <t>TXN00009954</t>
  </si>
  <si>
    <t>A00009163</t>
  </si>
  <si>
    <t>PLC00006207</t>
  </si>
  <si>
    <t>TXN00009956</t>
  </si>
  <si>
    <t>A00000989</t>
  </si>
  <si>
    <t>PLC00000433</t>
  </si>
  <si>
    <t>TXN00009962</t>
  </si>
  <si>
    <t>A00002458</t>
  </si>
  <si>
    <t>PLC00005073</t>
  </si>
  <si>
    <t>TXN00009965</t>
  </si>
  <si>
    <t>A00004219</t>
  </si>
  <si>
    <t>PLC00002489</t>
  </si>
  <si>
    <t>TXN00009966</t>
  </si>
  <si>
    <t>A00007289</t>
  </si>
  <si>
    <t>PLC00004434</t>
  </si>
  <si>
    <t>TXN00009969</t>
  </si>
  <si>
    <t>A00000660</t>
  </si>
  <si>
    <t>PLC00005482</t>
  </si>
  <si>
    <t>TXN00009975</t>
  </si>
  <si>
    <t>A00006567</t>
  </si>
  <si>
    <t>PLC00002837</t>
  </si>
  <si>
    <t>TXN00009976</t>
  </si>
  <si>
    <t>A00002659</t>
  </si>
  <si>
    <t>PLC00005667</t>
  </si>
  <si>
    <t>TXN00009981</t>
  </si>
  <si>
    <t>A00002277</t>
  </si>
  <si>
    <t>PLC00003903</t>
  </si>
  <si>
    <t>TXN00009991</t>
  </si>
  <si>
    <t>A00007116</t>
  </si>
  <si>
    <t>PLC00009899</t>
  </si>
  <si>
    <t>TXN00009996</t>
  </si>
  <si>
    <t>A00006029</t>
  </si>
  <si>
    <t>PLC00007245</t>
  </si>
  <si>
    <t>TXN00009999</t>
  </si>
  <si>
    <t>A00006694</t>
  </si>
  <si>
    <t>PLC00001781</t>
  </si>
  <si>
    <t>total_collected_premiums</t>
  </si>
  <si>
    <t xml:space="preserve">Total premiums = customer revenue </t>
  </si>
  <si>
    <t>lifetime_value</t>
  </si>
  <si>
    <t>expense ratio</t>
  </si>
  <si>
    <t>retained_premium</t>
  </si>
  <si>
    <t>expense ratio = assumed percent insurer spends on the business</t>
  </si>
  <si>
    <t>lifetime value= on an individual level, the revenue brought in</t>
  </si>
  <si>
    <t>avg lv</t>
  </si>
  <si>
    <t>min lv</t>
  </si>
  <si>
    <t>max lv</t>
  </si>
  <si>
    <t>profitable</t>
  </si>
  <si>
    <t>~45%</t>
  </si>
  <si>
    <t>~55%</t>
  </si>
  <si>
    <t>unprofitable</t>
  </si>
  <si>
    <t>avg tenure</t>
  </si>
  <si>
    <t>avg claim</t>
  </si>
  <si>
    <t>avg premium</t>
  </si>
  <si>
    <t>summary (AT A GLANCE)</t>
  </si>
  <si>
    <t>claim amount directly determines LV, so it does vary b/t p vs unp</t>
  </si>
  <si>
    <t>avg tenure is slightly different for p vs unp</t>
  </si>
  <si>
    <t>avg premiums don't differ much</t>
  </si>
  <si>
    <t>Row Labels</t>
  </si>
  <si>
    <t>(blank)</t>
  </si>
  <si>
    <t>Grand Total</t>
  </si>
  <si>
    <t>Average of lifetime_value</t>
  </si>
  <si>
    <t>the only profitable group.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</si>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</sst>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oadfield, Liam" refreshedDate="46202.903365393518" createdVersion="8" refreshedVersion="8" minRefreshableVersion="3" recordCount="1575" xr:uid="{F5EB75C6-3D3C-4330-A7EF-1334E7E36207}">
  <cacheSource type="worksheet">
    <worksheetSource ref="S1:AA1048576" sheet="ExcelCapstone"/>
  </cacheSource>
  <cacheFields count="9">
    <cacheField name="risk_segmentation" numFmtId="0">
      <sharedItems containsBlank="1" count="4">
        <s v="L"/>
        <s v="H"/>
        <s v="M"/>
        <m/>
      </sharedItems>
    </cacheField>
    <cacheField name="social_class" numFmtId="0">
      <sharedItems containsBlank="1"/>
    </cacheField>
    <cacheField name="customer_education_level" numFmtId="0">
      <sharedItems containsBlank="1"/>
    </cacheField>
    <cacheField name="house_type" numFmtId="0">
      <sharedItems containsBlank="1"/>
    </cacheField>
    <cacheField name="any_injury" numFmtId="0">
      <sharedItems containsString="0" containsBlank="1" containsNumber="1" containsInteger="1" minValue="0" maxValue="1"/>
    </cacheField>
    <cacheField name="police_report_available" numFmtId="0">
      <sharedItems containsString="0" containsBlank="1" containsNumber="1" containsInteger="1" minValue="0" maxValue="1"/>
    </cacheField>
    <cacheField name="total_collected_premiums" numFmtId="164">
      <sharedItems containsString="0" containsBlank="1" containsNumber="1" minValue="435.12" maxValue="16452.518400000001"/>
    </cacheField>
    <cacheField name="retained_premium" numFmtId="0">
      <sharedItems containsString="0" containsBlank="1" containsNumber="1" minValue="317.63760000000002" maxValue="12010.338432"/>
    </cacheField>
    <cacheField name="lifetime_value" numFmtId="0">
      <sharedItems containsString="0" containsBlank="1" containsNumber="1" minValue="-9638.2996000000003" maxValue="10832.181056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oadfield, Liam" refreshedDate="46202.918862500002" createdVersion="8" refreshedVersion="8" minRefreshableVersion="3" recordCount="1575" xr:uid="{F39D4674-9A50-44B5-857D-CE66370F3E62}">
  <cacheSource type="worksheet">
    <worksheetSource ref="A1:AA1048576" sheet="ExcelCapstone"/>
  </cacheSource>
  <cacheFields count="27">
    <cacheField name="transaction_id" numFmtId="0">
      <sharedItems containsBlank="1"/>
    </cacheField>
    <cacheField name="customer_id" numFmtId="0">
      <sharedItems containsBlank="1"/>
    </cacheField>
    <cacheField name="policy_number" numFmtId="0">
      <sharedItems containsBlank="1"/>
    </cacheField>
    <cacheField name="policy_eff_dt" numFmtId="0">
      <sharedItems containsNonDate="0" containsDate="1" containsString="0" containsBlank="1" minDate="2010-06-02T00:00:00" maxDate="2020-01-29T00:00:00"/>
    </cacheField>
    <cacheField name="loss_dt" numFmtId="0">
      <sharedItems containsNonDate="0" containsDate="1" containsString="0" containsBlank="1" minDate="2020-05-12T00:00:00" maxDate="2021-06-26T00:00:00"/>
    </cacheField>
    <cacheField name="report_dt" numFmtId="0">
      <sharedItems containsNonDate="0" containsDate="1" containsString="0" containsBlank="1" minDate="2020-05-17T00:00:00" maxDate="2021-06-27T00:00:00"/>
    </cacheField>
    <cacheField name="reporting_delay_days" numFmtId="0">
      <sharedItems containsString="0" containsBlank="1" containsNumber="1" containsInteger="1" minValue="0" maxValue="5"/>
    </cacheField>
    <cacheField name="premium_monthly" numFmtId="0">
      <sharedItems containsString="0" containsBlank="1" containsNumber="1" minValue="70.05" maxValue="139.93"/>
    </cacheField>
    <cacheField name="premium_yearly" numFmtId="0">
      <sharedItems containsString="0" containsBlank="1" containsNumber="1" minValue="840.6" maxValue="1679.16"/>
    </cacheField>
    <cacheField name="claim_amount" numFmtId="0">
      <sharedItems containsString="0" containsBlank="1" containsNumber="1" containsInteger="1" minValue="1000" maxValue="10000"/>
    </cacheField>
    <cacheField name="claim_status" numFmtId="0">
      <sharedItems containsBlank="1"/>
    </cacheField>
    <cacheField name="claim_amount_paid" numFmtId="0">
      <sharedItems containsString="0" containsBlank="1" containsNumber="1" containsInteger="1" minValue="0" maxValue="10000"/>
    </cacheField>
    <cacheField name="tenure_years" numFmtId="0">
      <sharedItems containsString="0" containsBlank="1" containsNumber="1" minValue="0.5" maxValue="9.92"/>
    </cacheField>
    <cacheField name="incident_severity" numFmtId="0">
      <sharedItems containsBlank="1"/>
    </cacheField>
    <cacheField name="tenure_months" numFmtId="0">
      <sharedItems containsString="0" containsBlank="1" containsNumber="1" containsInteger="1" minValue="6" maxValue="119"/>
    </cacheField>
    <cacheField name="age" numFmtId="0">
      <sharedItems containsString="0" containsBlank="1" containsNumber="1" containsInteger="1" minValue="25" maxValue="64"/>
    </cacheField>
    <cacheField name="marital_status" numFmtId="0">
      <sharedItems containsString="0" containsBlank="1" containsNumber="1" containsInteger="1" minValue="0" maxValue="1"/>
    </cacheField>
    <cacheField name="no_of_family_members" numFmtId="0">
      <sharedItems containsString="0" containsBlank="1" containsNumber="1" containsInteger="1" minValue="2" maxValue="7"/>
    </cacheField>
    <cacheField name="risk_segmentation" numFmtId="0">
      <sharedItems containsBlank="1"/>
    </cacheField>
    <cacheField name="social_class" numFmtId="0">
      <sharedItems containsBlank="1" count="4">
        <s v="MI"/>
        <s v="HI"/>
        <s v="LI"/>
        <m/>
      </sharedItems>
    </cacheField>
    <cacheField name="customer_education_level" numFmtId="0">
      <sharedItems containsBlank="1" count="8">
        <s v="High School"/>
        <s v="Bachelor"/>
        <s v="NA"/>
        <s v="Masters"/>
        <s v="College"/>
        <s v="MD"/>
        <s v="PhD"/>
        <m/>
      </sharedItems>
    </cacheField>
    <cacheField name="house_type" numFmtId="0">
      <sharedItems containsBlank="1"/>
    </cacheField>
    <cacheField name="any_injury" numFmtId="0">
      <sharedItems containsString="0" containsBlank="1" containsNumber="1" containsInteger="1" minValue="0" maxValue="1"/>
    </cacheField>
    <cacheField name="police_report_available" numFmtId="0">
      <sharedItems containsString="0" containsBlank="1" containsNumber="1" containsInteger="1" minValue="0" maxValue="1"/>
    </cacheField>
    <cacheField name="total_collected_premiums" numFmtId="164">
      <sharedItems containsString="0" containsBlank="1" containsNumber="1" minValue="435.12" maxValue="16452.518400000001"/>
    </cacheField>
    <cacheField name="retained_premium" numFmtId="0">
      <sharedItems containsString="0" containsBlank="1" containsNumber="1" minValue="317.63760000000002" maxValue="12010.338432"/>
    </cacheField>
    <cacheField name="lifetime_value" numFmtId="0">
      <sharedItems containsString="0" containsBlank="1" containsNumber="1" minValue="-9638.2996000000003" maxValue="10832.181056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5">
  <r>
    <x v="0"/>
    <s v="MI"/>
    <s v="High School"/>
    <s v="Rent"/>
    <n v="0"/>
    <n v="1"/>
    <n v="8122.3392000000003"/>
    <n v="5929.3076160000001"/>
    <n v="-2070.6923839999999"/>
  </r>
  <r>
    <x v="1"/>
    <s v="MI"/>
    <s v="Bachelor"/>
    <s v="Mortgage"/>
    <n v="0"/>
    <n v="1"/>
    <n v="9689.2343999999994"/>
    <n v="7073.1411119999993"/>
    <n v="2073.1411119999993"/>
  </r>
  <r>
    <x v="1"/>
    <s v="HI"/>
    <s v="High School"/>
    <s v="Own"/>
    <n v="1"/>
    <n v="1"/>
    <n v="3944.85"/>
    <n v="2879.7404999999999"/>
    <n v="2879.7404999999999"/>
  </r>
  <r>
    <x v="0"/>
    <s v="LI"/>
    <s v="NA"/>
    <s v="Rent"/>
    <n v="0"/>
    <n v="1"/>
    <n v="6179.04"/>
    <n v="4510.6992"/>
    <n v="-4489.3008"/>
  </r>
  <r>
    <x v="1"/>
    <s v="MI"/>
    <s v="High School"/>
    <s v="Mortgage"/>
    <n v="0"/>
    <n v="1"/>
    <n v="8041.95"/>
    <n v="5870.6234999999997"/>
    <n v="-2129.3765000000003"/>
  </r>
  <r>
    <x v="1"/>
    <s v="HI"/>
    <s v="Masters"/>
    <s v="Own"/>
    <n v="0"/>
    <n v="1"/>
    <n v="5881.2599999999993"/>
    <n v="4293.3197999999993"/>
    <n v="2293.3197999999993"/>
  </r>
  <r>
    <x v="0"/>
    <s v="MI"/>
    <s v="High School"/>
    <s v="Rent"/>
    <n v="0"/>
    <n v="0"/>
    <n v="4591.08"/>
    <n v="3351.4883999999997"/>
    <n v="3351.4883999999997"/>
  </r>
  <r>
    <x v="2"/>
    <s v="MI"/>
    <s v="College"/>
    <s v="Own"/>
    <n v="0"/>
    <n v="0"/>
    <n v="10290.440400000001"/>
    <n v="7512.0214920000008"/>
    <n v="-2487.9785079999992"/>
  </r>
  <r>
    <x v="0"/>
    <s v="MI"/>
    <s v="College"/>
    <s v="Mortgage"/>
    <n v="0"/>
    <n v="0"/>
    <n v="2812.5672"/>
    <n v="2053.1740559999998"/>
    <n v="-6946.8259440000002"/>
  </r>
  <r>
    <x v="1"/>
    <s v="MI"/>
    <s v="High School"/>
    <s v="Mortgage"/>
    <n v="1"/>
    <n v="1"/>
    <n v="9456.42"/>
    <n v="6903.1866"/>
    <n v="4903.1866"/>
  </r>
  <r>
    <x v="0"/>
    <s v="MI"/>
    <s v="High School"/>
    <s v="Mortgage"/>
    <n v="1"/>
    <n v="1"/>
    <n v="3605.04"/>
    <n v="2631.6792"/>
    <n v="-4368.3207999999995"/>
  </r>
  <r>
    <x v="0"/>
    <s v="HI"/>
    <s v="Bachelor"/>
    <s v="Rent"/>
    <n v="1"/>
    <n v="1"/>
    <n v="7543.77"/>
    <n v="5506.9521000000004"/>
    <n v="-493.04789999999957"/>
  </r>
  <r>
    <x v="0"/>
    <s v="HI"/>
    <s v="Bachelor"/>
    <s v="Mortgage"/>
    <n v="0"/>
    <n v="1"/>
    <n v="4437.1152000000002"/>
    <n v="3239.0940960000003"/>
    <n v="2239.0940960000003"/>
  </r>
  <r>
    <x v="0"/>
    <s v="MI"/>
    <s v="College"/>
    <s v="Own"/>
    <n v="0"/>
    <n v="1"/>
    <n v="1722"/>
    <n v="1257.06"/>
    <n v="-8742.94"/>
  </r>
  <r>
    <x v="0"/>
    <s v="HI"/>
    <s v="MD"/>
    <s v="Rent"/>
    <n v="0"/>
    <n v="1"/>
    <n v="7470.5279999999993"/>
    <n v="5453.4854399999995"/>
    <n v="-3546.5145600000005"/>
  </r>
  <r>
    <x v="0"/>
    <s v="MI"/>
    <s v="Bachelor"/>
    <s v="Mortgage"/>
    <n v="0"/>
    <n v="1"/>
    <n v="15557.580000000002"/>
    <n v="11357.0334"/>
    <n v="10357.0334"/>
  </r>
  <r>
    <x v="2"/>
    <s v="MI"/>
    <s v="MD"/>
    <s v="Own"/>
    <n v="1"/>
    <n v="1"/>
    <n v="9206.64"/>
    <n v="6720.8471999999992"/>
    <n v="-279.15280000000075"/>
  </r>
  <r>
    <x v="0"/>
    <s v="HI"/>
    <s v="High School"/>
    <s v="Mortgage"/>
    <n v="1"/>
    <n v="1"/>
    <n v="6862.0499999999993"/>
    <n v="5009.2964999999995"/>
    <n v="-990.70350000000053"/>
  </r>
  <r>
    <x v="0"/>
    <s v="HI"/>
    <s v="Masters"/>
    <s v="Own"/>
    <n v="0"/>
    <n v="1"/>
    <n v="2908.44"/>
    <n v="2123.1612"/>
    <n v="-876.83879999999999"/>
  </r>
  <r>
    <x v="0"/>
    <s v="LI"/>
    <s v="Bachelor"/>
    <s v="Mortgage"/>
    <n v="0"/>
    <n v="0"/>
    <n v="13222.9632"/>
    <n v="9652.7631359999996"/>
    <n v="4652.7631359999996"/>
  </r>
  <r>
    <x v="0"/>
    <s v="MI"/>
    <s v="PhD"/>
    <s v="Rent"/>
    <n v="1"/>
    <n v="1"/>
    <n v="3757.6224000000002"/>
    <n v="2743.0643519999999"/>
    <n v="-2256.9356480000001"/>
  </r>
  <r>
    <x v="0"/>
    <s v="MI"/>
    <s v="High School"/>
    <s v="Mortgage"/>
    <n v="1"/>
    <n v="1"/>
    <n v="12050.94"/>
    <n v="8797.1862000000001"/>
    <n v="4797.1862000000001"/>
  </r>
  <r>
    <x v="0"/>
    <s v="LI"/>
    <s v="Bachelor"/>
    <s v="Mortgage"/>
    <n v="0"/>
    <n v="1"/>
    <n v="726.56999999999994"/>
    <n v="530.39609999999993"/>
    <n v="-3469.6039000000001"/>
  </r>
  <r>
    <x v="0"/>
    <s v="HI"/>
    <s v="Bachelor"/>
    <s v="Own"/>
    <n v="0"/>
    <n v="1"/>
    <n v="9710.7839999999997"/>
    <n v="7088.8723199999995"/>
    <n v="6088.8723199999995"/>
  </r>
  <r>
    <x v="2"/>
    <s v="LI"/>
    <s v="NA"/>
    <s v="Rent"/>
    <n v="0"/>
    <n v="1"/>
    <n v="1578.3767999999998"/>
    <n v="1152.2150639999998"/>
    <n v="-2847.784936"/>
  </r>
  <r>
    <x v="0"/>
    <s v="LI"/>
    <s v="NA"/>
    <s v="Own"/>
    <n v="1"/>
    <n v="0"/>
    <n v="1494.78"/>
    <n v="1091.1894"/>
    <n v="-5908.8105999999998"/>
  </r>
  <r>
    <x v="2"/>
    <s v="LI"/>
    <s v="Bachelor"/>
    <s v="Rent"/>
    <n v="1"/>
    <n v="0"/>
    <n v="1104.2459999999999"/>
    <n v="806.09957999999983"/>
    <n v="-2193.9004199999999"/>
  </r>
  <r>
    <x v="2"/>
    <s v="HI"/>
    <s v="MD"/>
    <s v="Mortgage"/>
    <n v="0"/>
    <n v="0"/>
    <n v="7363.4832000000006"/>
    <n v="5375.3427360000005"/>
    <n v="375.34273600000051"/>
  </r>
  <r>
    <x v="2"/>
    <s v="LI"/>
    <s v="MD"/>
    <s v="Mortgage"/>
    <n v="1"/>
    <n v="1"/>
    <n v="2023.3944000000001"/>
    <n v="1477.077912"/>
    <n v="477.07791199999997"/>
  </r>
  <r>
    <x v="0"/>
    <s v="MI"/>
    <s v="PhD"/>
    <s v="Mortgage"/>
    <n v="0"/>
    <n v="1"/>
    <n v="11963.4396"/>
    <n v="8733.3109079999995"/>
    <n v="3733.3109079999995"/>
  </r>
  <r>
    <x v="0"/>
    <s v="LI"/>
    <s v="Bachelor"/>
    <s v="Rent"/>
    <n v="0"/>
    <n v="1"/>
    <n v="3817.3679999999999"/>
    <n v="2786.6786400000001"/>
    <n v="1786.6786400000001"/>
  </r>
  <r>
    <x v="2"/>
    <s v="HI"/>
    <s v="Bachelor"/>
    <s v="Mortgage"/>
    <n v="1"/>
    <n v="1"/>
    <n v="9570.3071999999993"/>
    <n v="6986.324255999999"/>
    <n v="1986.324255999999"/>
  </r>
  <r>
    <x v="2"/>
    <s v="MI"/>
    <s v="Bachelor"/>
    <s v="Mortgage"/>
    <n v="0"/>
    <n v="1"/>
    <n v="3743.9928"/>
    <n v="2733.114744"/>
    <n v="2733.114744"/>
  </r>
  <r>
    <x v="2"/>
    <s v="LI"/>
    <s v="PhD"/>
    <s v="Rent"/>
    <n v="0"/>
    <n v="1"/>
    <n v="6742.1376"/>
    <n v="4921.760448"/>
    <n v="921.760448"/>
  </r>
  <r>
    <x v="2"/>
    <s v="LI"/>
    <s v="High School"/>
    <s v="Rent"/>
    <n v="1"/>
    <n v="1"/>
    <n v="3185.1"/>
    <n v="2325.123"/>
    <n v="325.12300000000005"/>
  </r>
  <r>
    <x v="0"/>
    <s v="HI"/>
    <s v="Bachelor"/>
    <s v="Mortgage"/>
    <n v="1"/>
    <n v="1"/>
    <n v="6979.7375999999995"/>
    <n v="5095.2084479999994"/>
    <n v="4095.2084479999994"/>
  </r>
  <r>
    <x v="2"/>
    <s v="HI"/>
    <s v="High School"/>
    <s v="Own"/>
    <n v="0"/>
    <n v="1"/>
    <n v="2214.6887999999999"/>
    <n v="1616.7228239999999"/>
    <n v="1616.7228239999999"/>
  </r>
  <r>
    <x v="0"/>
    <s v="HI"/>
    <s v="MD"/>
    <s v="Mortgage"/>
    <n v="1"/>
    <n v="1"/>
    <n v="933.89279999999997"/>
    <n v="681.74174399999993"/>
    <n v="-3318.2582560000001"/>
  </r>
  <r>
    <x v="0"/>
    <s v="MI"/>
    <s v="High School"/>
    <s v="Rent"/>
    <n v="1"/>
    <n v="0"/>
    <n v="5117.9016000000001"/>
    <n v="3736.0681679999998"/>
    <n v="-2263.9318320000002"/>
  </r>
  <r>
    <x v="0"/>
    <s v="MI"/>
    <s v="High School"/>
    <s v="Rent"/>
    <n v="0"/>
    <n v="1"/>
    <n v="10986.3"/>
    <n v="8019.9989999999989"/>
    <n v="6019.9989999999989"/>
  </r>
  <r>
    <x v="1"/>
    <s v="HI"/>
    <s v="Masters"/>
    <s v="Own"/>
    <n v="1"/>
    <n v="0"/>
    <n v="13518.18"/>
    <n v="9868.2713999999996"/>
    <n v="4868.2713999999996"/>
  </r>
  <r>
    <x v="2"/>
    <s v="LI"/>
    <s v="High School"/>
    <s v="Own"/>
    <n v="0"/>
    <n v="0"/>
    <n v="11859.2736"/>
    <n v="8657.2697279999993"/>
    <n v="5657.2697279999993"/>
  </r>
  <r>
    <x v="2"/>
    <s v="MI"/>
    <s v="Bachelor"/>
    <s v="Own"/>
    <n v="0"/>
    <n v="1"/>
    <n v="2736.2160000000003"/>
    <n v="1997.4376800000002"/>
    <n v="-3002.56232"/>
  </r>
  <r>
    <x v="2"/>
    <s v="MI"/>
    <s v="Bachelor"/>
    <s v="Own"/>
    <n v="0"/>
    <n v="1"/>
    <n v="7873.4135999999999"/>
    <n v="5747.5919279999998"/>
    <n v="5747.5919279999998"/>
  </r>
  <r>
    <x v="2"/>
    <s v="LI"/>
    <s v="High School"/>
    <s v="Own"/>
    <n v="1"/>
    <n v="0"/>
    <n v="7691.8440000000001"/>
    <n v="5615.04612"/>
    <n v="-384.95388000000003"/>
  </r>
  <r>
    <x v="2"/>
    <s v="HI"/>
    <s v="Bachelor"/>
    <s v="Mortgage"/>
    <n v="1"/>
    <n v="1"/>
    <n v="7395.0623999999998"/>
    <n v="5398.395552"/>
    <n v="2398.395552"/>
  </r>
  <r>
    <x v="1"/>
    <s v="MI"/>
    <s v="Bachelor"/>
    <s v="Mortgage"/>
    <n v="0"/>
    <n v="0"/>
    <n v="12296.568000000001"/>
    <n v="8976.4946400000008"/>
    <n v="4976.4946400000008"/>
  </r>
  <r>
    <x v="1"/>
    <s v="HI"/>
    <s v="High School"/>
    <s v="Rent"/>
    <n v="1"/>
    <n v="0"/>
    <n v="8559"/>
    <n v="6248.07"/>
    <n v="1248.0699999999997"/>
  </r>
  <r>
    <x v="0"/>
    <s v="MI"/>
    <s v="PhD"/>
    <s v="Own"/>
    <n v="0"/>
    <n v="0"/>
    <n v="2410.9056"/>
    <n v="1759.961088"/>
    <n v="-6240.038912"/>
  </r>
  <r>
    <x v="0"/>
    <s v="LI"/>
    <s v="Bachelor"/>
    <s v="Mortgage"/>
    <n v="0"/>
    <n v="0"/>
    <n v="4860.3851999999997"/>
    <n v="3548.0811959999996"/>
    <n v="-2451.9188040000004"/>
  </r>
  <r>
    <x v="0"/>
    <s v="HI"/>
    <s v="Bachelor"/>
    <s v="Rent"/>
    <n v="1"/>
    <n v="0"/>
    <n v="5886"/>
    <n v="4296.78"/>
    <n v="3296.7799999999997"/>
  </r>
  <r>
    <x v="1"/>
    <s v="HI"/>
    <s v="Masters"/>
    <s v="Rent"/>
    <n v="1"/>
    <n v="0"/>
    <n v="10082.130000000001"/>
    <n v="7359.9549000000006"/>
    <n v="3359.9549000000006"/>
  </r>
  <r>
    <x v="0"/>
    <s v="MI"/>
    <s v="NA"/>
    <s v="Own"/>
    <n v="1"/>
    <n v="0"/>
    <n v="8807.9315999999999"/>
    <n v="6429.7900679999993"/>
    <n v="-1570.2099320000007"/>
  </r>
  <r>
    <x v="2"/>
    <s v="HI"/>
    <s v="Bachelor"/>
    <s v="Mortgage"/>
    <n v="0"/>
    <n v="1"/>
    <n v="8497.5744000000013"/>
    <n v="6203.2293120000004"/>
    <n v="-3796.7706879999996"/>
  </r>
  <r>
    <x v="2"/>
    <s v="MI"/>
    <s v="MD"/>
    <s v="Own"/>
    <n v="0"/>
    <n v="1"/>
    <n v="6099.3935999999994"/>
    <n v="4452.5573279999999"/>
    <n v="452.55732799999987"/>
  </r>
  <r>
    <x v="2"/>
    <s v="HI"/>
    <s v="Masters"/>
    <s v="Mortgage"/>
    <n v="1"/>
    <n v="1"/>
    <n v="7658.6112000000003"/>
    <n v="5590.7861760000005"/>
    <n v="4590.7861760000005"/>
  </r>
  <r>
    <x v="1"/>
    <s v="MI"/>
    <s v="High School"/>
    <s v="Own"/>
    <n v="1"/>
    <n v="1"/>
    <n v="3245.3316"/>
    <n v="2369.0920679999999"/>
    <n v="-1630.9079320000001"/>
  </r>
  <r>
    <x v="0"/>
    <s v="MI"/>
    <s v="Masters"/>
    <s v="Rent"/>
    <n v="1"/>
    <n v="1"/>
    <n v="8610.7584000000006"/>
    <n v="6285.8536320000003"/>
    <n v="-714.14636799999971"/>
  </r>
  <r>
    <x v="1"/>
    <s v="HI"/>
    <s v="Masters"/>
    <s v="Mortgage"/>
    <n v="1"/>
    <n v="0"/>
    <n v="5210.8488000000007"/>
    <n v="3803.9196240000006"/>
    <n v="-1196.0803759999994"/>
  </r>
  <r>
    <x v="0"/>
    <s v="MI"/>
    <s v="Masters"/>
    <s v="Mortgage"/>
    <n v="1"/>
    <n v="1"/>
    <n v="10106.140799999999"/>
    <n v="7377.4827839999989"/>
    <n v="6377.4827839999989"/>
  </r>
  <r>
    <x v="0"/>
    <s v="LI"/>
    <s v="Masters"/>
    <s v="Own"/>
    <n v="0"/>
    <n v="1"/>
    <n v="10518.264000000001"/>
    <n v="7678.3327200000003"/>
    <n v="1678.3327200000003"/>
  </r>
  <r>
    <x v="0"/>
    <s v="MI"/>
    <s v="Bachelor"/>
    <s v="Own"/>
    <n v="1"/>
    <n v="1"/>
    <n v="5430.3600000000006"/>
    <n v="3964.1628000000005"/>
    <n v="-35.837199999999484"/>
  </r>
  <r>
    <x v="0"/>
    <s v="HI"/>
    <s v="High School"/>
    <s v="Rent"/>
    <n v="1"/>
    <n v="0"/>
    <n v="1917.5111999999997"/>
    <n v="1399.7831759999997"/>
    <n v="-6600.2168240000001"/>
  </r>
  <r>
    <x v="0"/>
    <s v="MI"/>
    <s v="High School"/>
    <s v="Mortgage"/>
    <n v="1"/>
    <n v="1"/>
    <n v="679.98"/>
    <n v="496.3854"/>
    <n v="-1503.6145999999999"/>
  </r>
  <r>
    <x v="2"/>
    <s v="MI"/>
    <s v="Bachelor"/>
    <s v="Mortgage"/>
    <n v="1"/>
    <n v="0"/>
    <n v="1811.8655999999999"/>
    <n v="1322.6618879999999"/>
    <n v="-7677.3381120000004"/>
  </r>
  <r>
    <x v="2"/>
    <s v="MI"/>
    <s v="Bachelor"/>
    <s v="Own"/>
    <n v="0"/>
    <n v="1"/>
    <n v="3498.5388000000003"/>
    <n v="2553.9333240000001"/>
    <n v="553.93332400000008"/>
  </r>
  <r>
    <x v="2"/>
    <s v="MI"/>
    <s v="High School"/>
    <s v="Mortgage"/>
    <n v="1"/>
    <n v="1"/>
    <n v="11906.428800000002"/>
    <n v="8691.6930240000002"/>
    <n v="-308.30697599999985"/>
  </r>
  <r>
    <x v="2"/>
    <s v="MI"/>
    <s v="Bachelor"/>
    <s v="Mortgage"/>
    <n v="0"/>
    <n v="1"/>
    <n v="10839.3444"/>
    <n v="7912.7214119999999"/>
    <n v="1912.7214119999999"/>
  </r>
  <r>
    <x v="2"/>
    <s v="LI"/>
    <s v="Bachelor"/>
    <s v="Own"/>
    <n v="1"/>
    <n v="1"/>
    <n v="4305.4704000000002"/>
    <n v="3142.9933919999999"/>
    <n v="-4857.0066079999997"/>
  </r>
  <r>
    <x v="2"/>
    <s v="HI"/>
    <s v="Bachelor"/>
    <s v="Rent"/>
    <n v="1"/>
    <n v="1"/>
    <n v="4005.0768000000003"/>
    <n v="2923.706064"/>
    <n v="-4076.293936"/>
  </r>
  <r>
    <x v="0"/>
    <s v="MI"/>
    <s v="Masters"/>
    <s v="Mortgage"/>
    <n v="1"/>
    <n v="0"/>
    <n v="6508.7027999999991"/>
    <n v="4751.3530439999995"/>
    <n v="-248.6469560000005"/>
  </r>
  <r>
    <x v="0"/>
    <s v="MI"/>
    <s v="Bachelor"/>
    <s v="Own"/>
    <n v="0"/>
    <n v="0"/>
    <n v="3585.6000000000004"/>
    <n v="2617.4880000000003"/>
    <n v="2617.4880000000003"/>
  </r>
  <r>
    <x v="0"/>
    <s v="HI"/>
    <s v="Bachelor"/>
    <s v="Mortgage"/>
    <n v="1"/>
    <n v="1"/>
    <n v="7958.94"/>
    <n v="5810.0261999999993"/>
    <n v="-2189.9738000000007"/>
  </r>
  <r>
    <x v="2"/>
    <s v="MI"/>
    <s v="Bachelor"/>
    <s v="Own"/>
    <n v="1"/>
    <n v="1"/>
    <n v="10718.82"/>
    <n v="7824.7385999999997"/>
    <n v="-175.26140000000032"/>
  </r>
  <r>
    <x v="1"/>
    <s v="HI"/>
    <s v="MD"/>
    <s v="Own"/>
    <n v="1"/>
    <n v="1"/>
    <n v="793.14"/>
    <n v="578.99220000000003"/>
    <n v="-3421.0077999999999"/>
  </r>
  <r>
    <x v="0"/>
    <s v="LI"/>
    <s v="Bachelor"/>
    <s v="Rent"/>
    <n v="1"/>
    <n v="1"/>
    <n v="14204.456400000001"/>
    <n v="10369.253172000001"/>
    <n v="8369.2531720000006"/>
  </r>
  <r>
    <x v="0"/>
    <s v="MI"/>
    <s v="Bachelor"/>
    <s v="Rent"/>
    <n v="1"/>
    <n v="0"/>
    <n v="4974.3671999999997"/>
    <n v="3631.2880559999999"/>
    <n v="-6368.7119440000006"/>
  </r>
  <r>
    <x v="2"/>
    <s v="LI"/>
    <s v="High School"/>
    <s v="Mortgage"/>
    <n v="1"/>
    <n v="1"/>
    <n v="10096.9344"/>
    <n v="7370.7621120000003"/>
    <n v="-629.23788799999966"/>
  </r>
  <r>
    <x v="1"/>
    <s v="LI"/>
    <s v="Masters"/>
    <s v="Mortgage"/>
    <n v="1"/>
    <n v="1"/>
    <n v="3050.808"/>
    <n v="2227.0898400000001"/>
    <n v="-1772.9101599999999"/>
  </r>
  <r>
    <x v="0"/>
    <s v="MI"/>
    <s v="MD"/>
    <s v="Rent"/>
    <n v="1"/>
    <n v="1"/>
    <n v="3194.52"/>
    <n v="2331.9996000000001"/>
    <n v="331.9996000000001"/>
  </r>
  <r>
    <x v="2"/>
    <s v="MI"/>
    <s v="Bachelor"/>
    <s v="Rent"/>
    <n v="1"/>
    <n v="0"/>
    <n v="13465.6116"/>
    <n v="9829.896467999999"/>
    <n v="3829.896467999999"/>
  </r>
  <r>
    <x v="2"/>
    <s v="MI"/>
    <s v="Bachelor"/>
    <s v="Own"/>
    <n v="0"/>
    <n v="1"/>
    <n v="6710.7851999999993"/>
    <n v="4898.8731959999996"/>
    <n v="-3101.1268040000004"/>
  </r>
  <r>
    <x v="1"/>
    <s v="MI"/>
    <s v="College"/>
    <s v="Mortgage"/>
    <n v="0"/>
    <n v="0"/>
    <n v="8273.5776000000005"/>
    <n v="6039.7116480000004"/>
    <n v="6039.7116480000004"/>
  </r>
  <r>
    <x v="1"/>
    <s v="HI"/>
    <s v="Bachelor"/>
    <s v="Own"/>
    <n v="0"/>
    <n v="1"/>
    <n v="13886.64"/>
    <n v="10137.2472"/>
    <n v="1137.2471999999998"/>
  </r>
  <r>
    <x v="0"/>
    <s v="MI"/>
    <s v="Masters"/>
    <s v="Mortgage"/>
    <n v="1"/>
    <n v="1"/>
    <n v="8417.43"/>
    <n v="6144.7239"/>
    <n v="6144.7239"/>
  </r>
  <r>
    <x v="2"/>
    <s v="MI"/>
    <s v="College"/>
    <s v="Own"/>
    <n v="1"/>
    <n v="0"/>
    <n v="6090.1536000000006"/>
    <n v="4445.8121280000005"/>
    <n v="3445.8121280000005"/>
  </r>
  <r>
    <x v="0"/>
    <s v="MI"/>
    <s v="PhD"/>
    <s v="Own"/>
    <n v="1"/>
    <n v="1"/>
    <n v="10355.575199999999"/>
    <n v="7559.5698959999991"/>
    <n v="5559.5698959999991"/>
  </r>
  <r>
    <x v="2"/>
    <s v="MI"/>
    <s v="Bachelor"/>
    <s v="Rent"/>
    <n v="1"/>
    <n v="1"/>
    <n v="6167.4143999999997"/>
    <n v="4502.2125120000001"/>
    <n v="-497.78748799999994"/>
  </r>
  <r>
    <x v="2"/>
    <s v="MI"/>
    <s v="High School"/>
    <s v="Own"/>
    <n v="1"/>
    <n v="1"/>
    <n v="3056.4864000000002"/>
    <n v="2231.2350719999999"/>
    <n v="-6768.7649280000005"/>
  </r>
  <r>
    <x v="0"/>
    <s v="MI"/>
    <s v="High School"/>
    <s v="Mortgage"/>
    <n v="1"/>
    <n v="1"/>
    <n v="6353.88"/>
    <n v="4638.3324000000002"/>
    <n v="-3361.6675999999998"/>
  </r>
  <r>
    <x v="0"/>
    <s v="LI"/>
    <s v="Bachelor"/>
    <s v="Own"/>
    <n v="1"/>
    <n v="1"/>
    <n v="2786.1000000000004"/>
    <n v="2033.8530000000003"/>
    <n v="-4966.1469999999999"/>
  </r>
  <r>
    <x v="2"/>
    <s v="LI"/>
    <s v="High School"/>
    <s v="Own"/>
    <n v="1"/>
    <n v="1"/>
    <n v="12617.4048"/>
    <n v="9210.7055039999996"/>
    <n v="-789.29449600000044"/>
  </r>
  <r>
    <x v="2"/>
    <s v="LI"/>
    <s v="Bachelor"/>
    <s v="Rent"/>
    <n v="0"/>
    <n v="1"/>
    <n v="3028.8960000000002"/>
    <n v="2211.0940800000003"/>
    <n v="211.0940800000003"/>
  </r>
  <r>
    <x v="2"/>
    <s v="LI"/>
    <s v="Bachelor"/>
    <s v="Own"/>
    <n v="1"/>
    <n v="1"/>
    <n v="8578.8371999999999"/>
    <n v="6262.5511559999995"/>
    <n v="1262.5511559999995"/>
  </r>
  <r>
    <x v="2"/>
    <s v="LI"/>
    <s v="Bachelor"/>
    <s v="Rent"/>
    <n v="1"/>
    <n v="1"/>
    <n v="11744.313600000001"/>
    <n v="8573.3489280000013"/>
    <n v="1573.3489280000013"/>
  </r>
  <r>
    <x v="2"/>
    <s v="LI"/>
    <s v="College"/>
    <s v="Rent"/>
    <n v="0"/>
    <n v="1"/>
    <n v="6926.22"/>
    <n v="5056.1405999999997"/>
    <n v="2056.1405999999997"/>
  </r>
  <r>
    <x v="0"/>
    <s v="MI"/>
    <s v="Bachelor"/>
    <s v="Rent"/>
    <n v="1"/>
    <n v="1"/>
    <n v="3425.1048000000001"/>
    <n v="2500.3265040000001"/>
    <n v="500.32650400000011"/>
  </r>
  <r>
    <x v="0"/>
    <s v="HI"/>
    <s v="Bachelor"/>
    <s v="Mortgage"/>
    <n v="1"/>
    <n v="1"/>
    <n v="4940.3087999999998"/>
    <n v="3606.4254239999996"/>
    <n v="2606.4254239999996"/>
  </r>
  <r>
    <x v="2"/>
    <s v="LI"/>
    <s v="High School"/>
    <s v="Own"/>
    <n v="1"/>
    <n v="1"/>
    <n v="2993.8175999999999"/>
    <n v="2185.486848"/>
    <n v="-3814.513152"/>
  </r>
  <r>
    <x v="0"/>
    <s v="HI"/>
    <s v="Bachelor"/>
    <s v="Mortgage"/>
    <n v="1"/>
    <n v="1"/>
    <n v="7799.4000000000005"/>
    <n v="5693.5619999999999"/>
    <n v="3693.5619999999999"/>
  </r>
  <r>
    <x v="2"/>
    <s v="HI"/>
    <s v="NA"/>
    <s v="Mortgage"/>
    <n v="1"/>
    <n v="1"/>
    <n v="10439.550000000001"/>
    <n v="7620.8715000000002"/>
    <n v="7620.8715000000002"/>
  </r>
  <r>
    <x v="0"/>
    <s v="LI"/>
    <s v="Bachelor"/>
    <s v="Own"/>
    <n v="1"/>
    <n v="1"/>
    <n v="5579.28"/>
    <n v="4072.8743999999997"/>
    <n v="-1927.1256000000003"/>
  </r>
  <r>
    <x v="0"/>
    <s v="MI"/>
    <s v="Bachelor"/>
    <s v="Rent"/>
    <n v="0"/>
    <n v="0"/>
    <n v="6940.8168000000005"/>
    <n v="5066.7962640000005"/>
    <n v="66.796264000000519"/>
  </r>
  <r>
    <x v="1"/>
    <s v="MI"/>
    <s v="High School"/>
    <s v="Mortgage"/>
    <n v="1"/>
    <n v="0"/>
    <n v="7966.8684000000003"/>
    <n v="5815.813932"/>
    <n v="3815.813932"/>
  </r>
  <r>
    <x v="0"/>
    <s v="LI"/>
    <s v="High School"/>
    <s v="Mortgage"/>
    <n v="1"/>
    <n v="1"/>
    <n v="8174.4575999999997"/>
    <n v="5967.3540479999992"/>
    <n v="-4032.6459520000008"/>
  </r>
  <r>
    <x v="1"/>
    <s v="MI"/>
    <s v="Masters"/>
    <s v="Mortgage"/>
    <n v="1"/>
    <n v="1"/>
    <n v="14444.8272"/>
    <n v="10544.723855999999"/>
    <n v="544.7238559999987"/>
  </r>
  <r>
    <x v="2"/>
    <s v="MI"/>
    <s v="PhD"/>
    <s v="Rent"/>
    <n v="1"/>
    <n v="1"/>
    <n v="6532.5599999999995"/>
    <n v="4768.7687999999998"/>
    <n v="-5231.2312000000002"/>
  </r>
  <r>
    <x v="0"/>
    <s v="LI"/>
    <s v="Bachelor"/>
    <s v="Mortgage"/>
    <n v="1"/>
    <n v="1"/>
    <n v="1405.8000000000002"/>
    <n v="1026.2340000000002"/>
    <n v="-973.76599999999985"/>
  </r>
  <r>
    <x v="1"/>
    <s v="HI"/>
    <s v="MD"/>
    <s v="Mortgage"/>
    <n v="1"/>
    <n v="1"/>
    <n v="12791.433599999998"/>
    <n v="9337.7465279999979"/>
    <n v="9337.7465279999979"/>
  </r>
  <r>
    <x v="0"/>
    <s v="MI"/>
    <s v="Bachelor"/>
    <s v="Mortgage"/>
    <n v="1"/>
    <n v="1"/>
    <n v="5900.3004000000001"/>
    <n v="4307.2192919999998"/>
    <n v="4307.2192919999998"/>
  </r>
  <r>
    <x v="0"/>
    <s v="MI"/>
    <s v="Bachelor"/>
    <s v="Rent"/>
    <n v="1"/>
    <n v="1"/>
    <n v="2354.8176000000003"/>
    <n v="1719.0168480000002"/>
    <n v="-1280.9831519999998"/>
  </r>
  <r>
    <x v="0"/>
    <s v="MI"/>
    <s v="Bachelor"/>
    <s v="Own"/>
    <n v="1"/>
    <n v="0"/>
    <n v="10563.1212"/>
    <n v="7711.0784759999997"/>
    <n v="-2288.9215240000003"/>
  </r>
  <r>
    <x v="0"/>
    <s v="MI"/>
    <s v="NA"/>
    <s v="Rent"/>
    <n v="0"/>
    <n v="1"/>
    <n v="3331.0367999999999"/>
    <n v="2431.656864"/>
    <n v="-7568.3431359999995"/>
  </r>
  <r>
    <x v="0"/>
    <s v="LI"/>
    <s v="MD"/>
    <s v="Rent"/>
    <n v="1"/>
    <n v="0"/>
    <n v="5228.2368000000006"/>
    <n v="3816.6128640000002"/>
    <n v="-5183.3871359999994"/>
  </r>
  <r>
    <x v="2"/>
    <s v="LI"/>
    <s v="PhD"/>
    <s v="Own"/>
    <n v="0"/>
    <n v="1"/>
    <n v="12574.666800000001"/>
    <n v="9179.5067639999997"/>
    <n v="6179.5067639999997"/>
  </r>
  <r>
    <x v="1"/>
    <s v="LI"/>
    <s v="Bachelor"/>
    <s v="Rent"/>
    <n v="0"/>
    <n v="1"/>
    <n v="1370.0496000000001"/>
    <n v="1000.136208"/>
    <n v="-7999.8637920000001"/>
  </r>
  <r>
    <x v="1"/>
    <s v="MI"/>
    <s v="College"/>
    <s v="Rent"/>
    <n v="1"/>
    <n v="0"/>
    <n v="5147.5007999999998"/>
    <n v="3757.6755839999996"/>
    <n v="1757.6755839999996"/>
  </r>
  <r>
    <x v="2"/>
    <s v="LI"/>
    <s v="Masters"/>
    <s v="Own"/>
    <n v="1"/>
    <n v="0"/>
    <n v="9862.9919999999984"/>
    <n v="7199.9841599999991"/>
    <n v="1199.9841599999991"/>
  </r>
  <r>
    <x v="1"/>
    <s v="LI"/>
    <s v="Bachelor"/>
    <s v="Mortgage"/>
    <n v="1"/>
    <n v="1"/>
    <n v="8199.7188000000006"/>
    <n v="5985.7947240000003"/>
    <n v="-14.205275999999685"/>
  </r>
  <r>
    <x v="2"/>
    <s v="MI"/>
    <s v="High School"/>
    <s v="Mortgage"/>
    <n v="1"/>
    <n v="1"/>
    <n v="7210.9848000000002"/>
    <n v="5264.0189039999996"/>
    <n v="264.01890399999957"/>
  </r>
  <r>
    <x v="0"/>
    <s v="MI"/>
    <s v="NA"/>
    <s v="Mortgage"/>
    <n v="1"/>
    <n v="1"/>
    <n v="12256.910400000001"/>
    <n v="8947.5445920000002"/>
    <n v="7947.5445920000002"/>
  </r>
  <r>
    <x v="2"/>
    <s v="MI"/>
    <s v="High School"/>
    <s v="Own"/>
    <n v="1"/>
    <n v="1"/>
    <n v="1809.5039999999999"/>
    <n v="1320.9379199999998"/>
    <n v="-8679.0620799999997"/>
  </r>
  <r>
    <x v="0"/>
    <s v="MI"/>
    <s v="Bachelor"/>
    <s v="Rent"/>
    <n v="0"/>
    <n v="1"/>
    <n v="4915.5875999999998"/>
    <n v="3588.3789479999996"/>
    <n v="-4411.6210520000004"/>
  </r>
  <r>
    <x v="0"/>
    <s v="HI"/>
    <s v="High School"/>
    <s v="Own"/>
    <n v="1"/>
    <n v="0"/>
    <n v="8068.380000000001"/>
    <n v="5889.9174000000003"/>
    <n v="-4110.0825999999997"/>
  </r>
  <r>
    <x v="1"/>
    <s v="MI"/>
    <s v="Bachelor"/>
    <s v="Own"/>
    <n v="1"/>
    <n v="1"/>
    <n v="15474.765599999999"/>
    <n v="11296.578887999998"/>
    <n v="9296.5788879999982"/>
  </r>
  <r>
    <x v="2"/>
    <s v="MI"/>
    <s v="Bachelor"/>
    <s v="Mortgage"/>
    <n v="0"/>
    <n v="1"/>
    <n v="3708.1176"/>
    <n v="2706.9258479999999"/>
    <n v="1706.9258479999999"/>
  </r>
  <r>
    <x v="2"/>
    <s v="MI"/>
    <s v="Bachelor"/>
    <s v="Mortgage"/>
    <n v="1"/>
    <n v="0"/>
    <n v="7567.5384000000004"/>
    <n v="5524.3030319999998"/>
    <n v="-2475.6969680000002"/>
  </r>
  <r>
    <x v="0"/>
    <s v="LI"/>
    <s v="College"/>
    <s v="Mortgage"/>
    <n v="1"/>
    <n v="0"/>
    <n v="5947.68"/>
    <n v="4341.8064000000004"/>
    <n v="-658.19359999999961"/>
  </r>
  <r>
    <x v="0"/>
    <s v="HI"/>
    <s v="Bachelor"/>
    <s v="Rent"/>
    <n v="1"/>
    <n v="1"/>
    <n v="2357.6760000000004"/>
    <n v="1721.1034800000002"/>
    <n v="721.10348000000022"/>
  </r>
  <r>
    <x v="1"/>
    <s v="LI"/>
    <s v="Bachelor"/>
    <s v="Rent"/>
    <n v="1"/>
    <n v="1"/>
    <n v="12069.4992"/>
    <n v="8810.7344159999993"/>
    <n v="-1189.2655840000007"/>
  </r>
  <r>
    <x v="2"/>
    <s v="LI"/>
    <s v="High School"/>
    <s v="Own"/>
    <n v="0"/>
    <n v="1"/>
    <n v="5623.0560000000005"/>
    <n v="4104.8308800000004"/>
    <n v="-5895.1691199999996"/>
  </r>
  <r>
    <x v="2"/>
    <s v="HI"/>
    <s v="High School"/>
    <s v="Rent"/>
    <n v="1"/>
    <n v="1"/>
    <n v="2394.3000000000002"/>
    <n v="1747.8390000000002"/>
    <n v="-5252.1610000000001"/>
  </r>
  <r>
    <x v="0"/>
    <s v="MI"/>
    <s v="High School"/>
    <s v="Own"/>
    <n v="0"/>
    <n v="1"/>
    <n v="2604.2363999999998"/>
    <n v="1901.0925719999998"/>
    <n v="-2098.9074280000004"/>
  </r>
  <r>
    <x v="0"/>
    <s v="HI"/>
    <s v="High School"/>
    <s v="Own"/>
    <n v="1"/>
    <n v="1"/>
    <n v="6249.5807999999997"/>
    <n v="4562.1939839999995"/>
    <n v="2562.1939839999995"/>
  </r>
  <r>
    <x v="1"/>
    <s v="HI"/>
    <s v="High School"/>
    <s v="Own"/>
    <n v="1"/>
    <n v="0"/>
    <n v="4603.2599999999993"/>
    <n v="3360.3797999999992"/>
    <n v="1360.3797999999992"/>
  </r>
  <r>
    <x v="0"/>
    <s v="LI"/>
    <s v="MD"/>
    <s v="Own"/>
    <n v="1"/>
    <n v="1"/>
    <n v="7908.42"/>
    <n v="5773.1466"/>
    <n v="-226.85339999999997"/>
  </r>
  <r>
    <x v="2"/>
    <s v="MI"/>
    <s v="PhD"/>
    <s v="Mortgage"/>
    <n v="1"/>
    <n v="1"/>
    <n v="7750.8684000000003"/>
    <n v="5658.1339319999997"/>
    <n v="-2341.8660680000003"/>
  </r>
  <r>
    <x v="2"/>
    <s v="LI"/>
    <s v="Bachelor"/>
    <s v="Mortgage"/>
    <n v="1"/>
    <n v="1"/>
    <n v="5202.12"/>
    <n v="3797.5475999999999"/>
    <n v="1797.5475999999999"/>
  </r>
  <r>
    <x v="1"/>
    <s v="MI"/>
    <s v="Bachelor"/>
    <s v="Mortgage"/>
    <n v="0"/>
    <n v="0"/>
    <n v="9689.9712"/>
    <n v="7073.6789760000001"/>
    <n v="73.678976000000148"/>
  </r>
  <r>
    <x v="0"/>
    <s v="MI"/>
    <s v="Bachelor"/>
    <s v="Own"/>
    <n v="1"/>
    <n v="1"/>
    <n v="5316.3216000000002"/>
    <n v="3880.9147680000001"/>
    <n v="1880.9147680000001"/>
  </r>
  <r>
    <x v="0"/>
    <s v="MI"/>
    <s v="NA"/>
    <s v="Mortgage"/>
    <n v="1"/>
    <n v="0"/>
    <n v="6314.6879999999992"/>
    <n v="4609.7222399999991"/>
    <n v="-3390.2777600000009"/>
  </r>
  <r>
    <x v="1"/>
    <s v="MI"/>
    <s v="Bachelor"/>
    <s v="Rent"/>
    <n v="0"/>
    <n v="0"/>
    <n v="857.16000000000008"/>
    <n v="625.72680000000003"/>
    <n v="-8374.2731999999996"/>
  </r>
  <r>
    <x v="2"/>
    <s v="MI"/>
    <s v="High School"/>
    <s v="Mortgage"/>
    <n v="1"/>
    <n v="0"/>
    <n v="7506.45"/>
    <n v="5479.7084999999997"/>
    <n v="-4520.2915000000003"/>
  </r>
  <r>
    <x v="0"/>
    <s v="HI"/>
    <s v="Bachelor"/>
    <s v="Rent"/>
    <n v="1"/>
    <n v="1"/>
    <n v="9363.0792000000001"/>
    <n v="6835.0478160000002"/>
    <n v="-2164.9521839999998"/>
  </r>
  <r>
    <x v="1"/>
    <s v="MI"/>
    <s v="Bachelor"/>
    <s v="Own"/>
    <n v="1"/>
    <n v="1"/>
    <n v="3736.8251999999998"/>
    <n v="2727.882396"/>
    <n v="-3272.117604"/>
  </r>
  <r>
    <x v="0"/>
    <s v="LI"/>
    <s v="Bachelor"/>
    <s v="Mortgage"/>
    <n v="0"/>
    <n v="0"/>
    <n v="11428.56"/>
    <n v="8342.8487999999998"/>
    <n v="8342.8487999999998"/>
  </r>
  <r>
    <x v="2"/>
    <s v="MI"/>
    <s v="PhD"/>
    <s v="Own"/>
    <n v="1"/>
    <n v="1"/>
    <n v="3082.6871999999998"/>
    <n v="2250.361656"/>
    <n v="250.36165600000004"/>
  </r>
  <r>
    <x v="0"/>
    <s v="LI"/>
    <s v="Masters"/>
    <s v="Mortgage"/>
    <n v="0"/>
    <n v="1"/>
    <n v="3880.8"/>
    <n v="2832.9839999999999"/>
    <n v="-1167.0160000000001"/>
  </r>
  <r>
    <x v="0"/>
    <s v="LI"/>
    <s v="MD"/>
    <s v="Mortgage"/>
    <n v="1"/>
    <n v="1"/>
    <n v="7174.2000000000007"/>
    <n v="5237.1660000000002"/>
    <n v="-2762.8339999999998"/>
  </r>
  <r>
    <x v="1"/>
    <s v="LI"/>
    <s v="High School"/>
    <s v="Mortgage"/>
    <n v="1"/>
    <n v="1"/>
    <n v="1314.1224"/>
    <n v="959.30935199999999"/>
    <n v="-6040.6906479999998"/>
  </r>
  <r>
    <x v="0"/>
    <s v="LI"/>
    <s v="Masters"/>
    <s v="Mortgage"/>
    <n v="0"/>
    <n v="1"/>
    <n v="11744.304"/>
    <n v="8573.3419200000008"/>
    <n v="5573.3419200000008"/>
  </r>
  <r>
    <x v="2"/>
    <s v="LI"/>
    <s v="Bachelor"/>
    <s v="Mortgage"/>
    <n v="1"/>
    <n v="1"/>
    <n v="7705.92"/>
    <n v="5625.3216000000002"/>
    <n v="-374.67839999999978"/>
  </r>
  <r>
    <x v="2"/>
    <s v="LI"/>
    <s v="High School"/>
    <s v="Own"/>
    <n v="1"/>
    <n v="1"/>
    <n v="9177.2999999999993"/>
    <n v="6699.4289999999992"/>
    <n v="-2300.5710000000008"/>
  </r>
  <r>
    <x v="2"/>
    <s v="MI"/>
    <s v="Bachelor"/>
    <s v="Mortgage"/>
    <n v="1"/>
    <n v="0"/>
    <n v="6582.4895999999999"/>
    <n v="4805.2174079999995"/>
    <n v="-5194.7825920000005"/>
  </r>
  <r>
    <x v="2"/>
    <s v="MI"/>
    <s v="Bachelor"/>
    <s v="Mortgage"/>
    <n v="1"/>
    <n v="1"/>
    <n v="2651.9327999999996"/>
    <n v="1935.9109439999997"/>
    <n v="-6064.0890560000007"/>
  </r>
  <r>
    <x v="1"/>
    <s v="MI"/>
    <s v="High School"/>
    <s v="Mortgage"/>
    <n v="1"/>
    <n v="0"/>
    <n v="2454.9"/>
    <n v="1792.077"/>
    <n v="-207.923"/>
  </r>
  <r>
    <x v="2"/>
    <s v="MI"/>
    <s v="High School"/>
    <s v="Rent"/>
    <n v="1"/>
    <n v="1"/>
    <n v="7872.5400000000009"/>
    <n v="5746.9542000000001"/>
    <n v="2746.9542000000001"/>
  </r>
  <r>
    <x v="0"/>
    <s v="LI"/>
    <s v="Bachelor"/>
    <s v="Rent"/>
    <n v="1"/>
    <n v="0"/>
    <n v="4414.2"/>
    <n v="3222.366"/>
    <n v="-2777.634"/>
  </r>
  <r>
    <x v="2"/>
    <s v="HI"/>
    <s v="PhD"/>
    <s v="Own"/>
    <n v="0"/>
    <n v="1"/>
    <n v="5745.2172"/>
    <n v="4194.0085559999998"/>
    <n v="-3805.9914440000002"/>
  </r>
  <r>
    <x v="0"/>
    <s v="MI"/>
    <s v="Bachelor"/>
    <s v="Mortgage"/>
    <n v="0"/>
    <n v="1"/>
    <n v="8413.65"/>
    <n v="6141.9644999999991"/>
    <n v="-858.03550000000087"/>
  </r>
  <r>
    <x v="2"/>
    <s v="HI"/>
    <s v="Bachelor"/>
    <s v="Own"/>
    <n v="1"/>
    <n v="0"/>
    <n v="10807.484399999999"/>
    <n v="7889.4636119999996"/>
    <n v="889.46361199999956"/>
  </r>
  <r>
    <x v="2"/>
    <s v="HI"/>
    <s v="Masters"/>
    <s v="Rent"/>
    <n v="0"/>
    <n v="1"/>
    <n v="1285.68"/>
    <n v="938.54640000000006"/>
    <n v="-6061.4535999999998"/>
  </r>
  <r>
    <x v="2"/>
    <s v="MI"/>
    <s v="Bachelor"/>
    <s v="Own"/>
    <n v="0"/>
    <n v="1"/>
    <n v="5412.4607999999998"/>
    <n v="3951.0963839999999"/>
    <n v="-1048.9036160000001"/>
  </r>
  <r>
    <x v="1"/>
    <s v="MI"/>
    <s v="NA"/>
    <s v="Own"/>
    <n v="1"/>
    <n v="1"/>
    <n v="12897.36"/>
    <n v="9415.0727999999999"/>
    <n v="-584.92720000000008"/>
  </r>
  <r>
    <x v="0"/>
    <s v="LI"/>
    <s v="College"/>
    <s v="Mortgage"/>
    <n v="1"/>
    <n v="1"/>
    <n v="4502.1444000000001"/>
    <n v="3286.5654119999999"/>
    <n v="-2713.4345880000001"/>
  </r>
  <r>
    <x v="0"/>
    <s v="LI"/>
    <s v="High School"/>
    <s v="Mortgage"/>
    <n v="0"/>
    <n v="1"/>
    <n v="2529.8208"/>
    <n v="1846.769184"/>
    <n v="-153.230816"/>
  </r>
  <r>
    <x v="1"/>
    <s v="MI"/>
    <s v="Bachelor"/>
    <s v="Mortgage"/>
    <n v="1"/>
    <n v="1"/>
    <n v="828.66240000000005"/>
    <n v="604.92355199999997"/>
    <n v="-3395.0764479999998"/>
  </r>
  <r>
    <x v="1"/>
    <s v="LI"/>
    <s v="Masters"/>
    <s v="Mortgage"/>
    <n v="1"/>
    <n v="1"/>
    <n v="1993.8336000000002"/>
    <n v="1455.4985280000001"/>
    <n v="455.49852800000008"/>
  </r>
  <r>
    <x v="2"/>
    <s v="HI"/>
    <s v="High School"/>
    <s v="Mortgage"/>
    <n v="1"/>
    <n v="1"/>
    <n v="12693.2364"/>
    <n v="9266.0625719999989"/>
    <n v="8266.0625719999989"/>
  </r>
  <r>
    <x v="1"/>
    <s v="HI"/>
    <s v="High School"/>
    <s v="Mortgage"/>
    <n v="1"/>
    <n v="1"/>
    <n v="10352.969999999999"/>
    <n v="7557.668099999999"/>
    <n v="5557.668099999999"/>
  </r>
  <r>
    <x v="1"/>
    <s v="MI"/>
    <s v="MD"/>
    <s v="Own"/>
    <n v="0"/>
    <n v="1"/>
    <n v="5048.5680000000002"/>
    <n v="3685.4546399999999"/>
    <n v="2685.4546399999999"/>
  </r>
  <r>
    <x v="0"/>
    <s v="LI"/>
    <s v="High School"/>
    <s v="Mortgage"/>
    <n v="1"/>
    <n v="1"/>
    <n v="5075.3472000000002"/>
    <n v="3705.0034559999999"/>
    <n v="-4294.9965439999996"/>
  </r>
  <r>
    <x v="0"/>
    <s v="HI"/>
    <s v="PhD"/>
    <s v="Mortgage"/>
    <n v="1"/>
    <n v="1"/>
    <n v="6654.3167999999996"/>
    <n v="4857.6512639999992"/>
    <n v="1857.6512639999992"/>
  </r>
  <r>
    <x v="2"/>
    <s v="MI"/>
    <s v="Bachelor"/>
    <s v="Mortgage"/>
    <n v="0"/>
    <n v="1"/>
    <n v="11904.4944"/>
    <n v="8690.2809120000002"/>
    <n v="-309.71908799999983"/>
  </r>
  <r>
    <x v="2"/>
    <s v="MI"/>
    <s v="Bachelor"/>
    <s v="Mortgage"/>
    <n v="1"/>
    <n v="0"/>
    <n v="12327.7824"/>
    <n v="8999.2811519999996"/>
    <n v="1999.2811519999996"/>
  </r>
  <r>
    <x v="2"/>
    <s v="MI"/>
    <s v="High School"/>
    <s v="Own"/>
    <n v="1"/>
    <n v="1"/>
    <n v="2708.4479999999999"/>
    <n v="1977.1670399999998"/>
    <n v="-22.832960000000185"/>
  </r>
  <r>
    <x v="0"/>
    <s v="HI"/>
    <s v="Masters"/>
    <s v="Mortgage"/>
    <n v="0"/>
    <n v="1"/>
    <n v="684.12360000000012"/>
    <n v="499.41022800000007"/>
    <n v="-4500.5897720000003"/>
  </r>
  <r>
    <x v="0"/>
    <s v="LI"/>
    <s v="MD"/>
    <s v="Own"/>
    <n v="0"/>
    <n v="0"/>
    <n v="3713.0543999999995"/>
    <n v="2710.5297119999996"/>
    <n v="-2289.4702880000004"/>
  </r>
  <r>
    <x v="0"/>
    <s v="MI"/>
    <s v="Bachelor"/>
    <s v="Own"/>
    <n v="1"/>
    <n v="0"/>
    <n v="14646.403200000001"/>
    <n v="10691.874336000001"/>
    <n v="691.87433600000077"/>
  </r>
  <r>
    <x v="0"/>
    <s v="MI"/>
    <s v="Bachelor"/>
    <s v="Mortgage"/>
    <n v="1"/>
    <n v="1"/>
    <n v="2083.5588000000002"/>
    <n v="1520.9979240000002"/>
    <n v="-7479.0020759999998"/>
  </r>
  <r>
    <x v="2"/>
    <s v="MI"/>
    <s v="Bachelor"/>
    <s v="Rent"/>
    <n v="0"/>
    <n v="0"/>
    <n v="13247.126400000001"/>
    <n v="9670.4022720000012"/>
    <n v="1670.4022720000012"/>
  </r>
  <r>
    <x v="0"/>
    <s v="HI"/>
    <s v="Bachelor"/>
    <s v="Rent"/>
    <n v="1"/>
    <n v="1"/>
    <n v="11317.0368"/>
    <n v="8261.4368639999993"/>
    <n v="6261.4368639999993"/>
  </r>
  <r>
    <x v="2"/>
    <s v="HI"/>
    <s v="Bachelor"/>
    <s v="Rent"/>
    <n v="1"/>
    <n v="1"/>
    <n v="912.86160000000007"/>
    <n v="666.38896799999998"/>
    <n v="-9333.6110320000007"/>
  </r>
  <r>
    <x v="2"/>
    <s v="HI"/>
    <s v="Bachelor"/>
    <s v="Own"/>
    <n v="0"/>
    <n v="0"/>
    <n v="14466.9"/>
    <n v="10560.837"/>
    <n v="10560.837"/>
  </r>
  <r>
    <x v="0"/>
    <s v="MI"/>
    <s v="High School"/>
    <s v="Own"/>
    <n v="1"/>
    <n v="1"/>
    <n v="1819.5839999999998"/>
    <n v="1328.2963199999999"/>
    <n v="-4671.7036800000005"/>
  </r>
  <r>
    <x v="0"/>
    <s v="LI"/>
    <s v="Masters"/>
    <s v="Own"/>
    <n v="1"/>
    <n v="0"/>
    <n v="7714.9800000000005"/>
    <n v="5631.9354000000003"/>
    <n v="4631.9354000000003"/>
  </r>
  <r>
    <x v="2"/>
    <s v="MI"/>
    <s v="Bachelor"/>
    <s v="Rent"/>
    <n v="1"/>
    <n v="1"/>
    <n v="9122.2560000000012"/>
    <n v="6659.2468800000006"/>
    <n v="1659.2468800000006"/>
  </r>
  <r>
    <x v="2"/>
    <s v="HI"/>
    <s v="NA"/>
    <s v="Mortgage"/>
    <n v="1"/>
    <n v="1"/>
    <n v="964.93439999999998"/>
    <n v="704.40211199999999"/>
    <n v="-8295.5978880000002"/>
  </r>
  <r>
    <x v="2"/>
    <s v="LI"/>
    <s v="High School"/>
    <s v="Mortgage"/>
    <n v="1"/>
    <n v="0"/>
    <n v="2856.4236000000001"/>
    <n v="2085.1892280000002"/>
    <n v="-1914.8107719999998"/>
  </r>
  <r>
    <x v="0"/>
    <s v="HI"/>
    <s v="High School"/>
    <s v="Mortgage"/>
    <n v="1"/>
    <n v="1"/>
    <n v="13331.030400000001"/>
    <n v="9731.6521920000014"/>
    <n v="731.65219200000138"/>
  </r>
  <r>
    <x v="2"/>
    <s v="MI"/>
    <s v="Bachelor"/>
    <s v="Mortgage"/>
    <n v="1"/>
    <n v="1"/>
    <n v="8883.3191999999999"/>
    <n v="6484.8230159999994"/>
    <n v="3484.8230159999994"/>
  </r>
  <r>
    <x v="1"/>
    <s v="LI"/>
    <s v="PhD"/>
    <s v="Own"/>
    <n v="1"/>
    <n v="1"/>
    <n v="6821.6352000000006"/>
    <n v="4979.7936960000006"/>
    <n v="-20.206303999999363"/>
  </r>
  <r>
    <x v="0"/>
    <s v="MI"/>
    <s v="Bachelor"/>
    <s v="Mortgage"/>
    <n v="1"/>
    <n v="0"/>
    <n v="8314.6008000000002"/>
    <n v="6069.6585839999998"/>
    <n v="-1930.3414160000002"/>
  </r>
  <r>
    <x v="2"/>
    <s v="HI"/>
    <s v="PhD"/>
    <s v="Rent"/>
    <n v="0"/>
    <n v="1"/>
    <n v="7854.1440000000002"/>
    <n v="5733.5251200000002"/>
    <n v="-266.47487999999976"/>
  </r>
  <r>
    <x v="2"/>
    <s v="LI"/>
    <s v="Bachelor"/>
    <s v="Own"/>
    <n v="0"/>
    <n v="1"/>
    <n v="3759"/>
    <n v="2744.0699999999997"/>
    <n v="-6255.93"/>
  </r>
  <r>
    <x v="0"/>
    <s v="MI"/>
    <s v="Bachelor"/>
    <s v="Rent"/>
    <n v="1"/>
    <n v="1"/>
    <n v="3071.2320000000004"/>
    <n v="2241.9993600000003"/>
    <n v="-5758.0006400000002"/>
  </r>
  <r>
    <x v="0"/>
    <s v="LI"/>
    <s v="Masters"/>
    <s v="Mortgage"/>
    <n v="0"/>
    <n v="0"/>
    <n v="7704.6228000000001"/>
    <n v="5624.3746439999995"/>
    <n v="-375.62535600000047"/>
  </r>
  <r>
    <x v="0"/>
    <s v="MI"/>
    <s v="Bachelor"/>
    <s v="Mortgage"/>
    <n v="0"/>
    <n v="1"/>
    <n v="15067.140000000001"/>
    <n v="10999.012200000001"/>
    <n v="7999.012200000001"/>
  </r>
  <r>
    <x v="0"/>
    <s v="MI"/>
    <s v="College"/>
    <s v="Own"/>
    <n v="1"/>
    <n v="0"/>
    <n v="12066.912"/>
    <n v="8808.8457600000002"/>
    <n v="-191.15423999999985"/>
  </r>
  <r>
    <x v="2"/>
    <s v="MI"/>
    <s v="Bachelor"/>
    <s v="Rent"/>
    <n v="1"/>
    <n v="1"/>
    <n v="542.18399999999997"/>
    <n v="395.79431999999997"/>
    <n v="-1604.20568"/>
  </r>
  <r>
    <x v="0"/>
    <s v="MI"/>
    <s v="High School"/>
    <s v="Rent"/>
    <n v="0"/>
    <n v="0"/>
    <n v="4548.96"/>
    <n v="3320.7408"/>
    <n v="2320.7408"/>
  </r>
  <r>
    <x v="0"/>
    <s v="HI"/>
    <s v="Bachelor"/>
    <s v="Own"/>
    <n v="0"/>
    <n v="1"/>
    <n v="6460.9440000000004"/>
    <n v="4716.4891200000002"/>
    <n v="-4283.5108799999998"/>
  </r>
  <r>
    <x v="0"/>
    <s v="HI"/>
    <s v="Bachelor"/>
    <s v="Mortgage"/>
    <n v="1"/>
    <n v="0"/>
    <n v="2083.1579999999999"/>
    <n v="1520.70534"/>
    <n v="-4479.2946599999996"/>
  </r>
  <r>
    <x v="1"/>
    <s v="MI"/>
    <s v="High School"/>
    <s v="Rent"/>
    <n v="0"/>
    <n v="1"/>
    <n v="8971.02"/>
    <n v="6548.8446000000004"/>
    <n v="-451.15539999999964"/>
  </r>
  <r>
    <x v="1"/>
    <s v="MI"/>
    <s v="Bachelor"/>
    <s v="Own"/>
    <n v="0"/>
    <n v="0"/>
    <n v="3991.3104000000003"/>
    <n v="2913.6565920000003"/>
    <n v="-4086.3434079999997"/>
  </r>
  <r>
    <x v="2"/>
    <s v="MI"/>
    <s v="Bachelor"/>
    <s v="Mortgage"/>
    <n v="1"/>
    <n v="1"/>
    <n v="7421.0399999999991"/>
    <n v="5417.359199999999"/>
    <n v="1417.359199999999"/>
  </r>
  <r>
    <x v="2"/>
    <s v="HI"/>
    <s v="Bachelor"/>
    <s v="Own"/>
    <n v="1"/>
    <n v="1"/>
    <n v="6668.1"/>
    <n v="4867.7129999999997"/>
    <n v="-4132.2870000000003"/>
  </r>
  <r>
    <x v="0"/>
    <s v="MI"/>
    <s v="Bachelor"/>
    <s v="Own"/>
    <n v="1"/>
    <n v="0"/>
    <n v="16208.467200000001"/>
    <n v="11832.181056000001"/>
    <n v="10832.181056000001"/>
  </r>
  <r>
    <x v="0"/>
    <s v="LI"/>
    <s v="Bachelor"/>
    <s v="Rent"/>
    <n v="0"/>
    <n v="1"/>
    <n v="8032.6008000000002"/>
    <n v="5863.7985840000001"/>
    <n v="3863.7985840000001"/>
  </r>
  <r>
    <x v="0"/>
    <s v="MI"/>
    <s v="Bachelor"/>
    <s v="Rent"/>
    <n v="1"/>
    <n v="1"/>
    <n v="6186.4344000000001"/>
    <n v="4516.0971120000004"/>
    <n v="-2483.9028879999996"/>
  </r>
  <r>
    <x v="0"/>
    <s v="LI"/>
    <s v="High School"/>
    <s v="Mortgage"/>
    <n v="1"/>
    <n v="0"/>
    <n v="10025.0136"/>
    <n v="7318.2599280000004"/>
    <n v="-2681.7400719999996"/>
  </r>
  <r>
    <x v="1"/>
    <s v="MI"/>
    <s v="Bachelor"/>
    <s v="Mortgage"/>
    <n v="1"/>
    <n v="1"/>
    <n v="6670.8768"/>
    <n v="4869.7400639999996"/>
    <n v="3869.7400639999996"/>
  </r>
  <r>
    <x v="0"/>
    <s v="LI"/>
    <s v="College"/>
    <s v="Own"/>
    <n v="1"/>
    <n v="0"/>
    <n v="2787.8928000000001"/>
    <n v="2035.161744"/>
    <n v="-3964.838256"/>
  </r>
  <r>
    <x v="0"/>
    <s v="MI"/>
    <s v="Bachelor"/>
    <s v="Own"/>
    <n v="1"/>
    <n v="1"/>
    <n v="2433.3588"/>
    <n v="1776.3519239999998"/>
    <n v="-7223.6480760000004"/>
  </r>
  <r>
    <x v="2"/>
    <s v="HI"/>
    <s v="Masters"/>
    <s v="Mortgage"/>
    <n v="0"/>
    <n v="0"/>
    <n v="1830.9"/>
    <n v="1336.557"/>
    <n v="-1663.443"/>
  </r>
  <r>
    <x v="1"/>
    <s v="HI"/>
    <s v="College"/>
    <s v="Rent"/>
    <n v="1"/>
    <n v="1"/>
    <n v="1694.4576"/>
    <n v="1236.9540479999998"/>
    <n v="-6763.0459520000004"/>
  </r>
  <r>
    <x v="0"/>
    <s v="LI"/>
    <s v="NA"/>
    <s v="Own"/>
    <n v="1"/>
    <n v="0"/>
    <n v="1636.32"/>
    <n v="1194.5136"/>
    <n v="-5805.4863999999998"/>
  </r>
  <r>
    <x v="2"/>
    <s v="MI"/>
    <s v="Bachelor"/>
    <s v="Mortgage"/>
    <n v="1"/>
    <n v="1"/>
    <n v="3137.4816000000001"/>
    <n v="2290.3615679999998"/>
    <n v="2290.3615679999998"/>
  </r>
  <r>
    <x v="0"/>
    <s v="MI"/>
    <s v="College"/>
    <s v="Mortgage"/>
    <n v="1"/>
    <n v="0"/>
    <n v="8969.2800000000007"/>
    <n v="6547.5744000000004"/>
    <n v="-452.42559999999958"/>
  </r>
  <r>
    <x v="0"/>
    <s v="HI"/>
    <s v="PhD"/>
    <s v="Mortgage"/>
    <n v="1"/>
    <n v="0"/>
    <n v="6687.7944000000007"/>
    <n v="4882.0899120000004"/>
    <n v="-3117.9100879999996"/>
  </r>
  <r>
    <x v="2"/>
    <s v="LI"/>
    <s v="Bachelor"/>
    <s v="Own"/>
    <n v="1"/>
    <n v="1"/>
    <n v="6606.6840000000002"/>
    <n v="4822.87932"/>
    <n v="3822.87932"/>
  </r>
  <r>
    <x v="0"/>
    <s v="MI"/>
    <s v="MD"/>
    <s v="Rent"/>
    <n v="1"/>
    <n v="1"/>
    <n v="6915"/>
    <n v="5047.95"/>
    <n v="-2952.05"/>
  </r>
  <r>
    <x v="0"/>
    <s v="HI"/>
    <s v="High School"/>
    <s v="Own"/>
    <n v="1"/>
    <n v="1"/>
    <n v="7864.8815999999997"/>
    <n v="5741.3635679999998"/>
    <n v="-4258.6364320000002"/>
  </r>
  <r>
    <x v="0"/>
    <s v="MI"/>
    <s v="Masters"/>
    <s v="Own"/>
    <n v="1"/>
    <n v="1"/>
    <n v="2758.6440000000002"/>
    <n v="2013.8101200000001"/>
    <n v="-5986.1898799999999"/>
  </r>
  <r>
    <x v="0"/>
    <s v="HI"/>
    <s v="PhD"/>
    <s v="Rent"/>
    <n v="0"/>
    <n v="1"/>
    <n v="6865.9164000000001"/>
    <n v="5012.1189720000002"/>
    <n v="1012.1189720000002"/>
  </r>
  <r>
    <x v="0"/>
    <s v="HI"/>
    <s v="Bachelor"/>
    <s v="Rent"/>
    <n v="1"/>
    <n v="0"/>
    <n v="3055.8791999999999"/>
    <n v="2230.7918159999999"/>
    <n v="230.79181599999993"/>
  </r>
  <r>
    <x v="0"/>
    <s v="MI"/>
    <s v="High School"/>
    <s v="Mortgage"/>
    <n v="1"/>
    <n v="0"/>
    <n v="15554.9568"/>
    <n v="11355.118463999999"/>
    <n v="3355.1184639999992"/>
  </r>
  <r>
    <x v="0"/>
    <s v="LI"/>
    <s v="College"/>
    <s v="Rent"/>
    <n v="1"/>
    <n v="1"/>
    <n v="6724.08"/>
    <n v="4908.5783999999994"/>
    <n v="908.57839999999942"/>
  </r>
  <r>
    <x v="2"/>
    <s v="MI"/>
    <s v="Bachelor"/>
    <s v="Rent"/>
    <n v="1"/>
    <n v="0"/>
    <n v="3633.3804000000005"/>
    <n v="2652.3676920000003"/>
    <n v="-4347.6323080000002"/>
  </r>
  <r>
    <x v="0"/>
    <s v="MI"/>
    <s v="PhD"/>
    <s v="Mortgage"/>
    <n v="0"/>
    <n v="1"/>
    <n v="1357.4484"/>
    <n v="990.93733199999997"/>
    <n v="-6009.0626680000005"/>
  </r>
  <r>
    <x v="2"/>
    <s v="HI"/>
    <s v="Bachelor"/>
    <s v="Own"/>
    <n v="1"/>
    <n v="0"/>
    <n v="5779.62"/>
    <n v="4219.1225999999997"/>
    <n v="2219.1225999999997"/>
  </r>
  <r>
    <x v="2"/>
    <s v="MI"/>
    <s v="Bachelor"/>
    <s v="Rent"/>
    <n v="1"/>
    <n v="0"/>
    <n v="5560.5599999999995"/>
    <n v="4059.2087999999994"/>
    <n v="-2940.7912000000006"/>
  </r>
  <r>
    <x v="2"/>
    <s v="HI"/>
    <s v="College"/>
    <s v="Own"/>
    <n v="1"/>
    <n v="1"/>
    <n v="848.78279999999995"/>
    <n v="619.61144400000001"/>
    <n v="-2380.3885559999999"/>
  </r>
  <r>
    <x v="2"/>
    <s v="HI"/>
    <s v="Bachelor"/>
    <s v="Mortgage"/>
    <n v="1"/>
    <n v="1"/>
    <n v="9655.0752000000011"/>
    <n v="7048.2048960000011"/>
    <n v="-951.7951039999989"/>
  </r>
  <r>
    <x v="2"/>
    <s v="LI"/>
    <s v="Bachelor"/>
    <s v="Rent"/>
    <n v="1"/>
    <n v="1"/>
    <n v="9381.1967999999997"/>
    <n v="6848.2736639999994"/>
    <n v="-2151.7263360000006"/>
  </r>
  <r>
    <x v="0"/>
    <s v="LI"/>
    <s v="High School"/>
    <s v="Mortgage"/>
    <n v="0"/>
    <n v="1"/>
    <n v="8329.23"/>
    <n v="6080.3378999999995"/>
    <n v="-3919.6621000000005"/>
  </r>
  <r>
    <x v="0"/>
    <s v="HI"/>
    <s v="Bachelor"/>
    <s v="Rent"/>
    <n v="1"/>
    <n v="1"/>
    <n v="7697.1984000000002"/>
    <n v="5618.9548320000004"/>
    <n v="-3381.0451679999996"/>
  </r>
  <r>
    <x v="0"/>
    <s v="MI"/>
    <s v="NA"/>
    <s v="Rent"/>
    <n v="0"/>
    <n v="1"/>
    <n v="1445.3999999999999"/>
    <n v="1055.1419999999998"/>
    <n v="-5944.8580000000002"/>
  </r>
  <r>
    <x v="0"/>
    <s v="MI"/>
    <s v="MD"/>
    <s v="Own"/>
    <n v="1"/>
    <n v="0"/>
    <n v="6731.8811999999998"/>
    <n v="4914.2732759999999"/>
    <n v="-85.726724000000104"/>
  </r>
  <r>
    <x v="0"/>
    <s v="LI"/>
    <s v="High School"/>
    <s v="Own"/>
    <n v="1"/>
    <n v="1"/>
    <n v="15686.3208"/>
    <n v="11451.014184"/>
    <n v="10451.014184"/>
  </r>
  <r>
    <x v="2"/>
    <s v="LI"/>
    <s v="Bachelor"/>
    <s v="Rent"/>
    <n v="1"/>
    <n v="0"/>
    <n v="4625.4791999999998"/>
    <n v="3376.5998159999999"/>
    <n v="1376.5998159999999"/>
  </r>
  <r>
    <x v="0"/>
    <s v="HI"/>
    <s v="High School"/>
    <s v="Own"/>
    <n v="0"/>
    <n v="0"/>
    <n v="9156.48"/>
    <n v="6684.2303999999995"/>
    <n v="2684.2303999999995"/>
  </r>
  <r>
    <x v="0"/>
    <s v="MI"/>
    <s v="Bachelor"/>
    <s v="Own"/>
    <n v="1"/>
    <n v="1"/>
    <n v="6210.0108"/>
    <n v="4533.3078839999998"/>
    <n v="4533.3078839999998"/>
  </r>
  <r>
    <x v="0"/>
    <s v="MI"/>
    <s v="High School"/>
    <s v="Mortgage"/>
    <n v="1"/>
    <n v="1"/>
    <n v="5116.1747999999998"/>
    <n v="3734.8076039999996"/>
    <n v="-6265.1923960000004"/>
  </r>
  <r>
    <x v="0"/>
    <s v="LI"/>
    <s v="NA"/>
    <s v="Rent"/>
    <n v="0"/>
    <n v="0"/>
    <n v="4953.3468000000003"/>
    <n v="3615.9431640000003"/>
    <n v="-6384.0568359999997"/>
  </r>
  <r>
    <x v="0"/>
    <s v="LI"/>
    <s v="College"/>
    <s v="Rent"/>
    <n v="0"/>
    <n v="1"/>
    <n v="8710.2143999999989"/>
    <n v="6358.4565119999988"/>
    <n v="3358.4565119999988"/>
  </r>
  <r>
    <x v="2"/>
    <s v="LI"/>
    <s v="Bachelor"/>
    <s v="Mortgage"/>
    <n v="0"/>
    <n v="1"/>
    <n v="12946.192800000001"/>
    <n v="9450.7207440000002"/>
    <n v="7450.7207440000002"/>
  </r>
  <r>
    <x v="2"/>
    <s v="LI"/>
    <s v="MD"/>
    <s v="Own"/>
    <n v="1"/>
    <n v="1"/>
    <n v="7687.847999999999"/>
    <n v="5612.1290399999989"/>
    <n v="-3387.8709600000011"/>
  </r>
  <r>
    <x v="0"/>
    <s v="LI"/>
    <s v="Masters"/>
    <s v="Mortgage"/>
    <n v="0"/>
    <n v="1"/>
    <n v="7552.74"/>
    <n v="5513.5001999999995"/>
    <n v="-486.4998000000005"/>
  </r>
  <r>
    <x v="0"/>
    <s v="LI"/>
    <s v="High School"/>
    <s v="Rent"/>
    <n v="1"/>
    <n v="1"/>
    <n v="8593.3559999999998"/>
    <n v="6273.1498799999999"/>
    <n v="-3726.8501200000001"/>
  </r>
  <r>
    <x v="0"/>
    <s v="LI"/>
    <s v="Masters"/>
    <s v="Own"/>
    <n v="1"/>
    <n v="0"/>
    <n v="5631.4272000000001"/>
    <n v="4110.9418560000004"/>
    <n v="1110.9418560000004"/>
  </r>
  <r>
    <x v="1"/>
    <s v="MI"/>
    <s v="Bachelor"/>
    <s v="Rent"/>
    <n v="0"/>
    <n v="1"/>
    <n v="4284.4031999999997"/>
    <n v="3127.6143359999996"/>
    <n v="-2872.3856640000004"/>
  </r>
  <r>
    <x v="2"/>
    <s v="MI"/>
    <s v="Bachelor"/>
    <s v="Mortgage"/>
    <n v="1"/>
    <n v="1"/>
    <n v="14637.869999999999"/>
    <n v="10685.6451"/>
    <n v="1685.6450999999997"/>
  </r>
  <r>
    <x v="0"/>
    <s v="LI"/>
    <s v="Bachelor"/>
    <s v="Mortgage"/>
    <n v="0"/>
    <n v="1"/>
    <n v="9113.2704000000012"/>
    <n v="6652.6873920000007"/>
    <n v="3652.6873920000007"/>
  </r>
  <r>
    <x v="2"/>
    <s v="MI"/>
    <s v="High School"/>
    <s v="Rent"/>
    <n v="1"/>
    <n v="0"/>
    <n v="7571.7887999999994"/>
    <n v="5527.4058239999995"/>
    <n v="3527.4058239999995"/>
  </r>
  <r>
    <x v="2"/>
    <s v="LI"/>
    <s v="Masters"/>
    <s v="Own"/>
    <n v="0"/>
    <n v="1"/>
    <n v="4083.4800000000005"/>
    <n v="2980.9404000000004"/>
    <n v="-6019.0595999999996"/>
  </r>
  <r>
    <x v="2"/>
    <s v="MI"/>
    <s v="High School"/>
    <s v="Own"/>
    <n v="1"/>
    <n v="0"/>
    <n v="9430.3907999999992"/>
    <n v="6884.1852839999992"/>
    <n v="6884.1852839999992"/>
  </r>
  <r>
    <x v="0"/>
    <s v="LI"/>
    <s v="Bachelor"/>
    <s v="Mortgage"/>
    <n v="1"/>
    <n v="1"/>
    <n v="2798.3040000000001"/>
    <n v="2042.7619199999999"/>
    <n v="-4957.2380800000001"/>
  </r>
  <r>
    <x v="2"/>
    <s v="MI"/>
    <s v="High School"/>
    <s v="Mortgage"/>
    <n v="1"/>
    <n v="0"/>
    <n v="13668.7968"/>
    <n v="9978.2216640000006"/>
    <n v="978.2216640000006"/>
  </r>
  <r>
    <x v="2"/>
    <s v="HI"/>
    <s v="MD"/>
    <s v="Rent"/>
    <n v="1"/>
    <n v="0"/>
    <n v="6615.8688000000002"/>
    <n v="4829.5842240000002"/>
    <n v="-3170.4157759999998"/>
  </r>
  <r>
    <x v="1"/>
    <s v="MI"/>
    <s v="High School"/>
    <s v="Rent"/>
    <n v="1"/>
    <n v="1"/>
    <n v="12572.97"/>
    <n v="9178.2680999999993"/>
    <n v="-821.73190000000068"/>
  </r>
  <r>
    <x v="0"/>
    <s v="LI"/>
    <s v="High School"/>
    <s v="Own"/>
    <n v="1"/>
    <n v="1"/>
    <n v="9006.0660000000007"/>
    <n v="6574.4281800000008"/>
    <n v="5574.4281800000008"/>
  </r>
  <r>
    <x v="0"/>
    <s v="MI"/>
    <s v="Bachelor"/>
    <s v="Rent"/>
    <n v="0"/>
    <n v="1"/>
    <n v="6503.52"/>
    <n v="4747.5695999999998"/>
    <n v="-2252.4304000000002"/>
  </r>
  <r>
    <x v="1"/>
    <s v="MI"/>
    <s v="Bachelor"/>
    <s v="Own"/>
    <n v="1"/>
    <n v="0"/>
    <n v="4514.3028000000004"/>
    <n v="3295.4410440000001"/>
    <n v="1295.4410440000001"/>
  </r>
  <r>
    <x v="2"/>
    <s v="MI"/>
    <s v="Bachelor"/>
    <s v="Mortgage"/>
    <n v="1"/>
    <n v="1"/>
    <n v="4554.9359999999997"/>
    <n v="3325.1032799999998"/>
    <n v="-4674.8967200000006"/>
  </r>
  <r>
    <x v="2"/>
    <s v="LI"/>
    <s v="College"/>
    <s v="Rent"/>
    <n v="1"/>
    <n v="1"/>
    <n v="4032.7200000000003"/>
    <n v="2943.8856000000001"/>
    <n v="1943.8856000000001"/>
  </r>
  <r>
    <x v="1"/>
    <s v="HI"/>
    <s v="Bachelor"/>
    <s v="Mortgage"/>
    <n v="1"/>
    <n v="1"/>
    <n v="2555.8200000000002"/>
    <n v="1865.7486000000001"/>
    <n v="-3134.2514000000001"/>
  </r>
  <r>
    <x v="1"/>
    <s v="HI"/>
    <s v="High School"/>
    <s v="Mortgage"/>
    <n v="1"/>
    <n v="0"/>
    <n v="2093.04"/>
    <n v="1527.9192"/>
    <n v="-3472.0807999999997"/>
  </r>
  <r>
    <x v="1"/>
    <s v="MI"/>
    <s v="High School"/>
    <s v="Mortgage"/>
    <n v="1"/>
    <n v="0"/>
    <n v="4937.2115999999996"/>
    <n v="3604.1644679999995"/>
    <n v="-3395.8355320000005"/>
  </r>
  <r>
    <x v="2"/>
    <s v="MI"/>
    <s v="Bachelor"/>
    <s v="Mortgage"/>
    <n v="0"/>
    <n v="0"/>
    <n v="2750.3424"/>
    <n v="2007.7499519999999"/>
    <n v="-7992.2500479999999"/>
  </r>
  <r>
    <x v="2"/>
    <s v="LI"/>
    <s v="Bachelor"/>
    <s v="Rent"/>
    <n v="1"/>
    <n v="0"/>
    <n v="6227.3664000000008"/>
    <n v="4545.9774720000005"/>
    <n v="-454.02252799999951"/>
  </r>
  <r>
    <x v="2"/>
    <s v="HI"/>
    <s v="Bachelor"/>
    <s v="Own"/>
    <n v="1"/>
    <n v="0"/>
    <n v="11178"/>
    <n v="8159.94"/>
    <n v="7159.94"/>
  </r>
  <r>
    <x v="0"/>
    <s v="MI"/>
    <s v="NA"/>
    <s v="Own"/>
    <n v="1"/>
    <n v="1"/>
    <n v="7095.7896000000001"/>
    <n v="5179.9264080000003"/>
    <n v="179.92640800000027"/>
  </r>
  <r>
    <x v="0"/>
    <s v="LI"/>
    <s v="Bachelor"/>
    <s v="Rent"/>
    <n v="0"/>
    <n v="1"/>
    <n v="5431.6968000000006"/>
    <n v="3965.1386640000005"/>
    <n v="2965.1386640000005"/>
  </r>
  <r>
    <x v="1"/>
    <s v="HI"/>
    <s v="Bachelor"/>
    <s v="Rent"/>
    <n v="1"/>
    <n v="0"/>
    <n v="3743.46"/>
    <n v="2732.7258000000002"/>
    <n v="-3267.2741999999998"/>
  </r>
  <r>
    <x v="2"/>
    <s v="MI"/>
    <s v="Masters"/>
    <s v="Own"/>
    <n v="1"/>
    <n v="1"/>
    <n v="10982.630399999998"/>
    <n v="8017.3201919999983"/>
    <n v="3017.3201919999983"/>
  </r>
  <r>
    <x v="0"/>
    <s v="LI"/>
    <s v="Bachelor"/>
    <s v="Own"/>
    <n v="0"/>
    <n v="1"/>
    <n v="1571.22"/>
    <n v="1146.9906000000001"/>
    <n v="-7853.0093999999999"/>
  </r>
  <r>
    <x v="2"/>
    <s v="HI"/>
    <s v="College"/>
    <s v="Rent"/>
    <n v="1"/>
    <n v="1"/>
    <n v="5270.9183999999996"/>
    <n v="3847.7704319999998"/>
    <n v="-3152.2295680000002"/>
  </r>
  <r>
    <x v="2"/>
    <s v="MI"/>
    <s v="Bachelor"/>
    <s v="Mortgage"/>
    <n v="1"/>
    <n v="1"/>
    <n v="1573.1112000000001"/>
    <n v="1148.3711760000001"/>
    <n v="-3851.6288239999999"/>
  </r>
  <r>
    <x v="2"/>
    <s v="LI"/>
    <s v="PhD"/>
    <s v="Rent"/>
    <n v="1"/>
    <n v="1"/>
    <n v="2632.0320000000002"/>
    <n v="1921.38336"/>
    <n v="-8078.6166400000002"/>
  </r>
  <r>
    <x v="1"/>
    <s v="HI"/>
    <s v="NA"/>
    <s v="Mortgage"/>
    <n v="0"/>
    <n v="1"/>
    <n v="8278.7795999999998"/>
    <n v="6043.5091079999993"/>
    <n v="-1956.4908920000007"/>
  </r>
  <r>
    <x v="2"/>
    <s v="LI"/>
    <s v="High School"/>
    <s v="Rent"/>
    <n v="1"/>
    <n v="0"/>
    <n v="1999.8000000000002"/>
    <n v="1459.854"/>
    <n v="-5540.1459999999997"/>
  </r>
  <r>
    <x v="2"/>
    <s v="MI"/>
    <s v="College"/>
    <s v="Own"/>
    <n v="1"/>
    <n v="0"/>
    <n v="4400.0364"/>
    <n v="3212.0265719999998"/>
    <n v="2212.0265719999998"/>
  </r>
  <r>
    <x v="2"/>
    <s v="HI"/>
    <s v="High School"/>
    <s v="Mortgage"/>
    <n v="0"/>
    <n v="0"/>
    <n v="8108.0591999999997"/>
    <n v="5918.8832159999993"/>
    <n v="3918.8832159999993"/>
  </r>
  <r>
    <x v="0"/>
    <s v="MI"/>
    <s v="Bachelor"/>
    <s v="Rent"/>
    <n v="0"/>
    <n v="1"/>
    <n v="10985.8032"/>
    <n v="8019.6363359999996"/>
    <n v="7019.6363359999996"/>
  </r>
  <r>
    <x v="2"/>
    <s v="MI"/>
    <s v="MD"/>
    <s v="Mortgage"/>
    <n v="1"/>
    <n v="1"/>
    <n v="4186.0019999999995"/>
    <n v="3055.7814599999997"/>
    <n v="-4944.2185399999998"/>
  </r>
  <r>
    <x v="2"/>
    <s v="HI"/>
    <s v="Bachelor"/>
    <s v="Mortgage"/>
    <n v="0"/>
    <n v="1"/>
    <n v="1816.7472"/>
    <n v="1326.2254559999999"/>
    <n v="326.22545599999989"/>
  </r>
  <r>
    <x v="0"/>
    <s v="HI"/>
    <s v="High School"/>
    <s v="Mortgage"/>
    <n v="1"/>
    <n v="1"/>
    <n v="6164.6976000000004"/>
    <n v="4500.2292480000006"/>
    <n v="4500.2292480000006"/>
  </r>
  <r>
    <x v="2"/>
    <s v="LI"/>
    <s v="Bachelor"/>
    <s v="Rent"/>
    <n v="0"/>
    <n v="0"/>
    <n v="4504.7939999999999"/>
    <n v="3288.49962"/>
    <n v="1288.49962"/>
  </r>
  <r>
    <x v="0"/>
    <s v="HI"/>
    <s v="NA"/>
    <s v="Rent"/>
    <n v="1"/>
    <n v="0"/>
    <n v="1977.9371999999998"/>
    <n v="1443.8941559999998"/>
    <n v="-3556.1058440000002"/>
  </r>
  <r>
    <x v="1"/>
    <s v="MI"/>
    <s v="MD"/>
    <s v="Own"/>
    <n v="1"/>
    <n v="0"/>
    <n v="1670.5500000000002"/>
    <n v="1219.5015000000001"/>
    <n v="-5780.4984999999997"/>
  </r>
  <r>
    <x v="0"/>
    <s v="HI"/>
    <s v="Bachelor"/>
    <s v="Own"/>
    <n v="0"/>
    <n v="1"/>
    <n v="917.30880000000002"/>
    <n v="669.63542399999994"/>
    <n v="-3330.3645759999999"/>
  </r>
  <r>
    <x v="0"/>
    <s v="LI"/>
    <s v="High School"/>
    <s v="Mortgage"/>
    <n v="1"/>
    <n v="1"/>
    <n v="5921.2103999999999"/>
    <n v="4322.4835919999996"/>
    <n v="-3677.5164080000004"/>
  </r>
  <r>
    <x v="0"/>
    <s v="MI"/>
    <s v="Bachelor"/>
    <s v="Own"/>
    <n v="1"/>
    <n v="1"/>
    <n v="3304.0331999999999"/>
    <n v="2411.9442359999998"/>
    <n v="1411.9442359999998"/>
  </r>
  <r>
    <x v="2"/>
    <s v="MI"/>
    <s v="High School"/>
    <s v="Own"/>
    <n v="1"/>
    <n v="1"/>
    <n v="4586.7359999999999"/>
    <n v="3348.3172799999998"/>
    <n v="-1651.6827200000002"/>
  </r>
  <r>
    <x v="1"/>
    <s v="MI"/>
    <s v="Bachelor"/>
    <s v="Rent"/>
    <n v="0"/>
    <n v="0"/>
    <n v="4724.3999999999996"/>
    <n v="3448.8119999999994"/>
    <n v="-551.18800000000056"/>
  </r>
  <r>
    <x v="2"/>
    <s v="MI"/>
    <s v="High School"/>
    <s v="Mortgage"/>
    <n v="1"/>
    <n v="0"/>
    <n v="5899.9560000000001"/>
    <n v="4306.9678800000002"/>
    <n v="3306.9678800000002"/>
  </r>
  <r>
    <x v="1"/>
    <s v="LI"/>
    <s v="Bachelor"/>
    <s v="Rent"/>
    <n v="1"/>
    <n v="1"/>
    <n v="10559.22"/>
    <n v="7708.230599999999"/>
    <n v="-2291.769400000001"/>
  </r>
  <r>
    <x v="1"/>
    <s v="MI"/>
    <s v="Bachelor"/>
    <s v="Own"/>
    <n v="1"/>
    <n v="0"/>
    <n v="1507.7328"/>
    <n v="1100.6449439999999"/>
    <n v="100.6449439999999"/>
  </r>
  <r>
    <x v="0"/>
    <s v="LI"/>
    <s v="College"/>
    <s v="Rent"/>
    <n v="1"/>
    <n v="1"/>
    <n v="3631.6296000000002"/>
    <n v="2651.0896080000002"/>
    <n v="-2348.9103919999998"/>
  </r>
  <r>
    <x v="0"/>
    <s v="LI"/>
    <s v="College"/>
    <s v="Mortgage"/>
    <n v="1"/>
    <n v="1"/>
    <n v="13467.6024"/>
    <n v="9831.3497520000001"/>
    <n v="8831.3497520000001"/>
  </r>
  <r>
    <x v="2"/>
    <s v="MI"/>
    <s v="College"/>
    <s v="Mortgage"/>
    <n v="1"/>
    <n v="1"/>
    <n v="10472.1456"/>
    <n v="7644.6662879999994"/>
    <n v="4644.6662879999994"/>
  </r>
  <r>
    <x v="1"/>
    <s v="HI"/>
    <s v="High School"/>
    <s v="Mortgage"/>
    <n v="1"/>
    <n v="1"/>
    <n v="8307.1619999999984"/>
    <n v="6064.228259999999"/>
    <n v="64.228259999998954"/>
  </r>
  <r>
    <x v="0"/>
    <s v="MI"/>
    <s v="High School"/>
    <s v="Mortgage"/>
    <n v="0"/>
    <n v="1"/>
    <n v="8786.1851999999999"/>
    <n v="6413.9151959999999"/>
    <n v="2413.9151959999999"/>
  </r>
  <r>
    <x v="2"/>
    <s v="LI"/>
    <s v="Bachelor"/>
    <s v="Rent"/>
    <n v="1"/>
    <n v="0"/>
    <n v="5416.9344000000001"/>
    <n v="3954.3621119999998"/>
    <n v="-45.637888000000203"/>
  </r>
  <r>
    <x v="0"/>
    <s v="HI"/>
    <s v="NA"/>
    <s v="Own"/>
    <n v="1"/>
    <n v="1"/>
    <n v="3745.8"/>
    <n v="2734.4340000000002"/>
    <n v="-3265.5659999999998"/>
  </r>
  <r>
    <x v="0"/>
    <s v="HI"/>
    <s v="Bachelor"/>
    <s v="Own"/>
    <n v="1"/>
    <n v="1"/>
    <n v="10498.32"/>
    <n v="7663.7735999999995"/>
    <n v="2663.7735999999995"/>
  </r>
  <r>
    <x v="0"/>
    <s v="MI"/>
    <s v="PhD"/>
    <s v="Own"/>
    <n v="0"/>
    <n v="1"/>
    <n v="14887.080000000002"/>
    <n v="10867.5684"/>
    <n v="3867.5684000000001"/>
  </r>
  <r>
    <x v="1"/>
    <s v="HI"/>
    <s v="High School"/>
    <s v="Mortgage"/>
    <n v="1"/>
    <n v="1"/>
    <n v="1067.5152"/>
    <n v="779.28609600000004"/>
    <n v="-5220.7139040000002"/>
  </r>
  <r>
    <x v="0"/>
    <s v="LI"/>
    <s v="Bachelor"/>
    <s v="Mortgage"/>
    <n v="0"/>
    <n v="0"/>
    <n v="8431.17"/>
    <n v="6154.7541000000001"/>
    <n v="2154.7541000000001"/>
  </r>
  <r>
    <x v="0"/>
    <s v="LI"/>
    <s v="Bachelor"/>
    <s v="Mortgage"/>
    <n v="0"/>
    <n v="1"/>
    <n v="2109.66"/>
    <n v="1540.0518"/>
    <n v="-459.94820000000004"/>
  </r>
  <r>
    <x v="2"/>
    <s v="MI"/>
    <s v="Bachelor"/>
    <s v="Rent"/>
    <n v="0"/>
    <n v="0"/>
    <n v="3952.134"/>
    <n v="2885.05782"/>
    <n v="-2114.94218"/>
  </r>
  <r>
    <x v="0"/>
    <s v="MI"/>
    <s v="MD"/>
    <s v="Mortgage"/>
    <n v="0"/>
    <n v="1"/>
    <n v="4762.9751999999999"/>
    <n v="3476.971896"/>
    <n v="-6523.028104"/>
  </r>
  <r>
    <x v="2"/>
    <s v="MI"/>
    <s v="Bachelor"/>
    <s v="Mortgage"/>
    <n v="1"/>
    <n v="1"/>
    <n v="9664.7232000000004"/>
    <n v="7055.2479359999998"/>
    <n v="-944.75206400000025"/>
  </r>
  <r>
    <x v="1"/>
    <s v="LI"/>
    <s v="NA"/>
    <s v="Own"/>
    <n v="1"/>
    <n v="1"/>
    <n v="6981.48"/>
    <n v="5096.4803999999995"/>
    <n v="4096.4803999999995"/>
  </r>
  <r>
    <x v="0"/>
    <s v="MI"/>
    <s v="Masters"/>
    <s v="Rent"/>
    <n v="1"/>
    <n v="0"/>
    <n v="6316.5311999999994"/>
    <n v="4611.0677759999999"/>
    <n v="2611.0677759999999"/>
  </r>
  <r>
    <x v="2"/>
    <s v="MI"/>
    <s v="Bachelor"/>
    <s v="Rent"/>
    <n v="1"/>
    <n v="1"/>
    <n v="12143.4"/>
    <n v="8864.6819999999989"/>
    <n v="864.68199999999888"/>
  </r>
  <r>
    <x v="0"/>
    <s v="LI"/>
    <s v="College"/>
    <s v="Rent"/>
    <n v="1"/>
    <n v="1"/>
    <n v="5811.3216000000002"/>
    <n v="4242.264768"/>
    <n v="3242.264768"/>
  </r>
  <r>
    <x v="1"/>
    <s v="MI"/>
    <s v="Bachelor"/>
    <s v="Mortgage"/>
    <n v="1"/>
    <n v="1"/>
    <n v="11496.6648"/>
    <n v="8392.5653039999997"/>
    <n v="5392.5653039999997"/>
  </r>
  <r>
    <x v="2"/>
    <s v="MI"/>
    <s v="Masters"/>
    <s v="Mortgage"/>
    <n v="0"/>
    <n v="1"/>
    <n v="1770.1151999999997"/>
    <n v="1292.1840959999997"/>
    <n v="-7707.815904"/>
  </r>
  <r>
    <x v="1"/>
    <s v="MI"/>
    <s v="Bachelor"/>
    <s v="Mortgage"/>
    <n v="0"/>
    <n v="1"/>
    <n v="8030.88"/>
    <n v="5862.5424000000003"/>
    <n v="3862.5424000000003"/>
  </r>
  <r>
    <x v="1"/>
    <s v="LI"/>
    <s v="MD"/>
    <s v="Rent"/>
    <n v="1"/>
    <n v="1"/>
    <n v="1068.48"/>
    <n v="779.99040000000002"/>
    <n v="-8220.0095999999994"/>
  </r>
  <r>
    <x v="2"/>
    <s v="LI"/>
    <s v="Bachelor"/>
    <s v="Mortgage"/>
    <n v="0"/>
    <n v="0"/>
    <n v="2729.58"/>
    <n v="1992.5934"/>
    <n v="-3007.4066000000003"/>
  </r>
  <r>
    <x v="1"/>
    <s v="MI"/>
    <s v="High School"/>
    <s v="Rent"/>
    <n v="0"/>
    <n v="1"/>
    <n v="3514.3583999999996"/>
    <n v="2565.4816319999995"/>
    <n v="-3434.5183680000005"/>
  </r>
  <r>
    <x v="0"/>
    <s v="HI"/>
    <s v="Bachelor"/>
    <s v="Own"/>
    <n v="1"/>
    <n v="1"/>
    <n v="3025.2"/>
    <n v="2208.3959999999997"/>
    <n v="-3791.6040000000003"/>
  </r>
  <r>
    <x v="2"/>
    <s v="HI"/>
    <s v="MD"/>
    <s v="Own"/>
    <n v="0"/>
    <n v="1"/>
    <n v="2678.8643999999999"/>
    <n v="1955.5710119999999"/>
    <n v="-3044.4289880000001"/>
  </r>
  <r>
    <x v="1"/>
    <s v="HI"/>
    <s v="College"/>
    <s v="Mortgage"/>
    <n v="0"/>
    <n v="1"/>
    <n v="12759.758400000001"/>
    <n v="9314.6236320000007"/>
    <n v="3314.6236320000007"/>
  </r>
  <r>
    <x v="2"/>
    <s v="LI"/>
    <s v="High School"/>
    <s v="Own"/>
    <n v="0"/>
    <n v="1"/>
    <n v="937.78560000000004"/>
    <n v="684.58348799999999"/>
    <n v="-6315.4165119999998"/>
  </r>
  <r>
    <x v="2"/>
    <s v="MI"/>
    <s v="MD"/>
    <s v="Mortgage"/>
    <n v="1"/>
    <n v="1"/>
    <n v="1212"/>
    <n v="884.76"/>
    <n v="884.76"/>
  </r>
  <r>
    <x v="1"/>
    <s v="LI"/>
    <s v="High School"/>
    <s v="Rent"/>
    <n v="0"/>
    <n v="0"/>
    <n v="2311.2240000000002"/>
    <n v="1687.19352"/>
    <n v="-312.80647999999997"/>
  </r>
  <r>
    <x v="0"/>
    <s v="LI"/>
    <s v="Masters"/>
    <s v="Mortgage"/>
    <n v="1"/>
    <n v="0"/>
    <n v="3710.4"/>
    <n v="2708.5920000000001"/>
    <n v="-1291.4079999999999"/>
  </r>
  <r>
    <x v="0"/>
    <s v="LI"/>
    <s v="College"/>
    <s v="Mortgage"/>
    <n v="1"/>
    <n v="0"/>
    <n v="3257.34"/>
    <n v="2377.8582000000001"/>
    <n v="-6622.1417999999994"/>
  </r>
  <r>
    <x v="2"/>
    <s v="LI"/>
    <s v="Bachelor"/>
    <s v="Own"/>
    <n v="0"/>
    <n v="1"/>
    <n v="1361.7840000000001"/>
    <n v="994.10232000000008"/>
    <n v="-5005.89768"/>
  </r>
  <r>
    <x v="0"/>
    <s v="MI"/>
    <s v="Masters"/>
    <s v="Mortgage"/>
    <n v="0"/>
    <n v="1"/>
    <n v="8572.0704000000005"/>
    <n v="6257.6113919999998"/>
    <n v="6257.6113919999998"/>
  </r>
  <r>
    <x v="2"/>
    <s v="LI"/>
    <s v="Masters"/>
    <s v="Mortgage"/>
    <n v="0"/>
    <n v="0"/>
    <n v="13219.569599999999"/>
    <n v="9650.2858079999987"/>
    <n v="5650.2858079999987"/>
  </r>
  <r>
    <x v="2"/>
    <s v="MI"/>
    <s v="High School"/>
    <s v="Rent"/>
    <n v="1"/>
    <n v="1"/>
    <n v="10724.183999999999"/>
    <n v="7828.6543199999996"/>
    <n v="828.65431999999964"/>
  </r>
  <r>
    <x v="0"/>
    <s v="MI"/>
    <s v="Bachelor"/>
    <s v="Mortgage"/>
    <n v="1"/>
    <n v="1"/>
    <n v="9546.0864000000001"/>
    <n v="6968.6430719999998"/>
    <n v="-2031.3569280000002"/>
  </r>
  <r>
    <x v="1"/>
    <s v="HI"/>
    <s v="Bachelor"/>
    <s v="Rent"/>
    <n v="1"/>
    <n v="1"/>
    <n v="3528.3492000000001"/>
    <n v="2575.6949159999999"/>
    <n v="-6424.3050839999996"/>
  </r>
  <r>
    <x v="1"/>
    <s v="MI"/>
    <s v="Masters"/>
    <s v="Rent"/>
    <n v="1"/>
    <n v="1"/>
    <n v="14384.5416"/>
    <n v="10500.715367999999"/>
    <n v="2500.7153679999992"/>
  </r>
  <r>
    <x v="0"/>
    <s v="LI"/>
    <s v="High School"/>
    <s v="Mortgage"/>
    <n v="1"/>
    <n v="0"/>
    <n v="6758.4384"/>
    <n v="4933.6600319999998"/>
    <n v="-2066.3399680000002"/>
  </r>
  <r>
    <x v="2"/>
    <s v="LI"/>
    <s v="Bachelor"/>
    <s v="Rent"/>
    <n v="1"/>
    <n v="0"/>
    <n v="2118.7583999999997"/>
    <n v="1546.6936319999998"/>
    <n v="-453.30636800000025"/>
  </r>
  <r>
    <x v="2"/>
    <s v="HI"/>
    <s v="College"/>
    <s v="Rent"/>
    <n v="1"/>
    <n v="1"/>
    <n v="11974.8"/>
    <n v="8741.6039999999994"/>
    <n v="8741.6039999999994"/>
  </r>
  <r>
    <x v="2"/>
    <s v="LI"/>
    <s v="Bachelor"/>
    <s v="Rent"/>
    <n v="1"/>
    <n v="0"/>
    <n v="12285.801600000001"/>
    <n v="8968.6351680000007"/>
    <n v="-1031.3648319999993"/>
  </r>
  <r>
    <x v="2"/>
    <s v="MI"/>
    <s v="Bachelor"/>
    <s v="Rent"/>
    <n v="1"/>
    <n v="1"/>
    <n v="5045.9399999999996"/>
    <n v="3683.5361999999996"/>
    <n v="1683.5361999999996"/>
  </r>
  <r>
    <x v="0"/>
    <s v="LI"/>
    <s v="High School"/>
    <s v="Own"/>
    <n v="1"/>
    <n v="1"/>
    <n v="7915.5"/>
    <n v="5778.3149999999996"/>
    <n v="-1221.6850000000004"/>
  </r>
  <r>
    <x v="0"/>
    <s v="MI"/>
    <s v="MD"/>
    <s v="Mortgage"/>
    <n v="1"/>
    <n v="1"/>
    <n v="6445.44"/>
    <n v="4705.1711999999998"/>
    <n v="-2294.8288000000002"/>
  </r>
  <r>
    <x v="0"/>
    <s v="MI"/>
    <s v="High School"/>
    <s v="Rent"/>
    <n v="0"/>
    <n v="1"/>
    <n v="2497.2359999999999"/>
    <n v="1822.9822799999999"/>
    <n v="-3177.0177199999998"/>
  </r>
  <r>
    <x v="0"/>
    <s v="MI"/>
    <s v="Bachelor"/>
    <s v="Rent"/>
    <n v="1"/>
    <n v="1"/>
    <n v="847.56"/>
    <n v="618.71879999999999"/>
    <n v="-1381.2811999999999"/>
  </r>
  <r>
    <x v="1"/>
    <s v="MI"/>
    <s v="College"/>
    <s v="Rent"/>
    <n v="1"/>
    <n v="0"/>
    <n v="8709.3719999999994"/>
    <n v="6357.8415599999998"/>
    <n v="-2642.1584400000002"/>
  </r>
  <r>
    <x v="2"/>
    <s v="HI"/>
    <s v="Bachelor"/>
    <s v="Own"/>
    <n v="1"/>
    <n v="1"/>
    <n v="10890.242399999999"/>
    <n v="7949.8769519999996"/>
    <n v="2949.8769519999996"/>
  </r>
  <r>
    <x v="0"/>
    <s v="HI"/>
    <s v="Bachelor"/>
    <s v="Mortgage"/>
    <n v="1"/>
    <n v="1"/>
    <n v="13170.234"/>
    <n v="9614.2708199999997"/>
    <n v="9614.2708199999997"/>
  </r>
  <r>
    <x v="2"/>
    <s v="HI"/>
    <s v="Masters"/>
    <s v="Mortgage"/>
    <n v="1"/>
    <n v="1"/>
    <n v="8351.5679999999993"/>
    <n v="6096.6446399999995"/>
    <n v="-903.35536000000047"/>
  </r>
  <r>
    <x v="2"/>
    <s v="HI"/>
    <s v="Bachelor"/>
    <s v="Rent"/>
    <n v="1"/>
    <n v="1"/>
    <n v="7575.8832000000002"/>
    <n v="5530.3947360000002"/>
    <n v="-1469.6052639999998"/>
  </r>
  <r>
    <x v="2"/>
    <s v="MI"/>
    <s v="High School"/>
    <s v="Own"/>
    <n v="1"/>
    <n v="1"/>
    <n v="9212.3136000000013"/>
    <n v="6724.9889280000007"/>
    <n v="-3275.0110719999993"/>
  </r>
  <r>
    <x v="0"/>
    <s v="LI"/>
    <s v="College"/>
    <s v="Rent"/>
    <n v="0"/>
    <n v="1"/>
    <n v="7231.0655999999999"/>
    <n v="5278.6778880000002"/>
    <n v="-2721.3221119999998"/>
  </r>
  <r>
    <x v="0"/>
    <s v="LI"/>
    <s v="Bachelor"/>
    <s v="Mortgage"/>
    <n v="0"/>
    <n v="0"/>
    <n v="4141.8108000000002"/>
    <n v="3023.5218840000002"/>
    <n v="2023.5218840000002"/>
  </r>
  <r>
    <x v="2"/>
    <s v="HI"/>
    <s v="High School"/>
    <s v="Rent"/>
    <n v="1"/>
    <n v="0"/>
    <n v="3261.36"/>
    <n v="2380.7928000000002"/>
    <n v="-5619.2071999999998"/>
  </r>
  <r>
    <x v="2"/>
    <s v="MI"/>
    <s v="Bachelor"/>
    <s v="Mortgage"/>
    <n v="0"/>
    <n v="1"/>
    <n v="9045.105599999999"/>
    <n v="6602.9270879999995"/>
    <n v="-3397.0729120000005"/>
  </r>
  <r>
    <x v="0"/>
    <s v="MI"/>
    <s v="Bachelor"/>
    <s v="Own"/>
    <n v="1"/>
    <n v="1"/>
    <n v="8703.402"/>
    <n v="6353.4834599999995"/>
    <n v="5353.4834599999995"/>
  </r>
  <r>
    <x v="2"/>
    <s v="HI"/>
    <s v="Bachelor"/>
    <s v="Rent"/>
    <n v="1"/>
    <n v="1"/>
    <n v="10766.527199999999"/>
    <n v="7859.5648559999991"/>
    <n v="-2140.4351440000009"/>
  </r>
  <r>
    <x v="0"/>
    <s v="LI"/>
    <s v="College"/>
    <s v="Rent"/>
    <n v="1"/>
    <n v="0"/>
    <n v="1354.5791999999999"/>
    <n v="988.84281599999986"/>
    <n v="-3011.1571840000001"/>
  </r>
  <r>
    <x v="0"/>
    <s v="MI"/>
    <s v="Bachelor"/>
    <s v="Own"/>
    <n v="1"/>
    <n v="1"/>
    <n v="4038.7103999999999"/>
    <n v="2948.2585919999997"/>
    <n v="-7051.7414079999999"/>
  </r>
  <r>
    <x v="2"/>
    <s v="MI"/>
    <s v="College"/>
    <s v="Mortgage"/>
    <n v="0"/>
    <n v="1"/>
    <n v="2832.4584"/>
    <n v="2067.6946319999997"/>
    <n v="-2932.3053680000003"/>
  </r>
  <r>
    <x v="2"/>
    <s v="MI"/>
    <s v="Bachelor"/>
    <s v="Mortgage"/>
    <n v="0"/>
    <n v="1"/>
    <n v="8167.4207999999999"/>
    <n v="5962.2171840000001"/>
    <n v="-2037.7828159999999"/>
  </r>
  <r>
    <x v="1"/>
    <s v="HI"/>
    <s v="NA"/>
    <s v="Rent"/>
    <n v="0"/>
    <n v="0"/>
    <n v="10130.270399999999"/>
    <n v="7395.0973919999997"/>
    <n v="3395.0973919999997"/>
  </r>
  <r>
    <x v="0"/>
    <s v="MI"/>
    <s v="Bachelor"/>
    <s v="Mortgage"/>
    <n v="0"/>
    <n v="0"/>
    <n v="995.85719999999992"/>
    <n v="726.97575599999993"/>
    <n v="-8273.0242440000002"/>
  </r>
  <r>
    <x v="2"/>
    <s v="MI"/>
    <s v="Masters"/>
    <s v="Mortgage"/>
    <n v="1"/>
    <n v="1"/>
    <n v="2342.0159999999996"/>
    <n v="1709.6716799999997"/>
    <n v="-4290.3283200000005"/>
  </r>
  <r>
    <x v="0"/>
    <s v="LI"/>
    <s v="Bachelor"/>
    <s v="Mortgage"/>
    <n v="1"/>
    <n v="1"/>
    <n v="10175.76"/>
    <n v="7428.3047999999999"/>
    <n v="-571.69520000000011"/>
  </r>
  <r>
    <x v="2"/>
    <s v="HI"/>
    <s v="NA"/>
    <s v="Mortgage"/>
    <n v="0"/>
    <n v="0"/>
    <n v="5981.3207999999995"/>
    <n v="4366.3641839999991"/>
    <n v="-1633.6358160000009"/>
  </r>
  <r>
    <x v="2"/>
    <s v="HI"/>
    <s v="College"/>
    <s v="Mortgage"/>
    <n v="0"/>
    <n v="0"/>
    <n v="2362.14"/>
    <n v="1724.3621999999998"/>
    <n v="-275.6378000000002"/>
  </r>
  <r>
    <x v="0"/>
    <s v="HI"/>
    <s v="High School"/>
    <s v="Mortgage"/>
    <n v="1"/>
    <n v="0"/>
    <n v="10992.96"/>
    <n v="8024.8607999999995"/>
    <n v="2024.8607999999995"/>
  </r>
  <r>
    <x v="2"/>
    <s v="LI"/>
    <s v="High School"/>
    <s v="Mortgage"/>
    <n v="1"/>
    <n v="1"/>
    <n v="584.70000000000005"/>
    <n v="426.83100000000002"/>
    <n v="-2573.1689999999999"/>
  </r>
  <r>
    <x v="2"/>
    <s v="MI"/>
    <s v="Bachelor"/>
    <s v="Rent"/>
    <n v="1"/>
    <n v="1"/>
    <n v="3795.0336000000002"/>
    <n v="2770.3745280000003"/>
    <n v="-1229.6254719999997"/>
  </r>
  <r>
    <x v="2"/>
    <s v="LI"/>
    <s v="College"/>
    <s v="Mortgage"/>
    <n v="1"/>
    <n v="0"/>
    <n v="6304.11"/>
    <n v="4602.0002999999997"/>
    <n v="-1397.9997000000003"/>
  </r>
  <r>
    <x v="0"/>
    <s v="HI"/>
    <s v="Bachelor"/>
    <s v="Rent"/>
    <n v="0"/>
    <n v="1"/>
    <n v="846.19679999999994"/>
    <n v="617.72366399999999"/>
    <n v="-3382.2763359999999"/>
  </r>
  <r>
    <x v="2"/>
    <s v="HI"/>
    <s v="Bachelor"/>
    <s v="Rent"/>
    <n v="0"/>
    <n v="0"/>
    <n v="12184.411199999999"/>
    <n v="8894.6201759999985"/>
    <n v="3894.6201759999985"/>
  </r>
  <r>
    <x v="1"/>
    <s v="MI"/>
    <s v="Bachelor"/>
    <s v="Mortgage"/>
    <n v="1"/>
    <n v="1"/>
    <n v="967.37279999999998"/>
    <n v="706.18214399999999"/>
    <n v="-5293.8178559999997"/>
  </r>
  <r>
    <x v="2"/>
    <s v="HI"/>
    <s v="High School"/>
    <s v="Rent"/>
    <n v="1"/>
    <n v="1"/>
    <n v="9059.2464"/>
    <n v="6613.2498719999994"/>
    <n v="4613.2498719999994"/>
  </r>
  <r>
    <x v="0"/>
    <s v="MI"/>
    <s v="High School"/>
    <s v="Own"/>
    <n v="1"/>
    <n v="1"/>
    <n v="3180.6"/>
    <n v="2321.8379999999997"/>
    <n v="-1678.1620000000003"/>
  </r>
  <r>
    <x v="2"/>
    <s v="MI"/>
    <s v="High School"/>
    <s v="Own"/>
    <n v="1"/>
    <n v="1"/>
    <n v="4178.2896000000001"/>
    <n v="3050.1514080000002"/>
    <n v="-6949.8485920000003"/>
  </r>
  <r>
    <x v="2"/>
    <s v="LI"/>
    <s v="PhD"/>
    <s v="Mortgage"/>
    <n v="1"/>
    <n v="1"/>
    <n v="9718.0488000000005"/>
    <n v="7094.1756240000004"/>
    <n v="7094.1756240000004"/>
  </r>
  <r>
    <x v="2"/>
    <s v="HI"/>
    <s v="Bachelor"/>
    <s v="Mortgage"/>
    <n v="1"/>
    <n v="0"/>
    <n v="9418.7772000000004"/>
    <n v="6875.7073559999999"/>
    <n v="1875.7073559999999"/>
  </r>
  <r>
    <x v="0"/>
    <s v="HI"/>
    <s v="High School"/>
    <s v="Rent"/>
    <n v="1"/>
    <n v="0"/>
    <n v="8907.7091999999993"/>
    <n v="6502.6277159999991"/>
    <n v="-3497.3722840000009"/>
  </r>
  <r>
    <x v="2"/>
    <s v="HI"/>
    <s v="Bachelor"/>
    <s v="Own"/>
    <n v="1"/>
    <n v="0"/>
    <n v="8979.3312000000005"/>
    <n v="6554.9117759999999"/>
    <n v="-3445.0882240000001"/>
  </r>
  <r>
    <x v="2"/>
    <s v="MI"/>
    <s v="Bachelor"/>
    <s v="Own"/>
    <n v="0"/>
    <n v="1"/>
    <n v="8226.8207999999995"/>
    <n v="6005.5791839999993"/>
    <n v="2005.5791839999993"/>
  </r>
  <r>
    <x v="2"/>
    <s v="HI"/>
    <s v="Bachelor"/>
    <s v="Rent"/>
    <n v="0"/>
    <n v="1"/>
    <n v="8137.74"/>
    <n v="5940.5501999999997"/>
    <n v="-59.449800000000323"/>
  </r>
  <r>
    <x v="2"/>
    <s v="MI"/>
    <s v="High School"/>
    <s v="Own"/>
    <n v="0"/>
    <n v="1"/>
    <n v="6455.6603999999998"/>
    <n v="4712.6320919999998"/>
    <n v="4712.6320919999998"/>
  </r>
  <r>
    <x v="0"/>
    <s v="MI"/>
    <s v="High School"/>
    <s v="Own"/>
    <n v="1"/>
    <n v="1"/>
    <n v="10428.9084"/>
    <n v="7613.1031320000002"/>
    <n v="6613.1031320000002"/>
  </r>
  <r>
    <x v="2"/>
    <s v="LI"/>
    <s v="College"/>
    <s v="Rent"/>
    <n v="1"/>
    <n v="0"/>
    <n v="2887.6188000000002"/>
    <n v="2107.9617240000002"/>
    <n v="1107.9617240000002"/>
  </r>
  <r>
    <x v="2"/>
    <s v="MI"/>
    <s v="Bachelor"/>
    <s v="Mortgage"/>
    <n v="1"/>
    <n v="1"/>
    <n v="7193.88"/>
    <n v="5251.5324000000001"/>
    <n v="-2748.4675999999999"/>
  </r>
  <r>
    <x v="0"/>
    <s v="HI"/>
    <s v="High School"/>
    <s v="Mortgage"/>
    <n v="1"/>
    <n v="1"/>
    <n v="3330.4500000000003"/>
    <n v="2431.2285000000002"/>
    <n v="-6568.7714999999998"/>
  </r>
  <r>
    <x v="2"/>
    <s v="HI"/>
    <s v="Bachelor"/>
    <s v="Rent"/>
    <n v="1"/>
    <n v="0"/>
    <n v="4671.6000000000004"/>
    <n v="3410.268"/>
    <n v="-2589.732"/>
  </r>
  <r>
    <x v="1"/>
    <s v="HI"/>
    <s v="Bachelor"/>
    <s v="Rent"/>
    <n v="1"/>
    <n v="1"/>
    <n v="7349.76"/>
    <n v="5365.3248000000003"/>
    <n v="-3634.6751999999997"/>
  </r>
  <r>
    <x v="0"/>
    <s v="HI"/>
    <s v="NA"/>
    <s v="Rent"/>
    <n v="1"/>
    <n v="0"/>
    <n v="9859.41"/>
    <n v="7197.3692999999994"/>
    <n v="-1802.6307000000006"/>
  </r>
  <r>
    <x v="0"/>
    <s v="LI"/>
    <s v="Bachelor"/>
    <s v="Mortgage"/>
    <n v="1"/>
    <n v="1"/>
    <n v="8073.2567999999992"/>
    <n v="5893.4774639999996"/>
    <n v="-2106.5225360000004"/>
  </r>
  <r>
    <x v="0"/>
    <s v="MI"/>
    <s v="Masters"/>
    <s v="Rent"/>
    <n v="0"/>
    <n v="1"/>
    <n v="2126.7624000000001"/>
    <n v="1552.536552"/>
    <n v="1552.536552"/>
  </r>
  <r>
    <x v="0"/>
    <s v="MI"/>
    <s v="College"/>
    <s v="Mortgage"/>
    <n v="1"/>
    <n v="1"/>
    <n v="2122.3824"/>
    <n v="1549.339152"/>
    <n v="-5450.6608479999995"/>
  </r>
  <r>
    <x v="2"/>
    <s v="HI"/>
    <s v="Masters"/>
    <s v="Rent"/>
    <n v="1"/>
    <n v="0"/>
    <n v="6590.6063999999997"/>
    <n v="4811.1426719999999"/>
    <n v="1811.1426719999999"/>
  </r>
  <r>
    <x v="1"/>
    <s v="LI"/>
    <s v="Masters"/>
    <s v="Mortgage"/>
    <n v="0"/>
    <n v="1"/>
    <n v="924.9312000000001"/>
    <n v="675.19977600000004"/>
    <n v="-8324.8002240000005"/>
  </r>
  <r>
    <x v="2"/>
    <s v="MI"/>
    <s v="Masters"/>
    <s v="Own"/>
    <n v="0"/>
    <n v="0"/>
    <n v="7531.92"/>
    <n v="5498.3015999999998"/>
    <n v="-3501.6984000000002"/>
  </r>
  <r>
    <x v="2"/>
    <s v="MI"/>
    <s v="College"/>
    <s v="Own"/>
    <n v="0"/>
    <n v="1"/>
    <n v="2596.1099999999997"/>
    <n v="1895.1602999999998"/>
    <n v="895.16029999999978"/>
  </r>
  <r>
    <x v="2"/>
    <s v="MI"/>
    <s v="PhD"/>
    <s v="Rent"/>
    <n v="1"/>
    <n v="0"/>
    <n v="3890.9052000000001"/>
    <n v="2840.3607959999999"/>
    <n v="-4159.6392040000001"/>
  </r>
  <r>
    <x v="2"/>
    <s v="MI"/>
    <s v="High School"/>
    <s v="Rent"/>
    <n v="1"/>
    <n v="0"/>
    <n v="11048.207999999999"/>
    <n v="8065.1918399999986"/>
    <n v="2065.1918399999986"/>
  </r>
  <r>
    <x v="0"/>
    <s v="LI"/>
    <s v="College"/>
    <s v="Rent"/>
    <n v="1"/>
    <n v="0"/>
    <n v="5266.5"/>
    <n v="3844.5450000000001"/>
    <n v="1844.5450000000001"/>
  </r>
  <r>
    <x v="1"/>
    <s v="LI"/>
    <s v="High School"/>
    <s v="Rent"/>
    <n v="1"/>
    <n v="1"/>
    <n v="3597.0540000000001"/>
    <n v="2625.84942"/>
    <n v="-374.15057999999999"/>
  </r>
  <r>
    <x v="0"/>
    <s v="MI"/>
    <s v="High School"/>
    <s v="Mortgage"/>
    <n v="1"/>
    <n v="1"/>
    <n v="6520.9823999999999"/>
    <n v="4760.3171519999996"/>
    <n v="-3239.6828480000004"/>
  </r>
  <r>
    <x v="2"/>
    <s v="MI"/>
    <s v="Masters"/>
    <s v="Own"/>
    <n v="1"/>
    <n v="0"/>
    <n v="11333.4288"/>
    <n v="8273.4030239999993"/>
    <n v="273.40302399999928"/>
  </r>
  <r>
    <x v="0"/>
    <s v="HI"/>
    <s v="Bachelor"/>
    <s v="Mortgage"/>
    <n v="1"/>
    <n v="1"/>
    <n v="4793.7"/>
    <n v="3499.4009999999998"/>
    <n v="-2500.5990000000002"/>
  </r>
  <r>
    <x v="2"/>
    <s v="MI"/>
    <s v="Bachelor"/>
    <s v="Mortgage"/>
    <n v="0"/>
    <n v="1"/>
    <n v="10608.78"/>
    <n v="7744.4094000000005"/>
    <n v="5744.4094000000005"/>
  </r>
  <r>
    <x v="2"/>
    <s v="HI"/>
    <s v="College"/>
    <s v="Mortgage"/>
    <n v="0"/>
    <n v="1"/>
    <n v="4081.0175999999997"/>
    <n v="2979.1428479999995"/>
    <n v="-3020.8571520000005"/>
  </r>
  <r>
    <x v="1"/>
    <s v="HI"/>
    <s v="High School"/>
    <s v="Own"/>
    <n v="1"/>
    <n v="1"/>
    <n v="2309.4432000000002"/>
    <n v="1685.893536"/>
    <n v="-5314.1064640000004"/>
  </r>
  <r>
    <x v="2"/>
    <s v="MI"/>
    <s v="Bachelor"/>
    <s v="Mortgage"/>
    <n v="1"/>
    <n v="1"/>
    <n v="2103.8472000000002"/>
    <n v="1535.808456"/>
    <n v="535.80845599999998"/>
  </r>
  <r>
    <x v="2"/>
    <s v="HI"/>
    <s v="NA"/>
    <s v="Own"/>
    <n v="1"/>
    <n v="1"/>
    <n v="2358.7847999999999"/>
    <n v="1721.9129039999998"/>
    <n v="-4278.0870960000002"/>
  </r>
  <r>
    <x v="2"/>
    <s v="LI"/>
    <s v="Bachelor"/>
    <s v="Own"/>
    <n v="1"/>
    <n v="0"/>
    <n v="1502.3987999999999"/>
    <n v="1096.7511239999999"/>
    <n v="96.751123999999891"/>
  </r>
  <r>
    <x v="0"/>
    <s v="HI"/>
    <s v="NA"/>
    <s v="Own"/>
    <n v="0"/>
    <n v="1"/>
    <n v="7008.5928000000004"/>
    <n v="5116.2727439999999"/>
    <n v="4116.2727439999999"/>
  </r>
  <r>
    <x v="0"/>
    <s v="HI"/>
    <s v="Bachelor"/>
    <s v="Rent"/>
    <n v="1"/>
    <n v="0"/>
    <n v="10766.527199999999"/>
    <n v="7859.5648559999991"/>
    <n v="7859.5648559999991"/>
  </r>
  <r>
    <x v="2"/>
    <s v="MI"/>
    <s v="Bachelor"/>
    <s v="Mortgage"/>
    <n v="1"/>
    <n v="0"/>
    <n v="13178.245200000001"/>
    <n v="9620.1189960000011"/>
    <n v="6620.1189960000011"/>
  </r>
  <r>
    <x v="2"/>
    <s v="MI"/>
    <s v="High School"/>
    <s v="Own"/>
    <n v="0"/>
    <n v="1"/>
    <n v="5386.08"/>
    <n v="3931.8383999999996"/>
    <n v="-3068.1616000000004"/>
  </r>
  <r>
    <x v="2"/>
    <s v="HI"/>
    <s v="MD"/>
    <s v="Mortgage"/>
    <n v="1"/>
    <n v="0"/>
    <n v="5882.0039999999999"/>
    <n v="4293.8629199999996"/>
    <n v="-5706.1370800000004"/>
  </r>
  <r>
    <x v="2"/>
    <s v="MI"/>
    <s v="PhD"/>
    <s v="Mortgage"/>
    <n v="1"/>
    <n v="1"/>
    <n v="12229.980000000001"/>
    <n v="8927.885400000001"/>
    <n v="2927.885400000001"/>
  </r>
  <r>
    <x v="0"/>
    <s v="MI"/>
    <s v="Bachelor"/>
    <s v="Mortgage"/>
    <n v="1"/>
    <n v="1"/>
    <n v="7238.6867999999995"/>
    <n v="5284.2413639999995"/>
    <n v="284.24136399999952"/>
  </r>
  <r>
    <x v="0"/>
    <s v="LI"/>
    <s v="Bachelor"/>
    <s v="Own"/>
    <n v="1"/>
    <n v="1"/>
    <n v="12541.199999999999"/>
    <n v="9155.0759999999991"/>
    <n v="9155.0759999999991"/>
  </r>
  <r>
    <x v="0"/>
    <s v="MI"/>
    <s v="Bachelor"/>
    <s v="Own"/>
    <n v="1"/>
    <n v="1"/>
    <n v="10357.146000000001"/>
    <n v="7560.7165800000002"/>
    <n v="560.71658000000025"/>
  </r>
  <r>
    <x v="2"/>
    <s v="LI"/>
    <s v="Bachelor"/>
    <s v="Rent"/>
    <n v="1"/>
    <n v="1"/>
    <n v="3213.21"/>
    <n v="2345.6433000000002"/>
    <n v="-4654.3567000000003"/>
  </r>
  <r>
    <x v="0"/>
    <s v="MI"/>
    <s v="Masters"/>
    <s v="Mortgage"/>
    <n v="1"/>
    <n v="1"/>
    <n v="5153.2236000000003"/>
    <n v="3761.8532279999999"/>
    <n v="-2238.1467720000001"/>
  </r>
  <r>
    <x v="0"/>
    <s v="LI"/>
    <s v="Masters"/>
    <s v="Mortgage"/>
    <n v="0"/>
    <n v="1"/>
    <n v="13983.78"/>
    <n v="10208.1594"/>
    <n v="208.15940000000046"/>
  </r>
  <r>
    <x v="0"/>
    <s v="HI"/>
    <s v="High School"/>
    <s v="Rent"/>
    <n v="1"/>
    <n v="1"/>
    <n v="5336.3771999999999"/>
    <n v="3895.5553559999998"/>
    <n v="-4104.4446440000002"/>
  </r>
  <r>
    <x v="2"/>
    <s v="MI"/>
    <s v="Bachelor"/>
    <s v="Own"/>
    <n v="1"/>
    <n v="1"/>
    <n v="7701.4475999999995"/>
    <n v="5622.0567479999991"/>
    <n v="622.05674799999906"/>
  </r>
  <r>
    <x v="1"/>
    <s v="MI"/>
    <s v="Bachelor"/>
    <s v="Mortgage"/>
    <n v="1"/>
    <n v="1"/>
    <n v="10989.153600000001"/>
    <n v="8022.0821280000009"/>
    <n v="8022.0821280000009"/>
  </r>
  <r>
    <x v="2"/>
    <s v="LI"/>
    <s v="NA"/>
    <s v="Own"/>
    <n v="1"/>
    <n v="0"/>
    <n v="550.32719999999995"/>
    <n v="401.73885599999994"/>
    <n v="-6598.2611440000001"/>
  </r>
  <r>
    <x v="2"/>
    <s v="LI"/>
    <s v="Masters"/>
    <s v="Rent"/>
    <n v="0"/>
    <n v="1"/>
    <n v="2878.4616000000001"/>
    <n v="2101.2769680000001"/>
    <n v="-4898.7230319999999"/>
  </r>
  <r>
    <x v="2"/>
    <s v="MI"/>
    <s v="Masters"/>
    <s v="Rent"/>
    <n v="1"/>
    <n v="1"/>
    <n v="625.59240000000011"/>
    <n v="456.68245200000007"/>
    <n v="-2543.317548"/>
  </r>
  <r>
    <x v="0"/>
    <s v="LI"/>
    <s v="Bachelor"/>
    <s v="Rent"/>
    <n v="1"/>
    <n v="1"/>
    <n v="11868.2508"/>
    <n v="8663.8230839999997"/>
    <n v="5663.8230839999997"/>
  </r>
  <r>
    <x v="1"/>
    <s v="MI"/>
    <s v="Bachelor"/>
    <s v="Mortgage"/>
    <n v="0"/>
    <n v="1"/>
    <n v="5132.3531999999996"/>
    <n v="3746.6178359999994"/>
    <n v="-2253.3821640000006"/>
  </r>
  <r>
    <x v="2"/>
    <s v="MI"/>
    <s v="High School"/>
    <s v="Own"/>
    <n v="1"/>
    <n v="0"/>
    <n v="14796.06"/>
    <n v="10801.123799999999"/>
    <n v="8801.1237999999994"/>
  </r>
  <r>
    <x v="0"/>
    <s v="MI"/>
    <s v="Bachelor"/>
    <s v="Rent"/>
    <n v="0"/>
    <n v="1"/>
    <n v="1520.9712"/>
    <n v="1110.308976"/>
    <n v="-7889.6910239999997"/>
  </r>
  <r>
    <x v="2"/>
    <s v="LI"/>
    <s v="Bachelor"/>
    <s v="Mortgage"/>
    <n v="0"/>
    <n v="1"/>
    <n v="7189.5216"/>
    <n v="5248.3507680000002"/>
    <n v="-2751.6492319999998"/>
  </r>
  <r>
    <x v="0"/>
    <s v="MI"/>
    <s v="NA"/>
    <s v="Mortgage"/>
    <n v="1"/>
    <n v="0"/>
    <n v="6219.6048000000001"/>
    <n v="4540.3115040000002"/>
    <n v="1540.3115040000002"/>
  </r>
  <r>
    <x v="0"/>
    <s v="MI"/>
    <s v="High School"/>
    <s v="Rent"/>
    <n v="0"/>
    <n v="1"/>
    <n v="8703"/>
    <n v="6353.19"/>
    <n v="5353.19"/>
  </r>
  <r>
    <x v="2"/>
    <s v="HI"/>
    <s v="Bachelor"/>
    <s v="Rent"/>
    <n v="0"/>
    <n v="1"/>
    <n v="4773.12"/>
    <n v="3484.3775999999998"/>
    <n v="-3515.6224000000002"/>
  </r>
  <r>
    <x v="1"/>
    <s v="HI"/>
    <s v="Masters"/>
    <s v="Rent"/>
    <n v="0"/>
    <n v="1"/>
    <n v="819.72"/>
    <n v="598.39560000000006"/>
    <n v="-5401.6044000000002"/>
  </r>
  <r>
    <x v="0"/>
    <s v="LI"/>
    <s v="High School"/>
    <s v="Rent"/>
    <n v="0"/>
    <n v="1"/>
    <n v="3474.9504000000002"/>
    <n v="2536.713792"/>
    <n v="-5463.2862079999995"/>
  </r>
  <r>
    <x v="2"/>
    <s v="MI"/>
    <s v="Bachelor"/>
    <s v="Own"/>
    <n v="1"/>
    <n v="0"/>
    <n v="7053.4776000000002"/>
    <n v="5149.0386479999997"/>
    <n v="1149.0386479999997"/>
  </r>
  <r>
    <x v="2"/>
    <s v="MI"/>
    <s v="Bachelor"/>
    <s v="Rent"/>
    <n v="1"/>
    <n v="0"/>
    <n v="954.08999999999992"/>
    <n v="696.48569999999995"/>
    <n v="-2303.5142999999998"/>
  </r>
  <r>
    <x v="0"/>
    <s v="HI"/>
    <s v="Bachelor"/>
    <s v="Mortgage"/>
    <n v="0"/>
    <n v="1"/>
    <n v="11648.894400000001"/>
    <n v="8503.6929120000004"/>
    <n v="4503.6929120000004"/>
  </r>
  <r>
    <x v="0"/>
    <s v="LI"/>
    <s v="Masters"/>
    <s v="Own"/>
    <n v="1"/>
    <n v="0"/>
    <n v="3101.1840000000002"/>
    <n v="2263.8643200000001"/>
    <n v="2263.8643200000001"/>
  </r>
  <r>
    <x v="0"/>
    <s v="MI"/>
    <s v="Bachelor"/>
    <s v="Own"/>
    <n v="1"/>
    <n v="1"/>
    <n v="6248.52"/>
    <n v="4561.4196000000002"/>
    <n v="-438.58039999999983"/>
  </r>
  <r>
    <x v="2"/>
    <s v="LI"/>
    <s v="High School"/>
    <s v="Mortgage"/>
    <n v="1"/>
    <n v="0"/>
    <n v="2861.1648"/>
    <n v="2088.6503039999998"/>
    <n v="88.650303999999778"/>
  </r>
  <r>
    <x v="1"/>
    <s v="LI"/>
    <s v="High School"/>
    <s v="Rent"/>
    <n v="1"/>
    <n v="1"/>
    <n v="3135.3191999999999"/>
    <n v="2288.7830159999999"/>
    <n v="-2711.2169840000001"/>
  </r>
  <r>
    <x v="0"/>
    <s v="MI"/>
    <s v="Bachelor"/>
    <s v="Own"/>
    <n v="0"/>
    <n v="1"/>
    <n v="13206.78"/>
    <n v="9640.9493999999995"/>
    <n v="-359.05060000000049"/>
  </r>
  <r>
    <x v="2"/>
    <s v="LI"/>
    <s v="NA"/>
    <s v="Rent"/>
    <n v="0"/>
    <n v="1"/>
    <n v="1719.4319999999998"/>
    <n v="1255.1853599999997"/>
    <n v="-5744.8146400000005"/>
  </r>
  <r>
    <x v="0"/>
    <s v="LI"/>
    <s v="Bachelor"/>
    <s v="Rent"/>
    <n v="0"/>
    <n v="1"/>
    <n v="7151.6927999999998"/>
    <n v="5220.7357439999996"/>
    <n v="-779.26425600000039"/>
  </r>
  <r>
    <x v="1"/>
    <s v="HI"/>
    <s v="Bachelor"/>
    <s v="Own"/>
    <n v="1"/>
    <n v="0"/>
    <n v="5477.1552000000001"/>
    <n v="3998.323296"/>
    <n v="-6001.6767039999995"/>
  </r>
  <r>
    <x v="2"/>
    <s v="MI"/>
    <s v="Masters"/>
    <s v="Mortgage"/>
    <n v="1"/>
    <n v="0"/>
    <n v="6847.4688000000006"/>
    <n v="4998.6522240000004"/>
    <n v="-1001.3477759999996"/>
  </r>
  <r>
    <x v="0"/>
    <s v="MI"/>
    <s v="MD"/>
    <s v="Own"/>
    <n v="0"/>
    <n v="1"/>
    <n v="5528.4"/>
    <n v="4035.7319999999995"/>
    <n v="-2964.2680000000005"/>
  </r>
  <r>
    <x v="0"/>
    <s v="MI"/>
    <s v="NA"/>
    <s v="Own"/>
    <n v="1"/>
    <n v="1"/>
    <n v="3622.32"/>
    <n v="2644.2936"/>
    <n v="-6355.7064"/>
  </r>
  <r>
    <x v="0"/>
    <s v="MI"/>
    <s v="Bachelor"/>
    <s v="Rent"/>
    <n v="0"/>
    <n v="0"/>
    <n v="6402.5280000000002"/>
    <n v="4673.8454400000001"/>
    <n v="4673.8454400000001"/>
  </r>
  <r>
    <x v="0"/>
    <s v="MI"/>
    <s v="High School"/>
    <s v="Own"/>
    <n v="1"/>
    <n v="0"/>
    <n v="12417.174000000001"/>
    <n v="9064.5370199999998"/>
    <n v="4064.5370199999998"/>
  </r>
  <r>
    <x v="2"/>
    <s v="HI"/>
    <s v="College"/>
    <s v="Own"/>
    <n v="1"/>
    <n v="1"/>
    <n v="9646.2000000000007"/>
    <n v="7041.7260000000006"/>
    <n v="-958.27399999999943"/>
  </r>
  <r>
    <x v="1"/>
    <s v="MI"/>
    <s v="Bachelor"/>
    <s v="Rent"/>
    <n v="1"/>
    <n v="1"/>
    <n v="13462.293599999999"/>
    <n v="9827.4743279999984"/>
    <n v="5827.4743279999984"/>
  </r>
  <r>
    <x v="0"/>
    <s v="MI"/>
    <s v="High School"/>
    <s v="Rent"/>
    <n v="0"/>
    <n v="1"/>
    <n v="4634.3903999999993"/>
    <n v="3383.1049919999996"/>
    <n v="-616.89500800000042"/>
  </r>
  <r>
    <x v="2"/>
    <s v="LI"/>
    <s v="PhD"/>
    <s v="Own"/>
    <n v="1"/>
    <n v="1"/>
    <n v="8169.5999999999995"/>
    <n v="5963.8079999999991"/>
    <n v="4963.8079999999991"/>
  </r>
  <r>
    <x v="0"/>
    <s v="MI"/>
    <s v="NA"/>
    <s v="Own"/>
    <n v="1"/>
    <n v="1"/>
    <n v="1085.0784000000001"/>
    <n v="792.10723200000007"/>
    <n v="-6207.8927679999997"/>
  </r>
  <r>
    <x v="2"/>
    <s v="MI"/>
    <s v="Masters"/>
    <s v="Rent"/>
    <n v="1"/>
    <n v="1"/>
    <n v="3512.0844000000002"/>
    <n v="2563.8216120000002"/>
    <n v="-436.17838799999981"/>
  </r>
  <r>
    <x v="0"/>
    <s v="MI"/>
    <s v="Bachelor"/>
    <s v="Rent"/>
    <n v="1"/>
    <n v="1"/>
    <n v="1993.2"/>
    <n v="1455.0360000000001"/>
    <n v="-6544.9639999999999"/>
  </r>
  <r>
    <x v="0"/>
    <s v="MI"/>
    <s v="High School"/>
    <s v="Mortgage"/>
    <n v="1"/>
    <n v="0"/>
    <n v="3236.61"/>
    <n v="2362.7253000000001"/>
    <n v="-1637.2746999999999"/>
  </r>
  <r>
    <x v="2"/>
    <s v="MI"/>
    <s v="College"/>
    <s v="Rent"/>
    <n v="0"/>
    <n v="1"/>
    <n v="5898.24"/>
    <n v="4305.7151999999996"/>
    <n v="4305.7151999999996"/>
  </r>
  <r>
    <x v="2"/>
    <s v="MI"/>
    <s v="Bachelor"/>
    <s v="Mortgage"/>
    <n v="1"/>
    <n v="1"/>
    <n v="670.45679999999993"/>
    <n v="489.43346399999996"/>
    <n v="-6510.5665360000003"/>
  </r>
  <r>
    <x v="0"/>
    <s v="LI"/>
    <s v="Bachelor"/>
    <s v="Mortgage"/>
    <n v="1"/>
    <n v="1"/>
    <n v="6492.6288000000004"/>
    <n v="4739.6190240000005"/>
    <n v="1739.6190240000005"/>
  </r>
  <r>
    <x v="0"/>
    <s v="MI"/>
    <s v="NA"/>
    <s v="Rent"/>
    <n v="1"/>
    <n v="0"/>
    <n v="2499.0527999999999"/>
    <n v="1824.308544"/>
    <n v="-6175.6914560000005"/>
  </r>
  <r>
    <x v="2"/>
    <s v="MI"/>
    <s v="Bachelor"/>
    <s v="Own"/>
    <n v="1"/>
    <n v="1"/>
    <n v="8137.92"/>
    <n v="5940.6815999999999"/>
    <n v="1940.6815999999999"/>
  </r>
  <r>
    <x v="0"/>
    <s v="HI"/>
    <s v="Bachelor"/>
    <s v="Mortgage"/>
    <n v="1"/>
    <n v="0"/>
    <n v="6159.66"/>
    <n v="4496.5518000000002"/>
    <n v="3496.5518000000002"/>
  </r>
  <r>
    <x v="0"/>
    <s v="MI"/>
    <s v="College"/>
    <s v="Rent"/>
    <n v="1"/>
    <n v="0"/>
    <n v="16452.518400000001"/>
    <n v="12010.338432"/>
    <n v="9010.3384320000005"/>
  </r>
  <r>
    <x v="0"/>
    <s v="MI"/>
    <s v="Masters"/>
    <s v="Rent"/>
    <n v="1"/>
    <n v="0"/>
    <n v="8039.5775999999996"/>
    <n v="5868.8916479999998"/>
    <n v="868.8916479999998"/>
  </r>
  <r>
    <x v="0"/>
    <s v="MI"/>
    <s v="MD"/>
    <s v="Rent"/>
    <n v="1"/>
    <n v="0"/>
    <n v="13786.455599999999"/>
    <n v="10064.112588"/>
    <n v="4064.112588"/>
  </r>
  <r>
    <x v="0"/>
    <s v="HI"/>
    <s v="High School"/>
    <s v="Mortgage"/>
    <n v="0"/>
    <n v="1"/>
    <n v="11787.3"/>
    <n v="8604.7289999999994"/>
    <n v="604.72899999999936"/>
  </r>
  <r>
    <x v="1"/>
    <s v="HI"/>
    <s v="NA"/>
    <s v="Rent"/>
    <n v="0"/>
    <n v="0"/>
    <n v="8061.27"/>
    <n v="5884.7271000000001"/>
    <n v="-4115.2728999999999"/>
  </r>
  <r>
    <x v="0"/>
    <s v="MI"/>
    <s v="Bachelor"/>
    <s v="Mortgage"/>
    <n v="1"/>
    <n v="1"/>
    <n v="9723.84"/>
    <n v="7098.4031999999997"/>
    <n v="6098.4031999999997"/>
  </r>
  <r>
    <x v="1"/>
    <s v="MI"/>
    <s v="Bachelor"/>
    <s v="Own"/>
    <n v="1"/>
    <n v="1"/>
    <n v="9419.6363999999994"/>
    <n v="6876.3345719999998"/>
    <n v="-3123.6654280000002"/>
  </r>
  <r>
    <x v="0"/>
    <s v="HI"/>
    <s v="MD"/>
    <s v="Mortgage"/>
    <n v="1"/>
    <n v="1"/>
    <n v="5875.2"/>
    <n v="4288.8959999999997"/>
    <n v="3288.8959999999997"/>
  </r>
  <r>
    <x v="2"/>
    <s v="LI"/>
    <s v="Bachelor"/>
    <s v="Mortgage"/>
    <n v="1"/>
    <n v="0"/>
    <n v="1063.8899999999999"/>
    <n v="776.63969999999983"/>
    <n v="-2223.3603000000003"/>
  </r>
  <r>
    <x v="2"/>
    <s v="HI"/>
    <s v="High School"/>
    <s v="Rent"/>
    <n v="1"/>
    <n v="1"/>
    <n v="1278.2447999999999"/>
    <n v="933.11870399999998"/>
    <n v="933.11870399999998"/>
  </r>
  <r>
    <x v="2"/>
    <s v="LI"/>
    <s v="Masters"/>
    <s v="Rent"/>
    <n v="1"/>
    <n v="0"/>
    <n v="9254.2968000000001"/>
    <n v="6755.6366639999997"/>
    <n v="5755.6366639999997"/>
  </r>
  <r>
    <x v="2"/>
    <s v="HI"/>
    <s v="Bachelor"/>
    <s v="Mortgage"/>
    <n v="1"/>
    <n v="0"/>
    <n v="7917.3191999999999"/>
    <n v="5779.643016"/>
    <n v="1779.643016"/>
  </r>
  <r>
    <x v="1"/>
    <s v="MI"/>
    <s v="High School"/>
    <s v="Own"/>
    <n v="1"/>
    <n v="1"/>
    <n v="9100.2335999999996"/>
    <n v="6643.1705279999996"/>
    <n v="-356.82947200000035"/>
  </r>
  <r>
    <x v="2"/>
    <s v="LI"/>
    <s v="Bachelor"/>
    <s v="Own"/>
    <n v="1"/>
    <n v="1"/>
    <n v="12783.0144"/>
    <n v="9331.6005119999991"/>
    <n v="3331.6005119999991"/>
  </r>
  <r>
    <x v="2"/>
    <s v="HI"/>
    <s v="High School"/>
    <s v="Rent"/>
    <n v="1"/>
    <n v="0"/>
    <n v="10876.003199999999"/>
    <n v="7939.4823359999991"/>
    <n v="-1060.5176640000009"/>
  </r>
  <r>
    <x v="0"/>
    <s v="MI"/>
    <s v="MD"/>
    <s v="Own"/>
    <n v="1"/>
    <n v="0"/>
    <n v="9504.6"/>
    <n v="6938.3580000000002"/>
    <n v="-61.641999999999825"/>
  </r>
  <r>
    <x v="1"/>
    <s v="LI"/>
    <s v="Bachelor"/>
    <s v="Mortgage"/>
    <n v="0"/>
    <n v="1"/>
    <n v="10629.0828"/>
    <n v="7759.2304439999998"/>
    <n v="759.23044399999981"/>
  </r>
  <r>
    <x v="0"/>
    <s v="HI"/>
    <s v="College"/>
    <s v="Rent"/>
    <n v="1"/>
    <n v="1"/>
    <n v="9652.6080000000002"/>
    <n v="7046.4038399999999"/>
    <n v="4046.4038399999999"/>
  </r>
  <r>
    <x v="2"/>
    <s v="LI"/>
    <s v="High School"/>
    <s v="Mortgage"/>
    <n v="0"/>
    <n v="0"/>
    <n v="2290.5"/>
    <n v="1672.0650000000001"/>
    <n v="-5327.9349999999995"/>
  </r>
  <r>
    <x v="0"/>
    <s v="MI"/>
    <s v="College"/>
    <s v="Mortgage"/>
    <n v="0"/>
    <n v="1"/>
    <n v="14051.099999999999"/>
    <n v="10257.302999999998"/>
    <n v="4257.3029999999981"/>
  </r>
  <r>
    <x v="2"/>
    <s v="LI"/>
    <s v="College"/>
    <s v="Mortgage"/>
    <n v="1"/>
    <n v="1"/>
    <n v="8079.1200000000008"/>
    <n v="5897.7576000000008"/>
    <n v="-102.24239999999918"/>
  </r>
  <r>
    <x v="2"/>
    <s v="MI"/>
    <s v="High School"/>
    <s v="Mortgage"/>
    <n v="0"/>
    <n v="1"/>
    <n v="7310.0123999999996"/>
    <n v="5336.3090519999996"/>
    <n v="-2663.6909480000004"/>
  </r>
  <r>
    <x v="2"/>
    <s v="HI"/>
    <s v="Bachelor"/>
    <s v="Mortgage"/>
    <n v="1"/>
    <n v="0"/>
    <n v="3884.3903999999998"/>
    <n v="2835.6049919999996"/>
    <n v="-1164.3950080000004"/>
  </r>
  <r>
    <x v="0"/>
    <s v="LI"/>
    <s v="High School"/>
    <s v="Own"/>
    <n v="1"/>
    <n v="0"/>
    <n v="3672"/>
    <n v="2680.56"/>
    <n v="-1319.44"/>
  </r>
  <r>
    <x v="1"/>
    <s v="MI"/>
    <s v="Masters"/>
    <s v="Mortgage"/>
    <n v="1"/>
    <n v="1"/>
    <n v="4851.2519999999995"/>
    <n v="3541.4139599999994"/>
    <n v="-3458.5860400000006"/>
  </r>
  <r>
    <x v="0"/>
    <s v="LI"/>
    <s v="High School"/>
    <s v="Mortgage"/>
    <n v="0"/>
    <n v="1"/>
    <n v="11856.9576"/>
    <n v="8655.5790479999996"/>
    <n v="6655.5790479999996"/>
  </r>
  <r>
    <x v="1"/>
    <s v="MI"/>
    <s v="High School"/>
    <s v="Rent"/>
    <n v="1"/>
    <n v="0"/>
    <n v="9570.4103999999988"/>
    <n v="6986.3995919999988"/>
    <n v="1986.3995919999988"/>
  </r>
  <r>
    <x v="2"/>
    <s v="LI"/>
    <s v="High School"/>
    <s v="Mortgage"/>
    <n v="1"/>
    <n v="1"/>
    <n v="3719.2847999999999"/>
    <n v="2715.0779039999998"/>
    <n v="-284.92209600000024"/>
  </r>
  <r>
    <x v="2"/>
    <s v="MI"/>
    <s v="High School"/>
    <s v="Mortgage"/>
    <n v="1"/>
    <n v="1"/>
    <n v="10588.3524"/>
    <n v="7729.4972519999992"/>
    <n v="6729.4972519999992"/>
  </r>
  <r>
    <x v="2"/>
    <s v="MI"/>
    <s v="Bachelor"/>
    <s v="Mortgage"/>
    <n v="1"/>
    <n v="1"/>
    <n v="10355.9184"/>
    <n v="7559.8204320000004"/>
    <n v="1559.8204320000004"/>
  </r>
  <r>
    <x v="2"/>
    <s v="MI"/>
    <s v="High School"/>
    <s v="Mortgage"/>
    <n v="1"/>
    <n v="1"/>
    <n v="11207.279999999999"/>
    <n v="8181.3143999999993"/>
    <n v="-818.6856000000007"/>
  </r>
  <r>
    <x v="0"/>
    <s v="MI"/>
    <s v="PhD"/>
    <s v="Rent"/>
    <n v="1"/>
    <n v="0"/>
    <n v="9939.5400000000009"/>
    <n v="7255.8642000000009"/>
    <n v="2255.8642000000009"/>
  </r>
  <r>
    <x v="1"/>
    <s v="HI"/>
    <s v="Bachelor"/>
    <s v="Own"/>
    <n v="1"/>
    <n v="0"/>
    <n v="10209.24"/>
    <n v="7452.7451999999994"/>
    <n v="2452.7451999999994"/>
  </r>
  <r>
    <x v="0"/>
    <s v="MI"/>
    <s v="Bachelor"/>
    <s v="Own"/>
    <n v="1"/>
    <n v="1"/>
    <n v="3022.2192"/>
    <n v="2206.2200159999998"/>
    <n v="206.22001599999976"/>
  </r>
  <r>
    <x v="2"/>
    <s v="HI"/>
    <s v="Masters"/>
    <s v="Mortgage"/>
    <n v="1"/>
    <n v="1"/>
    <n v="5853.3804000000009"/>
    <n v="4272.9676920000002"/>
    <n v="-4727.0323079999998"/>
  </r>
  <r>
    <x v="2"/>
    <s v="LI"/>
    <s v="MD"/>
    <s v="Own"/>
    <n v="1"/>
    <n v="1"/>
    <n v="9976.1712000000007"/>
    <n v="7282.6049760000005"/>
    <n v="2282.6049760000005"/>
  </r>
  <r>
    <x v="0"/>
    <s v="HI"/>
    <s v="College"/>
    <s v="Own"/>
    <n v="1"/>
    <n v="1"/>
    <n v="6851.424"/>
    <n v="5001.5395200000003"/>
    <n v="5001.5395200000003"/>
  </r>
  <r>
    <x v="0"/>
    <s v="HI"/>
    <s v="High School"/>
    <s v="Own"/>
    <n v="1"/>
    <n v="0"/>
    <n v="6626.9808000000003"/>
    <n v="4837.695984"/>
    <n v="-3162.304016"/>
  </r>
  <r>
    <x v="0"/>
    <s v="MI"/>
    <s v="Bachelor"/>
    <s v="Rent"/>
    <n v="1"/>
    <n v="1"/>
    <n v="7104.7368000000006"/>
    <n v="5186.457864"/>
    <n v="4186.457864"/>
  </r>
  <r>
    <x v="0"/>
    <s v="MI"/>
    <s v="College"/>
    <s v="Mortgage"/>
    <n v="0"/>
    <n v="0"/>
    <n v="1567.5096000000001"/>
    <n v="1144.2820080000001"/>
    <n v="-7855.7179919999999"/>
  </r>
  <r>
    <x v="0"/>
    <s v="HI"/>
    <s v="Bachelor"/>
    <s v="Rent"/>
    <n v="0"/>
    <n v="1"/>
    <n v="13369.356"/>
    <n v="9759.6298800000004"/>
    <n v="7759.6298800000004"/>
  </r>
  <r>
    <x v="1"/>
    <s v="LI"/>
    <s v="College"/>
    <s v="Rent"/>
    <n v="1"/>
    <n v="1"/>
    <n v="10243.800000000001"/>
    <n v="7477.9740000000002"/>
    <n v="2477.9740000000002"/>
  </r>
  <r>
    <x v="2"/>
    <s v="MI"/>
    <s v="Bachelor"/>
    <s v="Mortgage"/>
    <n v="1"/>
    <n v="0"/>
    <n v="6444.3959999999997"/>
    <n v="4704.4090799999994"/>
    <n v="-3295.5909200000006"/>
  </r>
  <r>
    <x v="2"/>
    <s v="MI"/>
    <s v="High School"/>
    <s v="Mortgage"/>
    <n v="1"/>
    <n v="1"/>
    <n v="4156.68"/>
    <n v="3034.3764000000001"/>
    <n v="-5965.6235999999999"/>
  </r>
  <r>
    <x v="0"/>
    <s v="LI"/>
    <s v="Bachelor"/>
    <s v="Rent"/>
    <n v="0"/>
    <n v="0"/>
    <n v="4696.1376"/>
    <n v="3428.1804480000001"/>
    <n v="-1571.8195519999999"/>
  </r>
  <r>
    <x v="1"/>
    <s v="HI"/>
    <s v="Bachelor"/>
    <s v="Own"/>
    <n v="1"/>
    <n v="1"/>
    <n v="2844.7523999999999"/>
    <n v="2076.6692519999997"/>
    <n v="-5923.3307480000003"/>
  </r>
  <r>
    <x v="0"/>
    <s v="HI"/>
    <s v="Bachelor"/>
    <s v="Own"/>
    <n v="1"/>
    <n v="1"/>
    <n v="8616.978000000001"/>
    <n v="6290.3939400000008"/>
    <n v="-3709.6060599999992"/>
  </r>
  <r>
    <x v="1"/>
    <s v="MI"/>
    <s v="Masters"/>
    <s v="Mortgage"/>
    <n v="1"/>
    <n v="1"/>
    <n v="4559.49"/>
    <n v="3328.4276999999997"/>
    <n v="-5671.5722999999998"/>
  </r>
  <r>
    <x v="2"/>
    <s v="MI"/>
    <s v="Bachelor"/>
    <s v="Rent"/>
    <n v="1"/>
    <n v="1"/>
    <n v="2459.4575999999997"/>
    <n v="1795.4040479999996"/>
    <n v="-3204.5959520000006"/>
  </r>
  <r>
    <x v="2"/>
    <s v="MI"/>
    <s v="Bachelor"/>
    <s v="Rent"/>
    <n v="1"/>
    <n v="1"/>
    <n v="5353.5011999999997"/>
    <n v="3908.0558759999999"/>
    <n v="-2091.9441240000001"/>
  </r>
  <r>
    <x v="2"/>
    <s v="LI"/>
    <s v="NA"/>
    <s v="Rent"/>
    <n v="1"/>
    <n v="0"/>
    <n v="7022.808"/>
    <n v="5126.64984"/>
    <n v="-1873.35016"/>
  </r>
  <r>
    <x v="0"/>
    <s v="LI"/>
    <s v="Bachelor"/>
    <s v="Own"/>
    <n v="1"/>
    <n v="1"/>
    <n v="13250.481599999999"/>
    <n v="9672.851568"/>
    <n v="2672.851568"/>
  </r>
  <r>
    <x v="0"/>
    <s v="HI"/>
    <s v="Bachelor"/>
    <s v="Rent"/>
    <n v="1"/>
    <n v="0"/>
    <n v="14331.2256"/>
    <n v="10461.794688"/>
    <n v="6461.794688"/>
  </r>
  <r>
    <x v="2"/>
    <s v="HI"/>
    <s v="College"/>
    <s v="Mortgage"/>
    <n v="1"/>
    <n v="0"/>
    <n v="11387.346"/>
    <n v="8312.7625799999987"/>
    <n v="8312.7625799999987"/>
  </r>
  <r>
    <x v="2"/>
    <s v="MI"/>
    <s v="High School"/>
    <s v="Mortgage"/>
    <n v="1"/>
    <n v="1"/>
    <n v="5170.6752000000006"/>
    <n v="3774.5928960000001"/>
    <n v="774.59289600000011"/>
  </r>
  <r>
    <x v="2"/>
    <s v="MI"/>
    <s v="College"/>
    <s v="Rent"/>
    <n v="0"/>
    <n v="0"/>
    <n v="7213.3499999999995"/>
    <n v="5265.7454999999991"/>
    <n v="3265.7454999999991"/>
  </r>
  <r>
    <x v="2"/>
    <s v="MI"/>
    <s v="MD"/>
    <s v="Rent"/>
    <n v="1"/>
    <n v="1"/>
    <n v="2699.6988000000001"/>
    <n v="1970.7801240000001"/>
    <n v="-2029.2198759999999"/>
  </r>
  <r>
    <x v="2"/>
    <s v="MI"/>
    <s v="Masters"/>
    <s v="Rent"/>
    <n v="1"/>
    <n v="0"/>
    <n v="8680.3128000000015"/>
    <n v="6336.6283440000007"/>
    <n v="5336.6283440000007"/>
  </r>
  <r>
    <x v="1"/>
    <s v="LI"/>
    <s v="Bachelor"/>
    <s v="Rent"/>
    <n v="1"/>
    <n v="1"/>
    <n v="10702.929600000001"/>
    <n v="7813.1386080000011"/>
    <n v="4813.1386080000011"/>
  </r>
  <r>
    <x v="0"/>
    <s v="MI"/>
    <s v="NA"/>
    <s v="Mortgage"/>
    <n v="0"/>
    <n v="1"/>
    <n v="4628.1456000000007"/>
    <n v="3378.5462880000005"/>
    <n v="378.54628800000046"/>
  </r>
  <r>
    <x v="0"/>
    <s v="HI"/>
    <s v="High School"/>
    <s v="Mortgage"/>
    <n v="1"/>
    <n v="1"/>
    <n v="8060.8787999999995"/>
    <n v="5884.4415239999998"/>
    <n v="-115.55847600000016"/>
  </r>
  <r>
    <x v="2"/>
    <s v="HI"/>
    <s v="College"/>
    <s v="Mortgage"/>
    <n v="1"/>
    <n v="0"/>
    <n v="1940.88"/>
    <n v="1416.8424"/>
    <n v="1416.8424"/>
  </r>
  <r>
    <x v="2"/>
    <s v="LI"/>
    <s v="College"/>
    <s v="Own"/>
    <n v="0"/>
    <n v="1"/>
    <n v="12112.383600000001"/>
    <n v="8842.0400280000013"/>
    <n v="5842.0400280000013"/>
  </r>
  <r>
    <x v="2"/>
    <s v="LI"/>
    <s v="Bachelor"/>
    <s v="Rent"/>
    <n v="0"/>
    <n v="1"/>
    <n v="2182.86"/>
    <n v="1593.4878000000001"/>
    <n v="1593.4878000000001"/>
  </r>
  <r>
    <x v="0"/>
    <s v="HI"/>
    <s v="MD"/>
    <s v="Mortgage"/>
    <n v="1"/>
    <n v="1"/>
    <n v="3888.06"/>
    <n v="2838.2837999999997"/>
    <n v="1838.2837999999997"/>
  </r>
  <r>
    <x v="2"/>
    <s v="MI"/>
    <s v="Bachelor"/>
    <s v="Mortgage"/>
    <n v="1"/>
    <n v="1"/>
    <n v="6154.8"/>
    <n v="4493.0039999999999"/>
    <n v="-4506.9960000000001"/>
  </r>
  <r>
    <x v="0"/>
    <s v="MI"/>
    <s v="Masters"/>
    <s v="Own"/>
    <n v="1"/>
    <n v="1"/>
    <n v="2093.04"/>
    <n v="1527.9192"/>
    <n v="-8472.0807999999997"/>
  </r>
  <r>
    <x v="2"/>
    <s v="MI"/>
    <s v="Bachelor"/>
    <s v="Mortgage"/>
    <n v="1"/>
    <n v="0"/>
    <n v="3630.3696"/>
    <n v="2650.1698080000001"/>
    <n v="-1349.8301919999999"/>
  </r>
  <r>
    <x v="2"/>
    <s v="MI"/>
    <s v="High School"/>
    <s v="Own"/>
    <n v="1"/>
    <n v="1"/>
    <n v="2766.27"/>
    <n v="2019.3770999999999"/>
    <n v="19.377099999999928"/>
  </r>
  <r>
    <x v="0"/>
    <s v="MI"/>
    <s v="Bachelor"/>
    <s v="Mortgage"/>
    <n v="0"/>
    <n v="1"/>
    <n v="2798.8751999999999"/>
    <n v="2043.1788959999999"/>
    <n v="1043.1788959999999"/>
  </r>
  <r>
    <x v="2"/>
    <s v="MI"/>
    <s v="Bachelor"/>
    <s v="Mortgage"/>
    <n v="0"/>
    <n v="1"/>
    <n v="5710.5"/>
    <n v="4168.665"/>
    <n v="-831.33500000000004"/>
  </r>
  <r>
    <x v="0"/>
    <s v="LI"/>
    <s v="College"/>
    <s v="Own"/>
    <n v="1"/>
    <n v="1"/>
    <n v="5076.1032000000005"/>
    <n v="3705.5553360000004"/>
    <n v="-4294.4446639999996"/>
  </r>
  <r>
    <x v="2"/>
    <s v="LI"/>
    <s v="High School"/>
    <s v="Rent"/>
    <n v="1"/>
    <n v="1"/>
    <n v="7716.03"/>
    <n v="5632.7019"/>
    <n v="-2367.2981"/>
  </r>
  <r>
    <x v="2"/>
    <s v="HI"/>
    <s v="Masters"/>
    <s v="Own"/>
    <n v="0"/>
    <n v="1"/>
    <n v="14720.82"/>
    <n v="10746.1986"/>
    <n v="746.19859999999971"/>
  </r>
  <r>
    <x v="2"/>
    <s v="MI"/>
    <s v="High School"/>
    <s v="Own"/>
    <n v="1"/>
    <n v="1"/>
    <n v="7263.1560000000009"/>
    <n v="5302.1038800000006"/>
    <n v="2302.1038800000006"/>
  </r>
  <r>
    <x v="2"/>
    <s v="LI"/>
    <s v="NA"/>
    <s v="Rent"/>
    <n v="0"/>
    <n v="0"/>
    <n v="3605.6016"/>
    <n v="2632.089168"/>
    <n v="-3367.910832"/>
  </r>
  <r>
    <x v="2"/>
    <s v="HI"/>
    <s v="High School"/>
    <s v="Rent"/>
    <n v="1"/>
    <n v="1"/>
    <n v="5165.8319999999994"/>
    <n v="3771.0573599999993"/>
    <n v="-3228.9426400000007"/>
  </r>
  <r>
    <x v="1"/>
    <s v="LI"/>
    <s v="Bachelor"/>
    <s v="Rent"/>
    <n v="0"/>
    <n v="1"/>
    <n v="6702.1055999999999"/>
    <n v="4892.537088"/>
    <n v="2892.537088"/>
  </r>
  <r>
    <x v="0"/>
    <s v="LI"/>
    <s v="High School"/>
    <s v="Rent"/>
    <n v="1"/>
    <n v="1"/>
    <n v="7073.01"/>
    <n v="5163.2973000000002"/>
    <n v="-4836.7026999999998"/>
  </r>
  <r>
    <x v="2"/>
    <s v="LI"/>
    <s v="MD"/>
    <s v="Mortgage"/>
    <n v="1"/>
    <n v="0"/>
    <n v="13855.455599999999"/>
    <n v="10114.482587999999"/>
    <n v="114.48258799999894"/>
  </r>
  <r>
    <x v="2"/>
    <s v="HI"/>
    <s v="Bachelor"/>
    <s v="Rent"/>
    <n v="0"/>
    <n v="1"/>
    <n v="5483.5955999999996"/>
    <n v="4003.0247879999997"/>
    <n v="1003.0247879999997"/>
  </r>
  <r>
    <x v="2"/>
    <s v="MI"/>
    <s v="Bachelor"/>
    <s v="Rent"/>
    <n v="0"/>
    <n v="0"/>
    <n v="1807.4327999999998"/>
    <n v="1319.4259439999998"/>
    <n v="-7680.5740560000004"/>
  </r>
  <r>
    <x v="0"/>
    <s v="MI"/>
    <s v="High School"/>
    <s v="Rent"/>
    <n v="0"/>
    <n v="1"/>
    <n v="10219.583999999999"/>
    <n v="7460.2963199999995"/>
    <n v="2460.2963199999995"/>
  </r>
  <r>
    <x v="0"/>
    <s v="HI"/>
    <s v="High School"/>
    <s v="Own"/>
    <n v="1"/>
    <n v="0"/>
    <n v="809.28"/>
    <n v="590.77440000000001"/>
    <n v="-2409.2255999999998"/>
  </r>
  <r>
    <x v="0"/>
    <s v="MI"/>
    <s v="PhD"/>
    <s v="Own"/>
    <n v="1"/>
    <n v="1"/>
    <n v="10446.019200000001"/>
    <n v="7625.594016"/>
    <n v="4625.594016"/>
  </r>
  <r>
    <x v="0"/>
    <s v="MI"/>
    <s v="Bachelor"/>
    <s v="Rent"/>
    <n v="0"/>
    <n v="0"/>
    <n v="2108.6999999999998"/>
    <n v="1539.3509999999999"/>
    <n v="-2460.6490000000003"/>
  </r>
  <r>
    <x v="1"/>
    <s v="MI"/>
    <s v="College"/>
    <s v="Mortgage"/>
    <n v="0"/>
    <n v="0"/>
    <n v="6185.0015999999996"/>
    <n v="4515.051168"/>
    <n v="-1484.948832"/>
  </r>
  <r>
    <x v="0"/>
    <s v="MI"/>
    <s v="High School"/>
    <s v="Own"/>
    <n v="0"/>
    <n v="0"/>
    <n v="5495.28"/>
    <n v="4011.5543999999995"/>
    <n v="-988.44560000000047"/>
  </r>
  <r>
    <x v="0"/>
    <s v="LI"/>
    <s v="MD"/>
    <s v="Mortgage"/>
    <n v="1"/>
    <n v="1"/>
    <n v="5722.86"/>
    <n v="4177.6877999999997"/>
    <n v="-2822.3122000000003"/>
  </r>
  <r>
    <x v="0"/>
    <s v="HI"/>
    <s v="College"/>
    <s v="Mortgage"/>
    <n v="1"/>
    <n v="1"/>
    <n v="8017.2000000000007"/>
    <n v="5852.5560000000005"/>
    <n v="5852.5560000000005"/>
  </r>
  <r>
    <x v="1"/>
    <s v="MI"/>
    <s v="Bachelor"/>
    <s v="Rent"/>
    <n v="0"/>
    <n v="1"/>
    <n v="7350.8399999999992"/>
    <n v="5366.1131999999989"/>
    <n v="366.11319999999887"/>
  </r>
  <r>
    <x v="2"/>
    <s v="MI"/>
    <s v="MD"/>
    <s v="Rent"/>
    <n v="1"/>
    <n v="1"/>
    <n v="11295.148800000001"/>
    <n v="8245.4586240000008"/>
    <n v="1245.4586240000008"/>
  </r>
  <r>
    <x v="0"/>
    <s v="MI"/>
    <s v="College"/>
    <s v="Mortgage"/>
    <n v="0"/>
    <n v="1"/>
    <n v="13739.76"/>
    <n v="10030.024799999999"/>
    <n v="6030.0247999999992"/>
  </r>
  <r>
    <x v="2"/>
    <s v="MI"/>
    <s v="High School"/>
    <s v="Rent"/>
    <n v="1"/>
    <n v="1"/>
    <n v="6255.8231999999998"/>
    <n v="4566.7509359999995"/>
    <n v="2566.7509359999995"/>
  </r>
  <r>
    <x v="0"/>
    <s v="HI"/>
    <s v="Masters"/>
    <s v="Rent"/>
    <n v="1"/>
    <n v="1"/>
    <n v="9336.5339999999997"/>
    <n v="6815.6698199999992"/>
    <n v="-184.33018000000084"/>
  </r>
  <r>
    <x v="0"/>
    <s v="HI"/>
    <s v="High School"/>
    <s v="Mortgage"/>
    <n v="1"/>
    <n v="0"/>
    <n v="3531.66"/>
    <n v="2578.1117999999997"/>
    <n v="2578.1117999999997"/>
  </r>
  <r>
    <x v="2"/>
    <s v="MI"/>
    <s v="Bachelor"/>
    <s v="Mortgage"/>
    <n v="1"/>
    <n v="0"/>
    <n v="6289.8912000000009"/>
    <n v="4591.6205760000003"/>
    <n v="-3408.3794239999997"/>
  </r>
  <r>
    <x v="1"/>
    <s v="HI"/>
    <s v="College"/>
    <s v="Rent"/>
    <n v="0"/>
    <n v="1"/>
    <n v="5131.62"/>
    <n v="3746.0825999999997"/>
    <n v="3746.0825999999997"/>
  </r>
  <r>
    <x v="2"/>
    <s v="LI"/>
    <s v="High School"/>
    <s v="Rent"/>
    <n v="1"/>
    <n v="0"/>
    <n v="6617.9232000000002"/>
    <n v="4831.083936"/>
    <n v="831.08393599999999"/>
  </r>
  <r>
    <x v="2"/>
    <s v="MI"/>
    <s v="MD"/>
    <s v="Mortgage"/>
    <n v="1"/>
    <n v="1"/>
    <n v="786.15120000000002"/>
    <n v="573.89037599999995"/>
    <n v="-426.10962400000005"/>
  </r>
  <r>
    <x v="2"/>
    <s v="MI"/>
    <s v="Masters"/>
    <s v="Own"/>
    <n v="0"/>
    <n v="0"/>
    <n v="8071.1003999999994"/>
    <n v="5891.9032919999991"/>
    <n v="1891.9032919999991"/>
  </r>
  <r>
    <x v="0"/>
    <s v="MI"/>
    <s v="Bachelor"/>
    <s v="Rent"/>
    <n v="1"/>
    <n v="1"/>
    <n v="4909.4243999999999"/>
    <n v="3583.8798119999997"/>
    <n v="2583.8798119999997"/>
  </r>
  <r>
    <x v="0"/>
    <s v="MI"/>
    <s v="College"/>
    <s v="Rent"/>
    <n v="1"/>
    <n v="1"/>
    <n v="7303.5108"/>
    <n v="5331.5628839999999"/>
    <n v="-2668.4371160000001"/>
  </r>
  <r>
    <x v="2"/>
    <s v="LI"/>
    <s v="High School"/>
    <s v="Mortgage"/>
    <n v="1"/>
    <n v="1"/>
    <n v="10031.232"/>
    <n v="7322.79936"/>
    <n v="2322.79936"/>
  </r>
  <r>
    <x v="0"/>
    <s v="MI"/>
    <s v="Bachelor"/>
    <s v="Mortgage"/>
    <n v="0"/>
    <n v="1"/>
    <n v="947.32559999999989"/>
    <n v="691.54768799999988"/>
    <n v="-9308.4523119999994"/>
  </r>
  <r>
    <x v="0"/>
    <s v="LI"/>
    <s v="Bachelor"/>
    <s v="Mortgage"/>
    <n v="1"/>
    <n v="0"/>
    <n v="4085.2799999999997"/>
    <n v="2982.2543999999998"/>
    <n v="-7017.7456000000002"/>
  </r>
  <r>
    <x v="2"/>
    <s v="HI"/>
    <s v="Bachelor"/>
    <s v="Rent"/>
    <n v="1"/>
    <n v="1"/>
    <n v="10113.84"/>
    <n v="7383.1031999999996"/>
    <n v="5383.1031999999996"/>
  </r>
  <r>
    <x v="0"/>
    <s v="LI"/>
    <s v="College"/>
    <s v="Own"/>
    <n v="1"/>
    <n v="1"/>
    <n v="9781.56"/>
    <n v="7140.5387999999994"/>
    <n v="1140.5387999999994"/>
  </r>
  <r>
    <x v="0"/>
    <s v="LI"/>
    <s v="Bachelor"/>
    <s v="Mortgage"/>
    <n v="1"/>
    <n v="1"/>
    <n v="13060.08"/>
    <n v="9533.8583999999992"/>
    <n v="1533.8583999999992"/>
  </r>
  <r>
    <x v="2"/>
    <s v="MI"/>
    <s v="MD"/>
    <s v="Mortgage"/>
    <n v="1"/>
    <n v="0"/>
    <n v="8096.1551999999992"/>
    <n v="5910.1932959999995"/>
    <n v="910.19329599999946"/>
  </r>
  <r>
    <x v="0"/>
    <s v="MI"/>
    <s v="Bachelor"/>
    <s v="Own"/>
    <n v="1"/>
    <n v="0"/>
    <n v="823.77840000000003"/>
    <n v="601.35823200000004"/>
    <n v="-1398.641768"/>
  </r>
  <r>
    <x v="2"/>
    <s v="LI"/>
    <s v="High School"/>
    <s v="Own"/>
    <n v="1"/>
    <n v="1"/>
    <n v="9511.0655999999999"/>
    <n v="6943.0778879999998"/>
    <n v="3943.0778879999998"/>
  </r>
  <r>
    <x v="0"/>
    <s v="MI"/>
    <s v="High School"/>
    <s v="Mortgage"/>
    <n v="0"/>
    <n v="0"/>
    <n v="6118.5"/>
    <n v="4466.5050000000001"/>
    <n v="466.50500000000011"/>
  </r>
  <r>
    <x v="2"/>
    <s v="MI"/>
    <s v="Bachelor"/>
    <s v="Mortgage"/>
    <n v="1"/>
    <n v="1"/>
    <n v="4774.4928"/>
    <n v="3485.3797439999998"/>
    <n v="1485.3797439999998"/>
  </r>
  <r>
    <x v="0"/>
    <s v="LI"/>
    <s v="Masters"/>
    <s v="Rent"/>
    <n v="1"/>
    <n v="1"/>
    <n v="11609.3544"/>
    <n v="8474.8287120000005"/>
    <n v="6474.8287120000005"/>
  </r>
  <r>
    <x v="2"/>
    <s v="MI"/>
    <s v="PhD"/>
    <s v="Mortgage"/>
    <n v="1"/>
    <n v="1"/>
    <n v="6373.4291999999996"/>
    <n v="4652.6033159999997"/>
    <n v="-2347.3966840000003"/>
  </r>
  <r>
    <x v="2"/>
    <s v="HI"/>
    <s v="Bachelor"/>
    <s v="Own"/>
    <n v="1"/>
    <n v="0"/>
    <n v="10190.952000000001"/>
    <n v="7439.3949600000005"/>
    <n v="-560.60503999999946"/>
  </r>
  <r>
    <x v="0"/>
    <s v="LI"/>
    <s v="Bachelor"/>
    <s v="Mortgage"/>
    <n v="1"/>
    <n v="1"/>
    <n v="3603.27"/>
    <n v="2630.3870999999999"/>
    <n v="-7369.6129000000001"/>
  </r>
  <r>
    <x v="2"/>
    <s v="MI"/>
    <s v="High School"/>
    <s v="Rent"/>
    <n v="1"/>
    <n v="0"/>
    <n v="10695.4848"/>
    <n v="7807.703904"/>
    <n v="-2192.296096"/>
  </r>
  <r>
    <x v="0"/>
    <s v="LI"/>
    <s v="Masters"/>
    <s v="Rent"/>
    <n v="1"/>
    <n v="1"/>
    <n v="5523.1967999999997"/>
    <n v="4031.9336639999997"/>
    <n v="-5968.0663359999999"/>
  </r>
  <r>
    <x v="1"/>
    <s v="HI"/>
    <s v="College"/>
    <s v="Rent"/>
    <n v="1"/>
    <n v="1"/>
    <n v="7704.7199999999993"/>
    <n v="5624.4455999999991"/>
    <n v="-375.5544000000009"/>
  </r>
  <r>
    <x v="2"/>
    <s v="MI"/>
    <s v="High School"/>
    <s v="Mortgage"/>
    <n v="0"/>
    <n v="0"/>
    <n v="7011.0096000000003"/>
    <n v="5118.0370080000002"/>
    <n v="2118.0370080000002"/>
  </r>
  <r>
    <x v="0"/>
    <s v="MI"/>
    <s v="Bachelor"/>
    <s v="Own"/>
    <n v="1"/>
    <n v="1"/>
    <n v="9702.8711999999996"/>
    <n v="7083.0959759999996"/>
    <n v="6083.0959759999996"/>
  </r>
  <r>
    <x v="2"/>
    <s v="MI"/>
    <s v="MD"/>
    <s v="Mortgage"/>
    <n v="1"/>
    <n v="0"/>
    <n v="8066.64"/>
    <n v="5888.6472000000003"/>
    <n v="2888.6472000000003"/>
  </r>
  <r>
    <x v="0"/>
    <s v="MI"/>
    <s v="MD"/>
    <s v="Mortgage"/>
    <n v="1"/>
    <n v="1"/>
    <n v="11594.9148"/>
    <n v="8464.2878039999996"/>
    <n v="-1535.7121960000004"/>
  </r>
  <r>
    <x v="2"/>
    <s v="LI"/>
    <s v="High School"/>
    <s v="Mortgage"/>
    <n v="0"/>
    <n v="1"/>
    <n v="8376.9503999999997"/>
    <n v="6115.1737919999996"/>
    <n v="6115.1737919999996"/>
  </r>
  <r>
    <x v="0"/>
    <s v="MI"/>
    <s v="Bachelor"/>
    <s v="Mortgage"/>
    <n v="1"/>
    <n v="1"/>
    <n v="1251.99"/>
    <n v="913.95269999999994"/>
    <n v="-2086.0473000000002"/>
  </r>
  <r>
    <x v="1"/>
    <s v="MI"/>
    <s v="High School"/>
    <s v="Own"/>
    <n v="0"/>
    <n v="1"/>
    <n v="4525.6499999999996"/>
    <n v="3303.7244999999998"/>
    <n v="-2696.2755000000002"/>
  </r>
  <r>
    <x v="2"/>
    <s v="MI"/>
    <s v="High School"/>
    <s v="Own"/>
    <n v="1"/>
    <n v="0"/>
    <n v="6834.57"/>
    <n v="4989.2361000000001"/>
    <n v="989.23610000000008"/>
  </r>
  <r>
    <x v="2"/>
    <s v="MI"/>
    <s v="PhD"/>
    <s v="Mortgage"/>
    <n v="1"/>
    <n v="1"/>
    <n v="3402.24"/>
    <n v="2483.6351999999997"/>
    <n v="-3516.3648000000003"/>
  </r>
  <r>
    <x v="2"/>
    <s v="MI"/>
    <s v="Masters"/>
    <s v="Rent"/>
    <n v="0"/>
    <n v="1"/>
    <n v="4426.0199999999995"/>
    <n v="3230.9945999999995"/>
    <n v="2230.9945999999995"/>
  </r>
  <r>
    <x v="0"/>
    <s v="LI"/>
    <s v="High School"/>
    <s v="Own"/>
    <n v="0"/>
    <n v="1"/>
    <n v="4721.6399999999994"/>
    <n v="3446.7971999999995"/>
    <n v="-553.20280000000048"/>
  </r>
  <r>
    <x v="1"/>
    <s v="MI"/>
    <s v="PhD"/>
    <s v="Rent"/>
    <n v="1"/>
    <n v="1"/>
    <n v="5099.6423999999997"/>
    <n v="3722.7389519999997"/>
    <n v="722.7389519999997"/>
  </r>
  <r>
    <x v="1"/>
    <s v="MI"/>
    <s v="PhD"/>
    <s v="Own"/>
    <n v="1"/>
    <n v="0"/>
    <n v="6607.0223999999998"/>
    <n v="4823.1263519999993"/>
    <n v="4823.1263519999993"/>
  </r>
  <r>
    <x v="2"/>
    <s v="MI"/>
    <s v="NA"/>
    <s v="Mortgage"/>
    <n v="0"/>
    <n v="1"/>
    <n v="8933.6664000000001"/>
    <n v="6521.5764719999997"/>
    <n v="2521.5764719999997"/>
  </r>
  <r>
    <x v="0"/>
    <s v="MI"/>
    <s v="Bachelor"/>
    <s v="Own"/>
    <n v="0"/>
    <n v="0"/>
    <n v="645.12239999999997"/>
    <n v="470.93935199999999"/>
    <n v="-7529.0606479999997"/>
  </r>
  <r>
    <x v="2"/>
    <s v="LI"/>
    <s v="Bachelor"/>
    <s v="Own"/>
    <n v="1"/>
    <n v="1"/>
    <n v="5865.12"/>
    <n v="4281.5375999999997"/>
    <n v="3281.5375999999997"/>
  </r>
  <r>
    <x v="1"/>
    <s v="HI"/>
    <s v="High School"/>
    <s v="Mortgage"/>
    <n v="1"/>
    <n v="1"/>
    <n v="6152.3123999999998"/>
    <n v="4491.1880519999995"/>
    <n v="-4508.8119480000005"/>
  </r>
  <r>
    <x v="2"/>
    <s v="MI"/>
    <s v="High School"/>
    <s v="Mortgage"/>
    <n v="0"/>
    <n v="0"/>
    <n v="1992.72"/>
    <n v="1454.6856"/>
    <n v="-5545.3144000000002"/>
  </r>
  <r>
    <x v="2"/>
    <s v="MI"/>
    <s v="Bachelor"/>
    <s v="Own"/>
    <n v="1"/>
    <n v="1"/>
    <n v="9887.9616000000005"/>
    <n v="7218.2119680000005"/>
    <n v="5218.2119680000005"/>
  </r>
  <r>
    <x v="2"/>
    <s v="LI"/>
    <s v="MD"/>
    <s v="Rent"/>
    <n v="1"/>
    <n v="1"/>
    <n v="5372.01"/>
    <n v="3921.5673000000002"/>
    <n v="1921.5673000000002"/>
  </r>
  <r>
    <x v="0"/>
    <s v="MI"/>
    <s v="Bachelor"/>
    <s v="Rent"/>
    <n v="0"/>
    <n v="1"/>
    <n v="6965.7803999999996"/>
    <n v="5085.0196919999998"/>
    <n v="5085.0196919999998"/>
  </r>
  <r>
    <x v="0"/>
    <s v="HI"/>
    <s v="MD"/>
    <s v="Mortgage"/>
    <n v="0"/>
    <n v="0"/>
    <n v="5228.2368000000006"/>
    <n v="3816.6128640000002"/>
    <n v="-1183.3871359999998"/>
  </r>
  <r>
    <x v="2"/>
    <s v="HI"/>
    <s v="High School"/>
    <s v="Rent"/>
    <n v="0"/>
    <n v="0"/>
    <n v="11641.5"/>
    <n v="8498.2950000000001"/>
    <n v="2498.2950000000001"/>
  </r>
  <r>
    <x v="2"/>
    <s v="MI"/>
    <s v="MD"/>
    <s v="Own"/>
    <n v="0"/>
    <n v="1"/>
    <n v="4957.3188"/>
    <n v="3618.8427240000001"/>
    <n v="-4381.1572759999999"/>
  </r>
  <r>
    <x v="0"/>
    <s v="MI"/>
    <s v="High School"/>
    <s v="Rent"/>
    <n v="1"/>
    <n v="1"/>
    <n v="12283.92"/>
    <n v="8967.2615999999998"/>
    <n v="-32.738400000000183"/>
  </r>
  <r>
    <x v="0"/>
    <s v="MI"/>
    <s v="High School"/>
    <s v="Rent"/>
    <n v="1"/>
    <n v="1"/>
    <n v="4267.59"/>
    <n v="3115.3407000000002"/>
    <n v="2115.3407000000002"/>
  </r>
  <r>
    <x v="1"/>
    <s v="LI"/>
    <s v="Bachelor"/>
    <s v="Rent"/>
    <n v="0"/>
    <n v="0"/>
    <n v="8234.6088"/>
    <n v="6011.264424"/>
    <n v="4011.264424"/>
  </r>
  <r>
    <x v="2"/>
    <s v="LI"/>
    <s v="High School"/>
    <s v="Own"/>
    <n v="0"/>
    <n v="1"/>
    <n v="7734.87"/>
    <n v="5646.4551000000001"/>
    <n v="2646.4551000000001"/>
  </r>
  <r>
    <x v="0"/>
    <s v="HI"/>
    <s v="Bachelor"/>
    <s v="Rent"/>
    <n v="1"/>
    <n v="1"/>
    <n v="5363.0303999999996"/>
    <n v="3915.0121919999997"/>
    <n v="-2084.9878080000003"/>
  </r>
  <r>
    <x v="0"/>
    <s v="LI"/>
    <s v="Bachelor"/>
    <s v="Rent"/>
    <n v="1"/>
    <n v="0"/>
    <n v="7162.8"/>
    <n v="5228.8440000000001"/>
    <n v="-771.15599999999995"/>
  </r>
  <r>
    <x v="0"/>
    <s v="HI"/>
    <s v="Bachelor"/>
    <s v="Mortgage"/>
    <n v="1"/>
    <n v="0"/>
    <n v="14095.040400000002"/>
    <n v="10289.379492000002"/>
    <n v="9289.3794920000018"/>
  </r>
  <r>
    <x v="2"/>
    <s v="LI"/>
    <s v="High School"/>
    <s v="Own"/>
    <n v="1"/>
    <n v="1"/>
    <n v="965.82120000000009"/>
    <n v="705.04947600000003"/>
    <n v="-1294.9505239999999"/>
  </r>
  <r>
    <x v="0"/>
    <s v="LI"/>
    <s v="College"/>
    <s v="Mortgage"/>
    <n v="1"/>
    <n v="0"/>
    <n v="5684.2968000000001"/>
    <n v="4149.5366640000002"/>
    <n v="3149.5366640000002"/>
  </r>
  <r>
    <x v="0"/>
    <s v="HI"/>
    <s v="High School"/>
    <s v="Mortgage"/>
    <n v="1"/>
    <n v="1"/>
    <n v="4287.0599999999995"/>
    <n v="3129.5537999999997"/>
    <n v="-870.44620000000032"/>
  </r>
  <r>
    <x v="0"/>
    <s v="LI"/>
    <s v="College"/>
    <s v="Rent"/>
    <n v="1"/>
    <n v="1"/>
    <n v="8303.2452000000012"/>
    <n v="6061.3689960000011"/>
    <n v="2061.3689960000011"/>
  </r>
  <r>
    <x v="2"/>
    <s v="LI"/>
    <s v="Bachelor"/>
    <s v="Own"/>
    <n v="1"/>
    <n v="1"/>
    <n v="1555.26"/>
    <n v="1135.3398"/>
    <n v="-6864.6602000000003"/>
  </r>
  <r>
    <x v="1"/>
    <s v="HI"/>
    <s v="Bachelor"/>
    <s v="Mortgage"/>
    <n v="0"/>
    <n v="1"/>
    <n v="3551.1120000000005"/>
    <n v="2592.3117600000005"/>
    <n v="-6407.6882399999995"/>
  </r>
  <r>
    <x v="1"/>
    <s v="MI"/>
    <s v="Masters"/>
    <s v="Rent"/>
    <n v="0"/>
    <n v="1"/>
    <n v="10675.224"/>
    <n v="7792.9135200000001"/>
    <n v="-207.08647999999994"/>
  </r>
  <r>
    <x v="2"/>
    <s v="MI"/>
    <s v="MD"/>
    <s v="Own"/>
    <n v="1"/>
    <n v="1"/>
    <n v="3601.29"/>
    <n v="2628.9416999999999"/>
    <n v="-1371.0583000000001"/>
  </r>
  <r>
    <x v="1"/>
    <s v="MI"/>
    <s v="High School"/>
    <s v="Own"/>
    <n v="1"/>
    <n v="1"/>
    <n v="3436.0127999999995"/>
    <n v="2508.2893439999998"/>
    <n v="-1491.7106560000002"/>
  </r>
  <r>
    <x v="2"/>
    <s v="MI"/>
    <s v="High School"/>
    <s v="Own"/>
    <n v="1"/>
    <n v="0"/>
    <n v="1499.7527999999998"/>
    <n v="1094.8195439999997"/>
    <n v="-3905.180456"/>
  </r>
  <r>
    <x v="0"/>
    <s v="MI"/>
    <s v="Bachelor"/>
    <s v="Rent"/>
    <n v="0"/>
    <n v="0"/>
    <n v="2777.0495999999998"/>
    <n v="2027.2462079999998"/>
    <n v="-2972.7537920000004"/>
  </r>
  <r>
    <x v="0"/>
    <s v="HI"/>
    <s v="High School"/>
    <s v="Own"/>
    <n v="1"/>
    <n v="0"/>
    <n v="6905.6063999999997"/>
    <n v="5041.0926719999998"/>
    <n v="2041.0926719999998"/>
  </r>
  <r>
    <x v="2"/>
    <s v="HI"/>
    <s v="High School"/>
    <s v="Mortgage"/>
    <n v="1"/>
    <n v="0"/>
    <n v="3443.2320000000004"/>
    <n v="2513.5593600000002"/>
    <n v="2513.5593600000002"/>
  </r>
  <r>
    <x v="0"/>
    <s v="MI"/>
    <s v="High School"/>
    <s v="Rent"/>
    <n v="1"/>
    <n v="1"/>
    <n v="14545.0872"/>
    <n v="10617.913655999999"/>
    <n v="6617.9136559999988"/>
  </r>
  <r>
    <x v="2"/>
    <s v="MI"/>
    <s v="Bachelor"/>
    <s v="Own"/>
    <n v="0"/>
    <n v="1"/>
    <n v="3211.65"/>
    <n v="2344.5045"/>
    <n v="-7655.4955"/>
  </r>
  <r>
    <x v="0"/>
    <s v="HI"/>
    <s v="High School"/>
    <s v="Own"/>
    <n v="1"/>
    <n v="1"/>
    <n v="5666.8032000000003"/>
    <n v="4136.7663359999997"/>
    <n v="2136.7663359999997"/>
  </r>
  <r>
    <x v="2"/>
    <s v="MI"/>
    <s v="High School"/>
    <s v="Mortgage"/>
    <n v="0"/>
    <n v="1"/>
    <n v="10457.1"/>
    <n v="7633.683"/>
    <n v="-1366.317"/>
  </r>
  <r>
    <x v="1"/>
    <s v="MI"/>
    <s v="Bachelor"/>
    <s v="Own"/>
    <n v="1"/>
    <n v="0"/>
    <n v="3354.9084000000003"/>
    <n v="2449.0831320000002"/>
    <n v="-6550.9168680000002"/>
  </r>
  <r>
    <x v="2"/>
    <s v="MI"/>
    <s v="Bachelor"/>
    <s v="Rent"/>
    <n v="1"/>
    <n v="1"/>
    <n v="10142.16"/>
    <n v="7403.7767999999996"/>
    <n v="403.77679999999964"/>
  </r>
  <r>
    <x v="2"/>
    <s v="MI"/>
    <s v="High School"/>
    <s v="Own"/>
    <n v="1"/>
    <n v="0"/>
    <n v="3389.1000000000004"/>
    <n v="2474.0430000000001"/>
    <n v="-2525.9569999999999"/>
  </r>
  <r>
    <x v="2"/>
    <s v="LI"/>
    <s v="High School"/>
    <s v="Rent"/>
    <n v="1"/>
    <n v="1"/>
    <n v="6734.6136000000006"/>
    <n v="4916.2679280000002"/>
    <n v="-2083.7320719999998"/>
  </r>
  <r>
    <x v="0"/>
    <s v="HI"/>
    <s v="College"/>
    <s v="Own"/>
    <n v="0"/>
    <n v="1"/>
    <n v="536.96399999999994"/>
    <n v="391.98371999999995"/>
    <n v="-2608.0162799999998"/>
  </r>
  <r>
    <x v="2"/>
    <s v="MI"/>
    <s v="College"/>
    <s v="Own"/>
    <n v="1"/>
    <n v="1"/>
    <n v="14339.52"/>
    <n v="10467.8496"/>
    <n v="1467.8495999999996"/>
  </r>
  <r>
    <x v="2"/>
    <s v="LI"/>
    <s v="High School"/>
    <s v="Rent"/>
    <n v="1"/>
    <n v="1"/>
    <n v="12026.52"/>
    <n v="8779.3595999999998"/>
    <n v="1779.3595999999998"/>
  </r>
  <r>
    <x v="2"/>
    <s v="MI"/>
    <s v="Bachelor"/>
    <s v="Rent"/>
    <n v="0"/>
    <n v="0"/>
    <n v="5800.7400000000007"/>
    <n v="4234.5402000000004"/>
    <n v="-2765.4597999999996"/>
  </r>
  <r>
    <x v="0"/>
    <s v="LI"/>
    <s v="Bachelor"/>
    <s v="Mortgage"/>
    <n v="1"/>
    <n v="0"/>
    <n v="3940.6104000000005"/>
    <n v="2876.6455920000003"/>
    <n v="-123.35440799999969"/>
  </r>
  <r>
    <x v="0"/>
    <s v="MI"/>
    <s v="High School"/>
    <s v="Own"/>
    <n v="0"/>
    <n v="1"/>
    <n v="6369.39"/>
    <n v="4649.6547"/>
    <n v="-3350.3453"/>
  </r>
  <r>
    <x v="0"/>
    <s v="LI"/>
    <s v="Bachelor"/>
    <s v="Mortgage"/>
    <n v="1"/>
    <n v="0"/>
    <n v="10490.668799999999"/>
    <n v="7658.1882239999995"/>
    <n v="2658.1882239999995"/>
  </r>
  <r>
    <x v="2"/>
    <s v="LI"/>
    <s v="Bachelor"/>
    <s v="Rent"/>
    <n v="1"/>
    <n v="1"/>
    <n v="8539.26"/>
    <n v="6233.6598000000004"/>
    <n v="6233.6598000000004"/>
  </r>
  <r>
    <x v="1"/>
    <s v="LI"/>
    <s v="MD"/>
    <s v="Own"/>
    <n v="1"/>
    <n v="0"/>
    <n v="4526.9639999999999"/>
    <n v="3304.68372"/>
    <n v="304.68371999999999"/>
  </r>
  <r>
    <x v="2"/>
    <s v="MI"/>
    <s v="Masters"/>
    <s v="Rent"/>
    <n v="1"/>
    <n v="0"/>
    <n v="4859.0411999999997"/>
    <n v="3547.1000759999997"/>
    <n v="-6452.8999240000003"/>
  </r>
  <r>
    <x v="0"/>
    <s v="HI"/>
    <s v="Masters"/>
    <s v="Own"/>
    <n v="1"/>
    <n v="1"/>
    <n v="1408.1999999999998"/>
    <n v="1027.9859999999999"/>
    <n v="-1972.0140000000001"/>
  </r>
  <r>
    <x v="2"/>
    <s v="LI"/>
    <s v="Bachelor"/>
    <s v="Mortgage"/>
    <n v="0"/>
    <n v="1"/>
    <n v="2274.48"/>
    <n v="1660.3704"/>
    <n v="-339.62959999999998"/>
  </r>
  <r>
    <x v="2"/>
    <s v="LI"/>
    <s v="Bachelor"/>
    <s v="Mortgage"/>
    <n v="1"/>
    <n v="1"/>
    <n v="507.48"/>
    <n v="370.46039999999999"/>
    <n v="-4629.5396000000001"/>
  </r>
  <r>
    <x v="0"/>
    <s v="LI"/>
    <s v="Bachelor"/>
    <s v="Own"/>
    <n v="0"/>
    <n v="0"/>
    <n v="1865.5104000000001"/>
    <n v="1361.822592"/>
    <n v="-5638.1774079999996"/>
  </r>
  <r>
    <x v="0"/>
    <s v="MI"/>
    <s v="Bachelor"/>
    <s v="Own"/>
    <n v="1"/>
    <n v="1"/>
    <n v="6814.8036000000002"/>
    <n v="4974.8066280000003"/>
    <n v="-5025.1933719999997"/>
  </r>
  <r>
    <x v="0"/>
    <s v="MI"/>
    <s v="MD"/>
    <s v="Own"/>
    <n v="0"/>
    <n v="1"/>
    <n v="9660.518399999999"/>
    <n v="7052.1784319999988"/>
    <n v="52.178431999998793"/>
  </r>
  <r>
    <x v="0"/>
    <s v="HI"/>
    <s v="Bachelor"/>
    <s v="Own"/>
    <n v="0"/>
    <n v="1"/>
    <n v="3698.6400000000003"/>
    <n v="2700.0072"/>
    <n v="1700.0072"/>
  </r>
  <r>
    <x v="0"/>
    <s v="HI"/>
    <s v="Bachelor"/>
    <s v="Own"/>
    <n v="1"/>
    <n v="1"/>
    <n v="5687.52"/>
    <n v="4151.8896000000004"/>
    <n v="-848.11039999999957"/>
  </r>
  <r>
    <x v="0"/>
    <s v="HI"/>
    <s v="College"/>
    <s v="Own"/>
    <n v="0"/>
    <n v="1"/>
    <n v="8677.5203999999994"/>
    <n v="6334.5898919999991"/>
    <n v="-665.41010800000095"/>
  </r>
  <r>
    <x v="1"/>
    <s v="LI"/>
    <s v="Bachelor"/>
    <s v="Own"/>
    <n v="1"/>
    <n v="1"/>
    <n v="5858.8319999999994"/>
    <n v="4276.9473599999992"/>
    <n v="1276.9473599999992"/>
  </r>
  <r>
    <x v="0"/>
    <s v="MI"/>
    <s v="College"/>
    <s v="Own"/>
    <n v="1"/>
    <n v="1"/>
    <n v="8111.04"/>
    <n v="5921.0591999999997"/>
    <n v="2921.0591999999997"/>
  </r>
  <r>
    <x v="2"/>
    <s v="HI"/>
    <s v="MD"/>
    <s v="Own"/>
    <n v="1"/>
    <n v="1"/>
    <n v="1873.68"/>
    <n v="1367.7864"/>
    <n v="1367.7864"/>
  </r>
  <r>
    <x v="0"/>
    <s v="HI"/>
    <s v="Masters"/>
    <s v="Own"/>
    <n v="1"/>
    <n v="1"/>
    <n v="4283.9423999999999"/>
    <n v="3127.2779519999999"/>
    <n v="2127.2779519999999"/>
  </r>
  <r>
    <x v="2"/>
    <s v="HI"/>
    <s v="Bachelor"/>
    <s v="Mortgage"/>
    <n v="1"/>
    <n v="1"/>
    <n v="6911.58"/>
    <n v="5045.4533999999994"/>
    <n v="3045.4533999999994"/>
  </r>
  <r>
    <x v="2"/>
    <s v="MI"/>
    <s v="MD"/>
    <s v="Mortgage"/>
    <n v="1"/>
    <n v="0"/>
    <n v="3116.5308"/>
    <n v="2275.0674840000001"/>
    <n v="-5724.9325159999999"/>
  </r>
  <r>
    <x v="0"/>
    <s v="LI"/>
    <s v="NA"/>
    <s v="Mortgage"/>
    <n v="1"/>
    <n v="0"/>
    <n v="6550.7903999999999"/>
    <n v="4782.0769919999993"/>
    <n v="2782.0769919999993"/>
  </r>
  <r>
    <x v="2"/>
    <s v="HI"/>
    <s v="Bachelor"/>
    <s v="Rent"/>
    <n v="1"/>
    <n v="0"/>
    <n v="9572.94"/>
    <n v="6988.2462000000005"/>
    <n v="-2011.7537999999995"/>
  </r>
  <r>
    <x v="2"/>
    <s v="MI"/>
    <s v="NA"/>
    <s v="Own"/>
    <n v="1"/>
    <n v="0"/>
    <n v="7865.5307999999995"/>
    <n v="5741.8374839999997"/>
    <n v="-1258.1625160000003"/>
  </r>
  <r>
    <x v="0"/>
    <s v="MI"/>
    <s v="Bachelor"/>
    <s v="Own"/>
    <n v="0"/>
    <n v="0"/>
    <n v="4138.1808000000001"/>
    <n v="3020.8719839999999"/>
    <n v="1020.8719839999999"/>
  </r>
  <r>
    <x v="0"/>
    <s v="LI"/>
    <s v="Bachelor"/>
    <s v="Own"/>
    <n v="1"/>
    <n v="1"/>
    <n v="5866.1280000000006"/>
    <n v="4282.2734399999999"/>
    <n v="3282.2734399999999"/>
  </r>
  <r>
    <x v="0"/>
    <s v="LI"/>
    <s v="Bachelor"/>
    <s v="Mortgage"/>
    <n v="1"/>
    <n v="0"/>
    <n v="5733.4416000000001"/>
    <n v="4185.4123680000002"/>
    <n v="4185.4123680000002"/>
  </r>
  <r>
    <x v="0"/>
    <s v="MI"/>
    <s v="College"/>
    <s v="Rent"/>
    <n v="1"/>
    <n v="1"/>
    <n v="2282.5727999999999"/>
    <n v="1666.2781439999999"/>
    <n v="-4333.7218560000001"/>
  </r>
  <r>
    <x v="2"/>
    <s v="MI"/>
    <s v="High School"/>
    <s v="Own"/>
    <n v="1"/>
    <n v="1"/>
    <n v="7755.4367999999995"/>
    <n v="5661.4688639999995"/>
    <n v="-1338.5311360000005"/>
  </r>
  <r>
    <x v="2"/>
    <s v="HI"/>
    <s v="College"/>
    <s v="Own"/>
    <n v="0"/>
    <n v="0"/>
    <n v="6618.9743999999992"/>
    <n v="4831.8513119999989"/>
    <n v="-5168.1486880000011"/>
  </r>
  <r>
    <x v="2"/>
    <s v="LI"/>
    <s v="Masters"/>
    <s v="Mortgage"/>
    <n v="1"/>
    <n v="1"/>
    <n v="1725.9"/>
    <n v="1259.9069999999999"/>
    <n v="-2740.0929999999998"/>
  </r>
  <r>
    <x v="0"/>
    <s v="HI"/>
    <s v="Bachelor"/>
    <s v="Own"/>
    <n v="1"/>
    <n v="1"/>
    <n v="9487.4832000000006"/>
    <n v="6925.862736"/>
    <n v="4925.862736"/>
  </r>
  <r>
    <x v="1"/>
    <s v="MI"/>
    <s v="High School"/>
    <s v="Rent"/>
    <n v="0"/>
    <n v="1"/>
    <n v="10023.39"/>
    <n v="7317.0746999999992"/>
    <n v="1317.0746999999992"/>
  </r>
  <r>
    <x v="1"/>
    <s v="LI"/>
    <s v="Bachelor"/>
    <s v="Mortgage"/>
    <n v="0"/>
    <n v="0"/>
    <n v="3656.2008000000001"/>
    <n v="2669.0265840000002"/>
    <n v="-5330.9734159999998"/>
  </r>
  <r>
    <x v="2"/>
    <s v="MI"/>
    <s v="Bachelor"/>
    <s v="Own"/>
    <n v="1"/>
    <n v="1"/>
    <n v="14871.78"/>
    <n v="10856.3994"/>
    <n v="9856.3994000000002"/>
  </r>
  <r>
    <x v="2"/>
    <s v="MI"/>
    <s v="Masters"/>
    <s v="Rent"/>
    <n v="0"/>
    <n v="1"/>
    <n v="11397.4488"/>
    <n v="8320.1376239999991"/>
    <n v="6320.1376239999991"/>
  </r>
  <r>
    <x v="2"/>
    <s v="LI"/>
    <s v="High School"/>
    <s v="Own"/>
    <n v="0"/>
    <n v="1"/>
    <n v="5060.9340000000002"/>
    <n v="3694.48182"/>
    <n v="-5305.51818"/>
  </r>
  <r>
    <x v="1"/>
    <s v="LI"/>
    <s v="College"/>
    <s v="Mortgage"/>
    <n v="1"/>
    <n v="0"/>
    <n v="7656.5712000000003"/>
    <n v="5589.2969760000005"/>
    <n v="3589.2969760000005"/>
  </r>
  <r>
    <x v="0"/>
    <s v="LI"/>
    <s v="Bachelor"/>
    <s v="Rent"/>
    <n v="1"/>
    <n v="0"/>
    <n v="3511.8"/>
    <n v="2563.614"/>
    <n v="-7436.3860000000004"/>
  </r>
  <r>
    <x v="0"/>
    <s v="LI"/>
    <s v="Bachelor"/>
    <s v="Rent"/>
    <n v="1"/>
    <n v="0"/>
    <n v="6413.64"/>
    <n v="4681.9571999999998"/>
    <n v="4681.9571999999998"/>
  </r>
  <r>
    <x v="2"/>
    <s v="MI"/>
    <s v="MD"/>
    <s v="Mortgage"/>
    <n v="1"/>
    <n v="1"/>
    <n v="1955.8656000000001"/>
    <n v="1427.781888"/>
    <n v="427.78188799999998"/>
  </r>
  <r>
    <x v="2"/>
    <s v="MI"/>
    <s v="High School"/>
    <s v="Rent"/>
    <n v="1"/>
    <n v="1"/>
    <n v="10111.14"/>
    <n v="7381.1321999999991"/>
    <n v="-1618.8678000000009"/>
  </r>
  <r>
    <x v="0"/>
    <s v="LI"/>
    <s v="High School"/>
    <s v="Mortgage"/>
    <n v="1"/>
    <n v="0"/>
    <n v="7266.6"/>
    <n v="5304.6180000000004"/>
    <n v="3304.6180000000004"/>
  </r>
  <r>
    <x v="0"/>
    <s v="MI"/>
    <s v="Bachelor"/>
    <s v="Own"/>
    <n v="1"/>
    <n v="1"/>
    <n v="6380.7911999999997"/>
    <n v="4657.9775759999993"/>
    <n v="657.97757599999932"/>
  </r>
  <r>
    <x v="2"/>
    <s v="MI"/>
    <s v="Bachelor"/>
    <s v="Rent"/>
    <n v="1"/>
    <n v="1"/>
    <n v="6788.8703999999998"/>
    <n v="4955.8753919999999"/>
    <n v="1955.8753919999999"/>
  </r>
  <r>
    <x v="2"/>
    <s v="MI"/>
    <s v="MD"/>
    <s v="Mortgage"/>
    <n v="1"/>
    <n v="0"/>
    <n v="1970.01"/>
    <n v="1438.1072999999999"/>
    <n v="-5561.8927000000003"/>
  </r>
  <r>
    <x v="2"/>
    <s v="MI"/>
    <s v="High School"/>
    <s v="Rent"/>
    <n v="1"/>
    <n v="1"/>
    <n v="2782.0319999999997"/>
    <n v="2030.8833599999998"/>
    <n v="30.883359999999811"/>
  </r>
  <r>
    <x v="0"/>
    <s v="MI"/>
    <s v="MD"/>
    <s v="Rent"/>
    <n v="1"/>
    <n v="1"/>
    <n v="1990.5312000000001"/>
    <n v="1453.0877760000001"/>
    <n v="-2546.9122239999997"/>
  </r>
  <r>
    <x v="2"/>
    <s v="MI"/>
    <s v="Bachelor"/>
    <s v="Own"/>
    <n v="0"/>
    <n v="1"/>
    <n v="3189.1895999999997"/>
    <n v="2328.1084079999996"/>
    <n v="-2671.8915920000004"/>
  </r>
  <r>
    <x v="1"/>
    <s v="MI"/>
    <s v="College"/>
    <s v="Rent"/>
    <n v="1"/>
    <n v="1"/>
    <n v="12753.768"/>
    <n v="9310.2506400000002"/>
    <n v="310.2506400000002"/>
  </r>
  <r>
    <x v="0"/>
    <s v="LI"/>
    <s v="Bachelor"/>
    <s v="Rent"/>
    <n v="1"/>
    <n v="0"/>
    <n v="8062.74"/>
    <n v="5885.8001999999997"/>
    <n v="-3114.1998000000003"/>
  </r>
  <r>
    <x v="2"/>
    <s v="MI"/>
    <s v="Masters"/>
    <s v="Rent"/>
    <n v="0"/>
    <n v="1"/>
    <n v="13229.189999999999"/>
    <n v="9657.3086999999996"/>
    <n v="9657.3086999999996"/>
  </r>
  <r>
    <x v="0"/>
    <s v="LI"/>
    <s v="PhD"/>
    <s v="Rent"/>
    <n v="1"/>
    <n v="1"/>
    <n v="1760.01"/>
    <n v="1284.8072999999999"/>
    <n v="1284.8072999999999"/>
  </r>
  <r>
    <x v="0"/>
    <s v="LI"/>
    <s v="Bachelor"/>
    <s v="Rent"/>
    <n v="0"/>
    <n v="0"/>
    <n v="10322.400000000001"/>
    <n v="7535.3520000000008"/>
    <n v="3535.3520000000008"/>
  </r>
  <r>
    <x v="0"/>
    <s v="MI"/>
    <s v="Bachelor"/>
    <s v="Own"/>
    <n v="1"/>
    <n v="0"/>
    <n v="10501.68"/>
    <n v="7666.2264000000005"/>
    <n v="2666.2264000000005"/>
  </r>
  <r>
    <x v="0"/>
    <s v="HI"/>
    <s v="College"/>
    <s v="Own"/>
    <n v="1"/>
    <n v="0"/>
    <n v="13172.94"/>
    <n v="9616.2461999999996"/>
    <n v="5616.2461999999996"/>
  </r>
  <r>
    <x v="0"/>
    <s v="HI"/>
    <s v="College"/>
    <s v="Mortgage"/>
    <n v="1"/>
    <n v="0"/>
    <n v="8364.7200000000012"/>
    <n v="6106.2456000000011"/>
    <n v="4106.2456000000011"/>
  </r>
  <r>
    <x v="1"/>
    <s v="MI"/>
    <s v="High School"/>
    <s v="Mortgage"/>
    <n v="0"/>
    <n v="1"/>
    <n v="8197.2000000000007"/>
    <n v="5983.9560000000001"/>
    <n v="4983.9560000000001"/>
  </r>
  <r>
    <x v="0"/>
    <s v="LI"/>
    <s v="College"/>
    <s v="Rent"/>
    <n v="1"/>
    <n v="1"/>
    <n v="6019.1280000000006"/>
    <n v="4393.9634400000004"/>
    <n v="-1606.0365599999996"/>
  </r>
  <r>
    <x v="0"/>
    <s v="MI"/>
    <s v="Bachelor"/>
    <s v="Rent"/>
    <n v="1"/>
    <n v="1"/>
    <n v="1065.4416000000001"/>
    <n v="777.77236800000003"/>
    <n v="-7222.2276320000001"/>
  </r>
  <r>
    <x v="2"/>
    <s v="LI"/>
    <s v="Bachelor"/>
    <s v="Mortgage"/>
    <n v="1"/>
    <n v="0"/>
    <n v="6811.1928000000007"/>
    <n v="4972.170744"/>
    <n v="1972.170744"/>
  </r>
  <r>
    <x v="0"/>
    <s v="MI"/>
    <s v="Bachelor"/>
    <s v="Own"/>
    <n v="0"/>
    <n v="1"/>
    <n v="1324.5204000000001"/>
    <n v="966.89989200000002"/>
    <n v="-7033.1001079999996"/>
  </r>
  <r>
    <x v="0"/>
    <s v="LI"/>
    <s v="High School"/>
    <s v="Own"/>
    <n v="0"/>
    <n v="1"/>
    <n v="7152.4283999999998"/>
    <n v="5221.2727319999995"/>
    <n v="-3778.7272680000005"/>
  </r>
  <r>
    <x v="2"/>
    <s v="MI"/>
    <s v="High School"/>
    <s v="Own"/>
    <n v="1"/>
    <n v="1"/>
    <n v="12717.539999999999"/>
    <n v="9283.8041999999987"/>
    <n v="7283.8041999999987"/>
  </r>
  <r>
    <x v="2"/>
    <s v="MI"/>
    <s v="Bachelor"/>
    <s v="Own"/>
    <n v="1"/>
    <n v="1"/>
    <n v="5609.7575999999999"/>
    <n v="4095.1230479999999"/>
    <n v="-2904.8769520000001"/>
  </r>
  <r>
    <x v="0"/>
    <s v="LI"/>
    <s v="Bachelor"/>
    <s v="Rent"/>
    <n v="1"/>
    <n v="0"/>
    <n v="9705.6143999999986"/>
    <n v="7085.0985119999987"/>
    <n v="-914.90148800000134"/>
  </r>
  <r>
    <x v="2"/>
    <s v="LI"/>
    <s v="Masters"/>
    <s v="Mortgage"/>
    <n v="0"/>
    <n v="1"/>
    <n v="13706.0784"/>
    <n v="10005.437232"/>
    <n v="6005.4372320000002"/>
  </r>
  <r>
    <x v="2"/>
    <s v="LI"/>
    <s v="Bachelor"/>
    <s v="Rent"/>
    <n v="1"/>
    <n v="1"/>
    <n v="7880.090400000001"/>
    <n v="5752.4659920000004"/>
    <n v="1752.4659920000004"/>
  </r>
  <r>
    <x v="2"/>
    <s v="LI"/>
    <s v="Bachelor"/>
    <s v="Mortgage"/>
    <n v="0"/>
    <n v="1"/>
    <n v="7552.7676000000001"/>
    <n v="5513.520348"/>
    <n v="-4486.479652"/>
  </r>
  <r>
    <x v="2"/>
    <s v="HI"/>
    <s v="Bachelor"/>
    <s v="Rent"/>
    <n v="1"/>
    <n v="1"/>
    <n v="3801.6000000000004"/>
    <n v="2775.1680000000001"/>
    <n v="-2224.8319999999999"/>
  </r>
  <r>
    <x v="0"/>
    <s v="MI"/>
    <s v="Bachelor"/>
    <s v="Mortgage"/>
    <n v="1"/>
    <n v="1"/>
    <n v="7727.0819999999994"/>
    <n v="5640.7698599999994"/>
    <n v="2640.7698599999994"/>
  </r>
  <r>
    <x v="2"/>
    <s v="LI"/>
    <s v="Bachelor"/>
    <s v="Mortgage"/>
    <n v="1"/>
    <n v="1"/>
    <n v="6711.54"/>
    <n v="4899.4241999999995"/>
    <n v="-2100.5758000000005"/>
  </r>
  <r>
    <x v="2"/>
    <s v="HI"/>
    <s v="Bachelor"/>
    <s v="Own"/>
    <n v="1"/>
    <n v="0"/>
    <n v="2125.98"/>
    <n v="1551.9654"/>
    <n v="-3448.0346"/>
  </r>
  <r>
    <x v="0"/>
    <s v="LI"/>
    <s v="High School"/>
    <s v="Rent"/>
    <n v="1"/>
    <n v="1"/>
    <n v="4073.94"/>
    <n v="2973.9762000000001"/>
    <n v="2973.9762000000001"/>
  </r>
  <r>
    <x v="0"/>
    <s v="MI"/>
    <s v="Bachelor"/>
    <s v="Mortgage"/>
    <n v="1"/>
    <n v="1"/>
    <n v="782.45280000000002"/>
    <n v="571.19054400000005"/>
    <n v="-7428.809456"/>
  </r>
  <r>
    <x v="2"/>
    <s v="MI"/>
    <s v="High School"/>
    <s v="Rent"/>
    <n v="1"/>
    <n v="1"/>
    <n v="6133.1544000000004"/>
    <n v="4477.2027120000002"/>
    <n v="1477.2027120000002"/>
  </r>
  <r>
    <x v="0"/>
    <s v="MI"/>
    <s v="College"/>
    <s v="Mortgage"/>
    <n v="0"/>
    <n v="1"/>
    <n v="9103.0500000000011"/>
    <n v="6645.2265000000007"/>
    <n v="-2354.7734999999993"/>
  </r>
  <r>
    <x v="0"/>
    <s v="HI"/>
    <s v="High School"/>
    <s v="Mortgage"/>
    <n v="1"/>
    <n v="0"/>
    <n v="4225.8"/>
    <n v="3084.8339999999998"/>
    <n v="-915.16600000000017"/>
  </r>
  <r>
    <x v="2"/>
    <s v="MI"/>
    <s v="College"/>
    <s v="Mortgage"/>
    <n v="1"/>
    <n v="1"/>
    <n v="7900.1087999999991"/>
    <n v="5767.0794239999996"/>
    <n v="767.07942399999956"/>
  </r>
  <r>
    <x v="2"/>
    <s v="LI"/>
    <s v="College"/>
    <s v="Rent"/>
    <n v="1"/>
    <n v="1"/>
    <n v="8682.48"/>
    <n v="6338.2103999999999"/>
    <n v="4338.2103999999999"/>
  </r>
  <r>
    <x v="2"/>
    <s v="LI"/>
    <s v="High School"/>
    <s v="Rent"/>
    <n v="0"/>
    <n v="1"/>
    <n v="1797.1200000000001"/>
    <n v="1311.8976"/>
    <n v="-2688.1023999999998"/>
  </r>
  <r>
    <x v="2"/>
    <s v="HI"/>
    <s v="Bachelor"/>
    <s v="Rent"/>
    <n v="1"/>
    <n v="1"/>
    <n v="4018.7123999999999"/>
    <n v="2933.6600519999997"/>
    <n v="2933.6600519999997"/>
  </r>
  <r>
    <x v="0"/>
    <s v="LI"/>
    <s v="Masters"/>
    <s v="Rent"/>
    <n v="1"/>
    <n v="1"/>
    <n v="6069.3732"/>
    <n v="4430.6424360000001"/>
    <n v="-1569.3575639999999"/>
  </r>
  <r>
    <x v="0"/>
    <s v="HI"/>
    <s v="High School"/>
    <s v="Mortgage"/>
    <n v="1"/>
    <n v="1"/>
    <n v="1164.51"/>
    <n v="850.09230000000002"/>
    <n v="850.09230000000002"/>
  </r>
  <r>
    <x v="2"/>
    <s v="MI"/>
    <s v="Bachelor"/>
    <s v="Mortgage"/>
    <n v="1"/>
    <n v="1"/>
    <n v="7712.7551999999996"/>
    <n v="5630.3112959999999"/>
    <n v="-1369.6887040000001"/>
  </r>
  <r>
    <x v="0"/>
    <s v="MI"/>
    <s v="Bachelor"/>
    <s v="Own"/>
    <n v="1"/>
    <n v="1"/>
    <n v="2302.7172"/>
    <n v="1680.9835559999999"/>
    <n v="-5319.0164439999999"/>
  </r>
  <r>
    <x v="2"/>
    <s v="MI"/>
    <s v="High School"/>
    <s v="Rent"/>
    <n v="1"/>
    <n v="1"/>
    <n v="9212.4287999999997"/>
    <n v="6725.0730239999994"/>
    <n v="-1274.9269760000006"/>
  </r>
  <r>
    <x v="0"/>
    <s v="MI"/>
    <s v="MD"/>
    <s v="Own"/>
    <n v="1"/>
    <n v="1"/>
    <n v="11901.700800000001"/>
    <n v="8688.2415839999994"/>
    <n v="8688.2415839999994"/>
  </r>
  <r>
    <x v="0"/>
    <s v="MI"/>
    <s v="MD"/>
    <s v="Mortgage"/>
    <n v="0"/>
    <n v="0"/>
    <n v="10849.893600000001"/>
    <n v="7920.4223280000006"/>
    <n v="6920.4223280000006"/>
  </r>
  <r>
    <x v="2"/>
    <s v="MI"/>
    <s v="High School"/>
    <s v="Mortgage"/>
    <n v="1"/>
    <n v="0"/>
    <n v="11346.84"/>
    <n v="8283.1931999999997"/>
    <n v="283.19319999999971"/>
  </r>
  <r>
    <x v="2"/>
    <s v="LI"/>
    <s v="College"/>
    <s v="Mortgage"/>
    <n v="0"/>
    <n v="1"/>
    <n v="826.56959999999992"/>
    <n v="603.39580799999987"/>
    <n v="-9396.6041920000007"/>
  </r>
  <r>
    <x v="1"/>
    <s v="MI"/>
    <s v="High School"/>
    <s v="Rent"/>
    <n v="1"/>
    <n v="0"/>
    <n v="15297.830399999999"/>
    <n v="11167.416191999999"/>
    <n v="6167.4161919999988"/>
  </r>
  <r>
    <x v="2"/>
    <s v="MI"/>
    <s v="Bachelor"/>
    <s v="Rent"/>
    <n v="0"/>
    <n v="1"/>
    <n v="6671.2500000000009"/>
    <n v="4870.0125000000007"/>
    <n v="870.01250000000073"/>
  </r>
  <r>
    <x v="2"/>
    <s v="LI"/>
    <s v="PhD"/>
    <s v="Mortgage"/>
    <n v="1"/>
    <n v="1"/>
    <n v="1917.864"/>
    <n v="1400.04072"/>
    <n v="-8599.9592799999991"/>
  </r>
  <r>
    <x v="2"/>
    <s v="HI"/>
    <s v="Masters"/>
    <s v="Own"/>
    <n v="1"/>
    <n v="0"/>
    <n v="2378.5475999999999"/>
    <n v="1736.3397479999999"/>
    <n v="-5263.6602519999997"/>
  </r>
  <r>
    <x v="0"/>
    <s v="LI"/>
    <s v="Bachelor"/>
    <s v="Own"/>
    <n v="1"/>
    <n v="1"/>
    <n v="4375.2"/>
    <n v="3193.8959999999997"/>
    <n v="193.89599999999973"/>
  </r>
  <r>
    <x v="0"/>
    <s v="MI"/>
    <s v="College"/>
    <s v="Own"/>
    <n v="1"/>
    <n v="1"/>
    <n v="8235.5999999999985"/>
    <n v="6011.9879999999985"/>
    <n v="-1988.0120000000015"/>
  </r>
  <r>
    <x v="2"/>
    <s v="MI"/>
    <s v="NA"/>
    <s v="Own"/>
    <n v="1"/>
    <n v="1"/>
    <n v="1494.9839999999999"/>
    <n v="1091.3383199999998"/>
    <n v="-7908.6616800000002"/>
  </r>
  <r>
    <x v="0"/>
    <s v="LI"/>
    <s v="Bachelor"/>
    <s v="Own"/>
    <n v="1"/>
    <n v="1"/>
    <n v="11065.95"/>
    <n v="8078.1435000000001"/>
    <n v="3078.1435000000001"/>
  </r>
  <r>
    <x v="2"/>
    <s v="HI"/>
    <s v="NA"/>
    <s v="Mortgage"/>
    <n v="1"/>
    <n v="1"/>
    <n v="7412.0063999999993"/>
    <n v="5410.7646719999993"/>
    <n v="-4589.2353280000007"/>
  </r>
  <r>
    <x v="0"/>
    <s v="LI"/>
    <s v="College"/>
    <s v="Rent"/>
    <n v="0"/>
    <n v="1"/>
    <n v="8038.0655999999999"/>
    <n v="5867.7878879999998"/>
    <n v="-1132.2121120000002"/>
  </r>
  <r>
    <x v="0"/>
    <s v="LI"/>
    <s v="High School"/>
    <s v="Own"/>
    <n v="1"/>
    <n v="1"/>
    <n v="6579.5328000000009"/>
    <n v="4803.0589440000003"/>
    <n v="3803.0589440000003"/>
  </r>
  <r>
    <x v="0"/>
    <s v="MI"/>
    <s v="Bachelor"/>
    <s v="Rent"/>
    <n v="1"/>
    <n v="1"/>
    <n v="14430.12"/>
    <n v="10533.9876"/>
    <n v="4533.9876000000004"/>
  </r>
  <r>
    <x v="2"/>
    <s v="HI"/>
    <s v="High School"/>
    <s v="Own"/>
    <n v="1"/>
    <n v="1"/>
    <n v="3054.66"/>
    <n v="2229.9017999999996"/>
    <n v="229.90179999999964"/>
  </r>
  <r>
    <x v="0"/>
    <s v="HI"/>
    <s v="College"/>
    <s v="Mortgage"/>
    <n v="1"/>
    <n v="1"/>
    <n v="1056.2952"/>
    <n v="771.09549600000003"/>
    <n v="-5228.9045040000001"/>
  </r>
  <r>
    <x v="1"/>
    <s v="HI"/>
    <s v="Bachelor"/>
    <s v="Own"/>
    <n v="1"/>
    <n v="0"/>
    <n v="8638.4495999999999"/>
    <n v="6306.0682079999997"/>
    <n v="306.06820799999969"/>
  </r>
  <r>
    <x v="0"/>
    <s v="HI"/>
    <s v="Bachelor"/>
    <s v="Rent"/>
    <n v="1"/>
    <n v="1"/>
    <n v="9866.0352000000003"/>
    <n v="7202.205696"/>
    <n v="1202.205696"/>
  </r>
  <r>
    <x v="0"/>
    <s v="MI"/>
    <s v="Masters"/>
    <s v="Rent"/>
    <n v="1"/>
    <n v="0"/>
    <n v="6004.6379999999999"/>
    <n v="4383.3857399999997"/>
    <n v="-5616.6142600000003"/>
  </r>
  <r>
    <x v="0"/>
    <s v="HI"/>
    <s v="High School"/>
    <s v="Own"/>
    <n v="1"/>
    <n v="0"/>
    <n v="5478.48"/>
    <n v="3999.2903999999994"/>
    <n v="-0.70960000000059154"/>
  </r>
  <r>
    <x v="2"/>
    <s v="MI"/>
    <s v="Masters"/>
    <s v="Mortgage"/>
    <n v="1"/>
    <n v="0"/>
    <n v="12106.9596"/>
    <n v="8838.0805079999991"/>
    <n v="838.0805079999991"/>
  </r>
  <r>
    <x v="0"/>
    <s v="HI"/>
    <s v="MD"/>
    <s v="Rent"/>
    <n v="1"/>
    <n v="0"/>
    <n v="10934.5488"/>
    <n v="7982.2206240000005"/>
    <n v="982.2206240000005"/>
  </r>
  <r>
    <x v="0"/>
    <s v="MI"/>
    <s v="MD"/>
    <s v="Own"/>
    <n v="1"/>
    <n v="0"/>
    <n v="7192.2563999999993"/>
    <n v="5250.3471719999998"/>
    <n v="4250.3471719999998"/>
  </r>
  <r>
    <x v="0"/>
    <s v="HI"/>
    <s v="College"/>
    <s v="Own"/>
    <n v="0"/>
    <n v="1"/>
    <n v="1072.0536"/>
    <n v="782.59912799999995"/>
    <n v="-3217.4008720000002"/>
  </r>
  <r>
    <x v="1"/>
    <s v="MI"/>
    <s v="Bachelor"/>
    <s v="Own"/>
    <n v="0"/>
    <n v="1"/>
    <n v="8592.5951999999997"/>
    <n v="6272.5944959999997"/>
    <n v="-1727.4055040000003"/>
  </r>
  <r>
    <x v="0"/>
    <s v="HI"/>
    <s v="Bachelor"/>
    <s v="Rent"/>
    <n v="0"/>
    <n v="0"/>
    <n v="7624.6715999999997"/>
    <n v="5566.010268"/>
    <n v="4566.010268"/>
  </r>
  <r>
    <x v="0"/>
    <s v="MI"/>
    <s v="Bachelor"/>
    <s v="Rent"/>
    <n v="1"/>
    <n v="1"/>
    <n v="13106.4804"/>
    <n v="9567.7306919999992"/>
    <n v="567.73069199999918"/>
  </r>
  <r>
    <x v="2"/>
    <s v="MI"/>
    <s v="Bachelor"/>
    <s v="Rent"/>
    <n v="1"/>
    <n v="1"/>
    <n v="3864.0888"/>
    <n v="2820.7848239999998"/>
    <n v="-7179.2151759999997"/>
  </r>
  <r>
    <x v="2"/>
    <s v="MI"/>
    <s v="Bachelor"/>
    <s v="Rent"/>
    <n v="1"/>
    <n v="1"/>
    <n v="2053.4988000000003"/>
    <n v="1499.0541240000002"/>
    <n v="-500.94587599999977"/>
  </r>
  <r>
    <x v="0"/>
    <s v="MI"/>
    <s v="Bachelor"/>
    <s v="Rent"/>
    <n v="1"/>
    <n v="1"/>
    <n v="3917.6304"/>
    <n v="2859.8701919999999"/>
    <n v="859.87019199999986"/>
  </r>
  <r>
    <x v="0"/>
    <s v="MI"/>
    <s v="College"/>
    <s v="Rent"/>
    <n v="1"/>
    <n v="1"/>
    <n v="12536.7264"/>
    <n v="9151.8102719999988"/>
    <n v="6151.8102719999988"/>
  </r>
  <r>
    <x v="2"/>
    <s v="HI"/>
    <s v="High School"/>
    <s v="Rent"/>
    <n v="0"/>
    <n v="0"/>
    <n v="12617.748000000001"/>
    <n v="9210.9560400000009"/>
    <n v="5210.9560400000009"/>
  </r>
  <r>
    <x v="0"/>
    <s v="MI"/>
    <s v="High School"/>
    <s v="Mortgage"/>
    <n v="0"/>
    <n v="1"/>
    <n v="5245.0199999999995"/>
    <n v="3828.8645999999994"/>
    <n v="-3171.1354000000006"/>
  </r>
  <r>
    <x v="1"/>
    <s v="MI"/>
    <s v="Bachelor"/>
    <s v="Mortgage"/>
    <n v="1"/>
    <n v="1"/>
    <n v="6654.18"/>
    <n v="4857.5514000000003"/>
    <n v="-2142.4485999999997"/>
  </r>
  <r>
    <x v="0"/>
    <s v="MI"/>
    <s v="PhD"/>
    <s v="Mortgage"/>
    <n v="1"/>
    <n v="1"/>
    <n v="8111.04"/>
    <n v="5921.0591999999997"/>
    <n v="-2078.9408000000003"/>
  </r>
  <r>
    <x v="1"/>
    <s v="MI"/>
    <s v="High School"/>
    <s v="Mortgage"/>
    <n v="1"/>
    <n v="1"/>
    <n v="4589.7695999999996"/>
    <n v="3350.5318079999997"/>
    <n v="-6649.4681920000003"/>
  </r>
  <r>
    <x v="0"/>
    <s v="MI"/>
    <s v="High School"/>
    <s v="Rent"/>
    <n v="1"/>
    <n v="1"/>
    <n v="3101.7791999999999"/>
    <n v="2264.298816"/>
    <n v="-2735.701184"/>
  </r>
  <r>
    <x v="0"/>
    <s v="MI"/>
    <s v="High School"/>
    <s v="Own"/>
    <n v="0"/>
    <n v="1"/>
    <n v="5939.6495999999997"/>
    <n v="4335.9442079999999"/>
    <n v="-5664.0557920000001"/>
  </r>
  <r>
    <x v="2"/>
    <s v="MI"/>
    <s v="Bachelor"/>
    <s v="Own"/>
    <n v="1"/>
    <n v="0"/>
    <n v="8394.1512000000002"/>
    <n v="6127.7303760000004"/>
    <n v="1127.7303760000004"/>
  </r>
  <r>
    <x v="1"/>
    <s v="HI"/>
    <s v="MD"/>
    <s v="Own"/>
    <n v="1"/>
    <n v="1"/>
    <n v="2935.7567999999997"/>
    <n v="2143.1024639999996"/>
    <n v="-856.8975360000004"/>
  </r>
  <r>
    <x v="2"/>
    <s v="MI"/>
    <s v="High School"/>
    <s v="Mortgage"/>
    <n v="1"/>
    <n v="1"/>
    <n v="2090.7192"/>
    <n v="1526.2250159999999"/>
    <n v="-6473.7749839999997"/>
  </r>
  <r>
    <x v="0"/>
    <s v="HI"/>
    <s v="Bachelor"/>
    <s v="Mortgage"/>
    <n v="1"/>
    <n v="1"/>
    <n v="4800.3504000000003"/>
    <n v="3504.2557919999999"/>
    <n v="1504.2557919999999"/>
  </r>
  <r>
    <x v="2"/>
    <s v="HI"/>
    <s v="MD"/>
    <s v="Mortgage"/>
    <n v="1"/>
    <n v="0"/>
    <n v="1916.8560000000002"/>
    <n v="1399.3048800000001"/>
    <n v="-4600.6951200000003"/>
  </r>
  <r>
    <x v="2"/>
    <s v="MI"/>
    <s v="High School"/>
    <s v="Rent"/>
    <n v="0"/>
    <n v="0"/>
    <n v="9484.3655999999992"/>
    <n v="6923.5868879999989"/>
    <n v="-76.413112000001092"/>
  </r>
  <r>
    <x v="2"/>
    <s v="MI"/>
    <s v="Bachelor"/>
    <s v="Mortgage"/>
    <n v="1"/>
    <n v="1"/>
    <n v="3135.33"/>
    <n v="2288.7909"/>
    <n v="-2711.2091"/>
  </r>
  <r>
    <x v="0"/>
    <s v="HI"/>
    <s v="Bachelor"/>
    <s v="Own"/>
    <n v="1"/>
    <n v="0"/>
    <n v="7443.0000000000009"/>
    <n v="5433.39"/>
    <n v="-4566.6099999999997"/>
  </r>
  <r>
    <x v="2"/>
    <s v="MI"/>
    <s v="Masters"/>
    <s v="Mortgage"/>
    <n v="1"/>
    <n v="1"/>
    <n v="7683.7500000000009"/>
    <n v="5609.1375000000007"/>
    <n v="5609.1375000000007"/>
  </r>
  <r>
    <x v="2"/>
    <s v="HI"/>
    <s v="High School"/>
    <s v="Rent"/>
    <n v="1"/>
    <n v="1"/>
    <n v="3646.4148"/>
    <n v="2661.8828039999999"/>
    <n v="661.88280399999985"/>
  </r>
  <r>
    <x v="2"/>
    <s v="MI"/>
    <s v="Bachelor"/>
    <s v="Mortgage"/>
    <n v="0"/>
    <n v="1"/>
    <n v="1544.04"/>
    <n v="1127.1491999999998"/>
    <n v="1127.1491999999998"/>
  </r>
  <r>
    <x v="0"/>
    <s v="LI"/>
    <s v="Masters"/>
    <s v="Own"/>
    <n v="1"/>
    <n v="1"/>
    <n v="2750.6723999999999"/>
    <n v="2007.9908519999999"/>
    <n v="-3992.0091480000001"/>
  </r>
  <r>
    <x v="0"/>
    <s v="MI"/>
    <s v="High School"/>
    <s v="Own"/>
    <n v="1"/>
    <n v="1"/>
    <n v="6059.5199999999995"/>
    <n v="4423.4495999999999"/>
    <n v="-4576.5504000000001"/>
  </r>
  <r>
    <x v="2"/>
    <s v="MI"/>
    <s v="Bachelor"/>
    <s v="Rent"/>
    <n v="0"/>
    <n v="1"/>
    <n v="4890.6000000000004"/>
    <n v="3570.1380000000004"/>
    <n v="-4429.8619999999992"/>
  </r>
  <r>
    <x v="1"/>
    <s v="HI"/>
    <s v="Masters"/>
    <s v="Mortgage"/>
    <n v="1"/>
    <n v="1"/>
    <n v="4670.88"/>
    <n v="3409.7424000000001"/>
    <n v="1409.7424000000001"/>
  </r>
  <r>
    <x v="0"/>
    <s v="MI"/>
    <s v="Bachelor"/>
    <s v="Own"/>
    <n v="0"/>
    <n v="0"/>
    <n v="13610.512799999999"/>
    <n v="9935.6743439999991"/>
    <n v="6935.6743439999991"/>
  </r>
  <r>
    <x v="0"/>
    <s v="MI"/>
    <s v="PhD"/>
    <s v="Own"/>
    <n v="0"/>
    <n v="1"/>
    <n v="7085.4575999999997"/>
    <n v="5172.3840479999999"/>
    <n v="-3827.6159520000001"/>
  </r>
  <r>
    <x v="0"/>
    <s v="MI"/>
    <s v="NA"/>
    <s v="Own"/>
    <n v="1"/>
    <n v="0"/>
    <n v="11676"/>
    <n v="8523.48"/>
    <n v="7523.48"/>
  </r>
  <r>
    <x v="1"/>
    <s v="MI"/>
    <s v="Bachelor"/>
    <s v="Rent"/>
    <n v="1"/>
    <n v="1"/>
    <n v="796.28160000000003"/>
    <n v="581.28556800000001"/>
    <n v="-8418.7144320000007"/>
  </r>
  <r>
    <x v="0"/>
    <s v="LI"/>
    <s v="Bachelor"/>
    <s v="Mortgage"/>
    <n v="1"/>
    <n v="1"/>
    <n v="11735.388000000001"/>
    <n v="8566.8332399999999"/>
    <n v="4566.8332399999999"/>
  </r>
  <r>
    <x v="2"/>
    <s v="MI"/>
    <s v="High School"/>
    <s v="Rent"/>
    <n v="1"/>
    <n v="0"/>
    <n v="4199.58"/>
    <n v="3065.6933999999997"/>
    <n v="-4934.3065999999999"/>
  </r>
  <r>
    <x v="0"/>
    <s v="LI"/>
    <s v="College"/>
    <s v="Own"/>
    <n v="0"/>
    <n v="1"/>
    <n v="12972.570000000002"/>
    <n v="9469.9761000000017"/>
    <n v="1469.9761000000017"/>
  </r>
  <r>
    <x v="2"/>
    <s v="LI"/>
    <s v="PhD"/>
    <s v="Rent"/>
    <n v="1"/>
    <n v="1"/>
    <n v="3116.9808000000003"/>
    <n v="2275.3959840000002"/>
    <n v="2275.3959840000002"/>
  </r>
  <r>
    <x v="0"/>
    <s v="LI"/>
    <s v="Bachelor"/>
    <s v="Own"/>
    <n v="0"/>
    <n v="0"/>
    <n v="11272.53"/>
    <n v="8228.9469000000008"/>
    <n v="2228.9469000000008"/>
  </r>
  <r>
    <x v="0"/>
    <s v="MI"/>
    <s v="High School"/>
    <s v="Mortgage"/>
    <n v="1"/>
    <n v="1"/>
    <n v="7526.1732000000002"/>
    <n v="5494.106436"/>
    <n v="-3505.893564"/>
  </r>
  <r>
    <x v="1"/>
    <s v="LI"/>
    <s v="Masters"/>
    <s v="Mortgage"/>
    <n v="1"/>
    <n v="1"/>
    <n v="9640.9547999999995"/>
    <n v="7037.8970039999995"/>
    <n v="6037.8970039999995"/>
  </r>
  <r>
    <x v="0"/>
    <s v="LI"/>
    <s v="NA"/>
    <s v="Mortgage"/>
    <n v="0"/>
    <n v="1"/>
    <n v="7788.3444"/>
    <n v="5685.4914119999994"/>
    <n v="3685.4914119999994"/>
  </r>
  <r>
    <x v="1"/>
    <s v="MI"/>
    <s v="High School"/>
    <s v="Rent"/>
    <n v="0"/>
    <n v="1"/>
    <n v="7236.3455999999996"/>
    <n v="5282.5322879999994"/>
    <n v="-1717.4677120000006"/>
  </r>
  <r>
    <x v="2"/>
    <s v="MI"/>
    <s v="PhD"/>
    <s v="Mortgage"/>
    <n v="1"/>
    <n v="1"/>
    <n v="4345.8407999999999"/>
    <n v="3172.463784"/>
    <n v="-5827.5362160000004"/>
  </r>
  <r>
    <x v="0"/>
    <s v="HI"/>
    <s v="Bachelor"/>
    <s v="Rent"/>
    <n v="1"/>
    <n v="1"/>
    <n v="6885.36"/>
    <n v="5026.3127999999997"/>
    <n v="4026.3127999999997"/>
  </r>
  <r>
    <x v="0"/>
    <s v="HI"/>
    <s v="High School"/>
    <s v="Rent"/>
    <n v="1"/>
    <n v="1"/>
    <n v="6715.2456000000002"/>
    <n v="4902.1292880000001"/>
    <n v="-5097.8707119999999"/>
  </r>
  <r>
    <x v="2"/>
    <s v="MI"/>
    <s v="High School"/>
    <s v="Own"/>
    <n v="1"/>
    <n v="1"/>
    <n v="2356.7615999999998"/>
    <n v="1720.4359679999998"/>
    <n v="-1279.5640320000002"/>
  </r>
  <r>
    <x v="2"/>
    <s v="MI"/>
    <s v="Bachelor"/>
    <s v="Rent"/>
    <n v="1"/>
    <n v="0"/>
    <n v="5614.92"/>
    <n v="4098.8915999999999"/>
    <n v="-3901.1084000000001"/>
  </r>
  <r>
    <x v="2"/>
    <s v="MI"/>
    <s v="College"/>
    <s v="Own"/>
    <n v="1"/>
    <n v="1"/>
    <n v="12216.7644"/>
    <n v="8918.2380119999998"/>
    <n v="8918.2380119999998"/>
  </r>
  <r>
    <x v="0"/>
    <s v="HI"/>
    <s v="Masters"/>
    <s v="Rent"/>
    <n v="1"/>
    <n v="1"/>
    <n v="13280.85"/>
    <n v="9695.0205000000005"/>
    <n v="1695.0205000000005"/>
  </r>
  <r>
    <x v="2"/>
    <s v="MI"/>
    <s v="Bachelor"/>
    <s v="Mortgage"/>
    <n v="1"/>
    <n v="1"/>
    <n v="13949.519999999999"/>
    <n v="10183.149599999999"/>
    <n v="1183.1495999999988"/>
  </r>
  <r>
    <x v="0"/>
    <s v="MI"/>
    <s v="Bachelor"/>
    <s v="Mortgage"/>
    <n v="0"/>
    <n v="1"/>
    <n v="8999.1144000000004"/>
    <n v="6569.3535119999997"/>
    <n v="4569.3535119999997"/>
  </r>
  <r>
    <x v="2"/>
    <s v="HI"/>
    <s v="Masters"/>
    <s v="Mortgage"/>
    <n v="1"/>
    <n v="1"/>
    <n v="7570.8108000000002"/>
    <n v="5526.6918839999998"/>
    <n v="-473.30811600000015"/>
  </r>
  <r>
    <x v="0"/>
    <s v="LI"/>
    <s v="College"/>
    <s v="Mortgage"/>
    <n v="0"/>
    <n v="0"/>
    <n v="9637.9200000000019"/>
    <n v="7035.6816000000008"/>
    <n v="7035.6816000000008"/>
  </r>
  <r>
    <x v="0"/>
    <s v="LI"/>
    <s v="Bachelor"/>
    <s v="Rent"/>
    <n v="0"/>
    <n v="1"/>
    <n v="3156.3467999999998"/>
    <n v="2304.1331639999999"/>
    <n v="-7695.8668360000001"/>
  </r>
  <r>
    <x v="0"/>
    <s v="MI"/>
    <s v="PhD"/>
    <s v="Own"/>
    <n v="0"/>
    <n v="1"/>
    <n v="3369.8496"/>
    <n v="2459.9902080000002"/>
    <n v="-2540.0097919999998"/>
  </r>
  <r>
    <x v="1"/>
    <s v="MI"/>
    <s v="High School"/>
    <s v="Own"/>
    <n v="1"/>
    <n v="1"/>
    <n v="2701.1291999999999"/>
    <n v="1971.824316"/>
    <n v="971.82431599999995"/>
  </r>
  <r>
    <x v="0"/>
    <s v="HI"/>
    <s v="Masters"/>
    <s v="Mortgage"/>
    <n v="1"/>
    <n v="1"/>
    <n v="9498.7296000000006"/>
    <n v="6934.0726080000004"/>
    <n v="-3065.9273919999996"/>
  </r>
  <r>
    <x v="0"/>
    <s v="MI"/>
    <s v="Masters"/>
    <s v="Own"/>
    <n v="1"/>
    <n v="1"/>
    <n v="6906.6"/>
    <n v="5041.8180000000002"/>
    <n v="-3958.1819999999998"/>
  </r>
  <r>
    <x v="0"/>
    <s v="MI"/>
    <s v="Bachelor"/>
    <s v="Own"/>
    <n v="1"/>
    <n v="1"/>
    <n v="2140.9632000000001"/>
    <n v="1562.9031360000001"/>
    <n v="-3437.0968640000001"/>
  </r>
  <r>
    <x v="0"/>
    <s v="MI"/>
    <s v="Masters"/>
    <s v="Mortgage"/>
    <n v="0"/>
    <n v="1"/>
    <n v="5694.1919999999991"/>
    <n v="4156.7601599999989"/>
    <n v="-1843.2398400000011"/>
  </r>
  <r>
    <x v="2"/>
    <s v="HI"/>
    <s v="High School"/>
    <s v="Own"/>
    <n v="0"/>
    <n v="1"/>
    <n v="1783.2108000000001"/>
    <n v="1301.743884"/>
    <n v="-4698.2561160000005"/>
  </r>
  <r>
    <x v="2"/>
    <s v="MI"/>
    <s v="MD"/>
    <s v="Mortgage"/>
    <n v="1"/>
    <n v="1"/>
    <n v="1385.2944000000002"/>
    <n v="1011.2649120000001"/>
    <n v="-7988.7350879999995"/>
  </r>
  <r>
    <x v="0"/>
    <s v="LI"/>
    <s v="High School"/>
    <s v="Rent"/>
    <n v="0"/>
    <n v="1"/>
    <n v="3528.03"/>
    <n v="2575.4619000000002"/>
    <n v="-5424.5380999999998"/>
  </r>
  <r>
    <x v="0"/>
    <s v="HI"/>
    <s v="College"/>
    <s v="Own"/>
    <n v="1"/>
    <n v="1"/>
    <n v="7428.9600000000009"/>
    <n v="5423.1408000000001"/>
    <n v="-3576.8591999999999"/>
  </r>
  <r>
    <x v="2"/>
    <s v="LI"/>
    <s v="College"/>
    <s v="Mortgage"/>
    <n v="1"/>
    <n v="1"/>
    <n v="2449.62"/>
    <n v="1788.2225999999998"/>
    <n v="788.22259999999983"/>
  </r>
  <r>
    <x v="2"/>
    <s v="MI"/>
    <s v="Bachelor"/>
    <s v="Own"/>
    <n v="1"/>
    <n v="1"/>
    <n v="3998.7647999999999"/>
    <n v="2919.0983040000001"/>
    <n v="-4080.9016959999999"/>
  </r>
  <r>
    <x v="0"/>
    <s v="MI"/>
    <s v="NA"/>
    <s v="Mortgage"/>
    <n v="1"/>
    <n v="1"/>
    <n v="9386.0591999999997"/>
    <n v="6851.8232159999998"/>
    <n v="-3148.1767840000002"/>
  </r>
  <r>
    <x v="2"/>
    <s v="MI"/>
    <s v="Bachelor"/>
    <s v="Mortgage"/>
    <n v="1"/>
    <n v="1"/>
    <n v="7205.88"/>
    <n v="5260.2924000000003"/>
    <n v="260.29240000000027"/>
  </r>
  <r>
    <x v="0"/>
    <s v="LI"/>
    <s v="College"/>
    <s v="Mortgage"/>
    <n v="1"/>
    <n v="1"/>
    <n v="2411.3040000000001"/>
    <n v="1760.2519199999999"/>
    <n v="-1239.7480800000001"/>
  </r>
  <r>
    <x v="0"/>
    <s v="MI"/>
    <s v="High School"/>
    <s v="Own"/>
    <n v="1"/>
    <n v="0"/>
    <n v="6424.5312000000004"/>
    <n v="4689.907776"/>
    <n v="-1310.092224"/>
  </r>
  <r>
    <x v="0"/>
    <s v="LI"/>
    <s v="Masters"/>
    <s v="Rent"/>
    <n v="1"/>
    <n v="1"/>
    <n v="5581.8"/>
    <n v="4074.7139999999999"/>
    <n v="74.713999999999942"/>
  </r>
  <r>
    <x v="0"/>
    <s v="HI"/>
    <s v="Bachelor"/>
    <s v="Own"/>
    <n v="1"/>
    <n v="1"/>
    <n v="6947.5247999999992"/>
    <n v="5071.693103999999"/>
    <n v="-4928.306896000001"/>
  </r>
  <r>
    <x v="2"/>
    <s v="LI"/>
    <s v="Masters"/>
    <s v="Mortgage"/>
    <n v="1"/>
    <n v="0"/>
    <n v="3821.1000000000004"/>
    <n v="2789.4030000000002"/>
    <n v="-210.59699999999975"/>
  </r>
  <r>
    <x v="0"/>
    <s v="MI"/>
    <s v="Masters"/>
    <s v="Rent"/>
    <n v="1"/>
    <n v="1"/>
    <n v="8865.8712000000014"/>
    <n v="6472.0859760000012"/>
    <n v="6472.0859760000012"/>
  </r>
  <r>
    <x v="0"/>
    <s v="MI"/>
    <s v="Bachelor"/>
    <s v="Mortgage"/>
    <n v="0"/>
    <n v="1"/>
    <n v="10917.2688"/>
    <n v="7969.6062240000001"/>
    <n v="-1030.3937759999999"/>
  </r>
  <r>
    <x v="0"/>
    <s v="LI"/>
    <s v="NA"/>
    <s v="Own"/>
    <n v="1"/>
    <n v="1"/>
    <n v="8654.8439999999991"/>
    <n v="6318.0361199999988"/>
    <n v="1318.0361199999988"/>
  </r>
  <r>
    <x v="0"/>
    <s v="MI"/>
    <s v="Bachelor"/>
    <s v="Own"/>
    <n v="1"/>
    <n v="1"/>
    <n v="4505.04"/>
    <n v="3288.6792"/>
    <n v="-711.32079999999996"/>
  </r>
  <r>
    <x v="0"/>
    <s v="MI"/>
    <s v="Bachelor"/>
    <s v="Own"/>
    <n v="1"/>
    <n v="1"/>
    <n v="9995.5763999999999"/>
    <n v="7296.7707719999999"/>
    <n v="3296.7707719999999"/>
  </r>
  <r>
    <x v="1"/>
    <s v="LI"/>
    <s v="Bachelor"/>
    <s v="Mortgage"/>
    <n v="0"/>
    <n v="1"/>
    <n v="5505.2975999999999"/>
    <n v="4018.867248"/>
    <n v="-3981.132752"/>
  </r>
  <r>
    <x v="1"/>
    <s v="MI"/>
    <s v="MD"/>
    <s v="Own"/>
    <n v="0"/>
    <n v="1"/>
    <n v="1863.4943999999998"/>
    <n v="1360.3509119999999"/>
    <n v="-639.64908800000012"/>
  </r>
  <r>
    <x v="0"/>
    <s v="HI"/>
    <s v="Bachelor"/>
    <s v="Mortgage"/>
    <n v="0"/>
    <n v="1"/>
    <n v="5733.2160000000003"/>
    <n v="4185.2476800000004"/>
    <n v="2185.2476800000004"/>
  </r>
  <r>
    <x v="2"/>
    <s v="HI"/>
    <s v="NA"/>
    <s v="Rent"/>
    <n v="1"/>
    <n v="1"/>
    <n v="10258.14"/>
    <n v="7488.4421999999995"/>
    <n v="-2511.5578000000005"/>
  </r>
  <r>
    <x v="2"/>
    <s v="MI"/>
    <s v="Bachelor"/>
    <s v="Rent"/>
    <n v="0"/>
    <n v="0"/>
    <n v="3018.96"/>
    <n v="2203.8407999999999"/>
    <n v="-1796.1592000000001"/>
  </r>
  <r>
    <x v="2"/>
    <s v="LI"/>
    <s v="Masters"/>
    <s v="Own"/>
    <n v="0"/>
    <n v="1"/>
    <n v="5181.84"/>
    <n v="3782.7431999999999"/>
    <n v="-4217.2568000000001"/>
  </r>
  <r>
    <x v="2"/>
    <s v="LI"/>
    <s v="Bachelor"/>
    <s v="Rent"/>
    <n v="1"/>
    <n v="0"/>
    <n v="1113.5999999999999"/>
    <n v="812.92799999999988"/>
    <n v="-3187.0720000000001"/>
  </r>
  <r>
    <x v="0"/>
    <s v="HI"/>
    <s v="Masters"/>
    <s v="Mortgage"/>
    <n v="0"/>
    <n v="0"/>
    <n v="5223.6000000000004"/>
    <n v="3813.2280000000001"/>
    <n v="3813.2280000000001"/>
  </r>
  <r>
    <x v="0"/>
    <s v="LI"/>
    <s v="College"/>
    <s v="Rent"/>
    <n v="1"/>
    <n v="1"/>
    <n v="13007.5008"/>
    <n v="9495.4755839999998"/>
    <n v="8495.4755839999998"/>
  </r>
  <r>
    <x v="0"/>
    <s v="MI"/>
    <s v="Bachelor"/>
    <s v="Rent"/>
    <n v="0"/>
    <n v="0"/>
    <n v="2333.7647999999999"/>
    <n v="1703.6483039999998"/>
    <n v="-296.35169600000017"/>
  </r>
  <r>
    <x v="0"/>
    <s v="LI"/>
    <s v="MD"/>
    <s v="Own"/>
    <n v="1"/>
    <n v="0"/>
    <n v="1127.7792000000002"/>
    <n v="823.27881600000012"/>
    <n v="-176.72118399999988"/>
  </r>
  <r>
    <x v="2"/>
    <s v="MI"/>
    <s v="High School"/>
    <s v="Mortgage"/>
    <n v="1"/>
    <n v="1"/>
    <n v="8530.5"/>
    <n v="6227.2649999999994"/>
    <n v="5227.2649999999994"/>
  </r>
  <r>
    <x v="2"/>
    <s v="MI"/>
    <s v="Bachelor"/>
    <s v="Rent"/>
    <n v="1"/>
    <n v="1"/>
    <n v="4423.2575999999999"/>
    <n v="3228.9780479999999"/>
    <n v="228.97804799999994"/>
  </r>
  <r>
    <x v="2"/>
    <s v="LI"/>
    <s v="High School"/>
    <s v="Mortgage"/>
    <n v="1"/>
    <n v="0"/>
    <n v="3924.9"/>
    <n v="2865.1770000000001"/>
    <n v="1865.1770000000001"/>
  </r>
  <r>
    <x v="0"/>
    <s v="LI"/>
    <s v="High School"/>
    <s v="Mortgage"/>
    <n v="1"/>
    <n v="0"/>
    <n v="11114.25"/>
    <n v="8113.4025000000001"/>
    <n v="2113.4025000000001"/>
  </r>
  <r>
    <x v="2"/>
    <s v="MI"/>
    <s v="Bachelor"/>
    <s v="Mortgage"/>
    <n v="1"/>
    <n v="1"/>
    <n v="1257.57"/>
    <n v="918.02609999999993"/>
    <n v="-7081.9739"/>
  </r>
  <r>
    <x v="2"/>
    <s v="LI"/>
    <s v="Bachelor"/>
    <s v="Rent"/>
    <n v="1"/>
    <n v="0"/>
    <n v="12199.77"/>
    <n v="8905.8320999999996"/>
    <n v="-94.167900000000373"/>
  </r>
  <r>
    <x v="2"/>
    <s v="MI"/>
    <s v="High School"/>
    <s v="Own"/>
    <n v="0"/>
    <n v="1"/>
    <n v="8917.7255999999998"/>
    <n v="6509.9396879999995"/>
    <n v="-2490.0603120000005"/>
  </r>
  <r>
    <x v="0"/>
    <s v="HI"/>
    <s v="High School"/>
    <s v="Mortgage"/>
    <n v="0"/>
    <n v="1"/>
    <n v="7015.1328000000003"/>
    <n v="5121.0469439999997"/>
    <n v="3121.0469439999997"/>
  </r>
  <r>
    <x v="1"/>
    <s v="MI"/>
    <s v="NA"/>
    <s v="Own"/>
    <n v="1"/>
    <n v="0"/>
    <n v="2698.2647999999999"/>
    <n v="1969.7333039999999"/>
    <n v="-1030.2666960000001"/>
  </r>
  <r>
    <x v="1"/>
    <s v="MI"/>
    <s v="Bachelor"/>
    <s v="Rent"/>
    <n v="0"/>
    <n v="1"/>
    <n v="2817.36"/>
    <n v="2056.6727999999998"/>
    <n v="-2943.3272000000002"/>
  </r>
  <r>
    <x v="0"/>
    <s v="HI"/>
    <s v="Bachelor"/>
    <s v="Mortgage"/>
    <n v="1"/>
    <n v="1"/>
    <n v="8076.5999999999995"/>
    <n v="5895.9179999999997"/>
    <n v="2895.9179999999997"/>
  </r>
  <r>
    <x v="2"/>
    <s v="MI"/>
    <s v="High School"/>
    <s v="Own"/>
    <n v="0"/>
    <n v="0"/>
    <n v="1753.5959999999998"/>
    <n v="1280.1250799999998"/>
    <n v="-1719.8749200000002"/>
  </r>
  <r>
    <x v="2"/>
    <s v="HI"/>
    <s v="High School"/>
    <s v="Mortgage"/>
    <n v="0"/>
    <n v="0"/>
    <n v="4718.8619999999992"/>
    <n v="3444.7692599999991"/>
    <n v="444.76925999999912"/>
  </r>
  <r>
    <x v="0"/>
    <s v="HI"/>
    <s v="High School"/>
    <s v="Own"/>
    <n v="0"/>
    <n v="0"/>
    <n v="2629.5"/>
    <n v="1919.5349999999999"/>
    <n v="-5080.4650000000001"/>
  </r>
  <r>
    <x v="0"/>
    <s v="HI"/>
    <s v="Masters"/>
    <s v="Own"/>
    <n v="1"/>
    <n v="1"/>
    <n v="2731.9500000000003"/>
    <n v="1994.3235000000002"/>
    <n v="-7005.6764999999996"/>
  </r>
  <r>
    <x v="0"/>
    <s v="LI"/>
    <s v="NA"/>
    <s v="Mortgage"/>
    <n v="0"/>
    <n v="1"/>
    <n v="6696.4752000000008"/>
    <n v="4888.4268960000009"/>
    <n v="-2111.5731039999991"/>
  </r>
  <r>
    <x v="2"/>
    <s v="MI"/>
    <s v="Bachelor"/>
    <s v="Own"/>
    <n v="1"/>
    <n v="1"/>
    <n v="9895.4856"/>
    <n v="7223.7044879999994"/>
    <n v="-776.2955120000006"/>
  </r>
  <r>
    <x v="2"/>
    <s v="LI"/>
    <s v="College"/>
    <s v="Own"/>
    <n v="1"/>
    <n v="0"/>
    <n v="1362.96"/>
    <n v="994.96079999999995"/>
    <n v="-4005.0392000000002"/>
  </r>
  <r>
    <x v="0"/>
    <s v="MI"/>
    <s v="Masters"/>
    <s v="Rent"/>
    <n v="1"/>
    <n v="1"/>
    <n v="3027.6035999999999"/>
    <n v="2210.1506279999999"/>
    <n v="-7789.8493720000006"/>
  </r>
  <r>
    <x v="2"/>
    <s v="HI"/>
    <s v="NA"/>
    <s v="Rent"/>
    <n v="0"/>
    <n v="1"/>
    <n v="918.00720000000013"/>
    <n v="670.14525600000013"/>
    <n v="-6329.8547440000002"/>
  </r>
  <r>
    <x v="2"/>
    <s v="MI"/>
    <s v="NA"/>
    <s v="Own"/>
    <n v="1"/>
    <n v="1"/>
    <n v="3094.8"/>
    <n v="2259.2040000000002"/>
    <n v="-6740.7960000000003"/>
  </r>
  <r>
    <x v="2"/>
    <s v="MI"/>
    <s v="Bachelor"/>
    <s v="Mortgage"/>
    <n v="0"/>
    <n v="0"/>
    <n v="10995.1968"/>
    <n v="8026.4936639999996"/>
    <n v="26.493663999999626"/>
  </r>
  <r>
    <x v="2"/>
    <s v="HI"/>
    <s v="Bachelor"/>
    <s v="Own"/>
    <n v="1"/>
    <n v="1"/>
    <n v="8618.9135999999999"/>
    <n v="6291.806928"/>
    <n v="-3708.193072"/>
  </r>
  <r>
    <x v="0"/>
    <s v="LI"/>
    <s v="High School"/>
    <s v="Rent"/>
    <n v="1"/>
    <n v="1"/>
    <n v="3759.8592000000003"/>
    <n v="2744.697216"/>
    <n v="-1255.302784"/>
  </r>
  <r>
    <x v="0"/>
    <s v="LI"/>
    <s v="College"/>
    <s v="Rent"/>
    <n v="0"/>
    <n v="1"/>
    <n v="9493.4304000000011"/>
    <n v="6930.2041920000011"/>
    <n v="3930.2041920000011"/>
  </r>
  <r>
    <x v="0"/>
    <s v="MI"/>
    <s v="NA"/>
    <s v="Mortgage"/>
    <n v="0"/>
    <n v="1"/>
    <n v="6056.8415999999997"/>
    <n v="4421.4943679999997"/>
    <n v="3421.4943679999997"/>
  </r>
  <r>
    <x v="0"/>
    <s v="MI"/>
    <s v="PhD"/>
    <s v="Rent"/>
    <n v="1"/>
    <n v="0"/>
    <n v="3437.6748000000002"/>
    <n v="2509.5026040000002"/>
    <n v="509.50260400000025"/>
  </r>
  <r>
    <x v="0"/>
    <s v="HI"/>
    <s v="High School"/>
    <s v="Own"/>
    <n v="1"/>
    <n v="0"/>
    <n v="8504.1"/>
    <n v="6207.9930000000004"/>
    <n v="5207.9930000000004"/>
  </r>
  <r>
    <x v="2"/>
    <s v="HI"/>
    <s v="Bachelor"/>
    <s v="Mortgage"/>
    <n v="1"/>
    <n v="1"/>
    <n v="9171.8016000000007"/>
    <n v="6695.4151680000004"/>
    <n v="-2304.5848319999996"/>
  </r>
  <r>
    <x v="0"/>
    <s v="HI"/>
    <s v="Bachelor"/>
    <s v="Own"/>
    <n v="1"/>
    <n v="1"/>
    <n v="3689.1000000000004"/>
    <n v="2693.0430000000001"/>
    <n v="-1306.9569999999999"/>
  </r>
  <r>
    <x v="0"/>
    <s v="MI"/>
    <s v="High School"/>
    <s v="Rent"/>
    <n v="0"/>
    <n v="1"/>
    <n v="12559.8192"/>
    <n v="9168.6680159999996"/>
    <n v="1168.6680159999996"/>
  </r>
  <r>
    <x v="0"/>
    <s v="LI"/>
    <s v="High School"/>
    <s v="Rent"/>
    <n v="0"/>
    <n v="1"/>
    <n v="7486.2263999999996"/>
    <n v="5464.9452719999999"/>
    <n v="2464.9452719999999"/>
  </r>
  <r>
    <x v="0"/>
    <s v="MI"/>
    <s v="Bachelor"/>
    <s v="Mortgage"/>
    <n v="1"/>
    <n v="1"/>
    <n v="9664.3907999999992"/>
    <n v="7055.0052839999989"/>
    <n v="5055.0052839999989"/>
  </r>
  <r>
    <x v="1"/>
    <s v="MI"/>
    <s v="Bachelor"/>
    <s v="Mortgage"/>
    <n v="1"/>
    <n v="1"/>
    <n v="7266"/>
    <n v="5304.18"/>
    <n v="-2695.8199999999997"/>
  </r>
  <r>
    <x v="0"/>
    <s v="MI"/>
    <s v="NA"/>
    <s v="Mortgage"/>
    <n v="1"/>
    <n v="1"/>
    <n v="1319.4792"/>
    <n v="963.21981599999992"/>
    <n v="-1036.7801840000002"/>
  </r>
  <r>
    <x v="2"/>
    <s v="HI"/>
    <s v="Bachelor"/>
    <s v="Mortgage"/>
    <n v="1"/>
    <n v="1"/>
    <n v="3160.8191999999999"/>
    <n v="2307.3980160000001"/>
    <n v="-3692.6019839999999"/>
  </r>
  <r>
    <x v="0"/>
    <s v="MI"/>
    <s v="Bachelor"/>
    <s v="Own"/>
    <n v="1"/>
    <n v="0"/>
    <n v="6923.3315999999995"/>
    <n v="5054.0320679999995"/>
    <n v="3054.0320679999995"/>
  </r>
  <r>
    <x v="0"/>
    <s v="MI"/>
    <s v="Bachelor"/>
    <s v="Rent"/>
    <n v="1"/>
    <n v="1"/>
    <n v="3967.8335999999995"/>
    <n v="2896.5185279999996"/>
    <n v="-1103.4814720000004"/>
  </r>
  <r>
    <x v="2"/>
    <s v="MI"/>
    <s v="High School"/>
    <s v="Own"/>
    <n v="1"/>
    <n v="1"/>
    <n v="9126.6743999999999"/>
    <n v="6662.4723119999999"/>
    <n v="-2337.5276880000001"/>
  </r>
  <r>
    <x v="1"/>
    <s v="MI"/>
    <s v="High School"/>
    <s v="Own"/>
    <n v="0"/>
    <n v="1"/>
    <n v="5722.0284000000001"/>
    <n v="4177.0807320000004"/>
    <n v="-2822.9192679999996"/>
  </r>
  <r>
    <x v="0"/>
    <s v="MI"/>
    <s v="Bachelor"/>
    <s v="Own"/>
    <n v="1"/>
    <n v="1"/>
    <n v="8259.5159999999996"/>
    <n v="6029.44668"/>
    <n v="4029.44668"/>
  </r>
  <r>
    <x v="2"/>
    <s v="HI"/>
    <s v="Bachelor"/>
    <s v="Mortgage"/>
    <n v="0"/>
    <n v="0"/>
    <n v="8872.5455999999995"/>
    <n v="6476.9582879999998"/>
    <n v="4476.9582879999998"/>
  </r>
  <r>
    <x v="0"/>
    <s v="MI"/>
    <s v="College"/>
    <s v="Mortgage"/>
    <n v="1"/>
    <n v="1"/>
    <n v="10514.6484"/>
    <n v="7675.6933319999998"/>
    <n v="3675.6933319999998"/>
  </r>
  <r>
    <x v="0"/>
    <s v="MI"/>
    <s v="Bachelor"/>
    <s v="Mortgage"/>
    <n v="1"/>
    <n v="1"/>
    <n v="9325.86"/>
    <n v="6807.8778000000002"/>
    <n v="-3192.1221999999998"/>
  </r>
  <r>
    <x v="2"/>
    <s v="LI"/>
    <s v="Bachelor"/>
    <s v="Rent"/>
    <n v="1"/>
    <n v="1"/>
    <n v="2858.9100000000003"/>
    <n v="2087.0043000000001"/>
    <n v="-2912.9956999999999"/>
  </r>
  <r>
    <x v="0"/>
    <s v="LI"/>
    <s v="High School"/>
    <s v="Rent"/>
    <n v="1"/>
    <n v="1"/>
    <n v="15229.900799999999"/>
    <n v="11117.827583999999"/>
    <n v="8117.8275839999988"/>
  </r>
  <r>
    <x v="2"/>
    <s v="MI"/>
    <s v="Bachelor"/>
    <s v="Mortgage"/>
    <n v="0"/>
    <n v="0"/>
    <n v="1716.66"/>
    <n v="1253.1618000000001"/>
    <n v="-5746.8382000000001"/>
  </r>
  <r>
    <x v="2"/>
    <s v="HI"/>
    <s v="Bachelor"/>
    <s v="Mortgage"/>
    <n v="1"/>
    <n v="1"/>
    <n v="4178.6940000000004"/>
    <n v="3050.4466200000002"/>
    <n v="-2949.5533799999998"/>
  </r>
  <r>
    <x v="2"/>
    <s v="MI"/>
    <s v="Bachelor"/>
    <s v="Mortgage"/>
    <n v="1"/>
    <n v="1"/>
    <n v="1440.9023999999999"/>
    <n v="1051.8587519999999"/>
    <n v="-8948.1412479999999"/>
  </r>
  <r>
    <x v="2"/>
    <s v="MI"/>
    <s v="Bachelor"/>
    <s v="Rent"/>
    <n v="1"/>
    <n v="1"/>
    <n v="7554.384"/>
    <n v="5514.7003199999999"/>
    <n v="-485.29968000000008"/>
  </r>
  <r>
    <x v="0"/>
    <s v="LI"/>
    <s v="High School"/>
    <s v="Own"/>
    <n v="1"/>
    <n v="1"/>
    <n v="12382.7616"/>
    <n v="9039.4159679999993"/>
    <n v="6039.4159679999993"/>
  </r>
  <r>
    <x v="2"/>
    <s v="HI"/>
    <s v="High School"/>
    <s v="Own"/>
    <n v="1"/>
    <n v="1"/>
    <n v="8863.4663999999993"/>
    <n v="6470.3304719999996"/>
    <n v="5470.3304719999996"/>
  </r>
  <r>
    <x v="2"/>
    <s v="MI"/>
    <s v="College"/>
    <s v="Mortgage"/>
    <n v="0"/>
    <n v="0"/>
    <n v="6867.0372000000007"/>
    <n v="5012.937156"/>
    <n v="-2987.062844"/>
  </r>
  <r>
    <x v="0"/>
    <s v="MI"/>
    <s v="Masters"/>
    <s v="Own"/>
    <n v="1"/>
    <n v="0"/>
    <n v="4889.82"/>
    <n v="3569.5685999999996"/>
    <n v="2569.5685999999996"/>
  </r>
  <r>
    <x v="0"/>
    <s v="HI"/>
    <s v="NA"/>
    <s v="Mortgage"/>
    <n v="0"/>
    <n v="1"/>
    <n v="1887.4367999999999"/>
    <n v="1377.8288639999998"/>
    <n v="377.82886399999984"/>
  </r>
  <r>
    <x v="2"/>
    <s v="HI"/>
    <s v="Bachelor"/>
    <s v="Mortgage"/>
    <n v="1"/>
    <n v="1"/>
    <n v="6657.0660000000007"/>
    <n v="4859.6581800000004"/>
    <n v="2859.6581800000004"/>
  </r>
  <r>
    <x v="0"/>
    <s v="MI"/>
    <s v="PhD"/>
    <s v="Rent"/>
    <n v="0"/>
    <n v="1"/>
    <n v="3035.04"/>
    <n v="2215.5792000000001"/>
    <n v="-7784.4207999999999"/>
  </r>
  <r>
    <x v="0"/>
    <s v="MI"/>
    <s v="High School"/>
    <s v="Rent"/>
    <n v="1"/>
    <n v="0"/>
    <n v="6032.7096000000001"/>
    <n v="4403.8780079999997"/>
    <n v="403.87800799999968"/>
  </r>
  <r>
    <x v="2"/>
    <s v="HI"/>
    <s v="High School"/>
    <s v="Mortgage"/>
    <n v="1"/>
    <n v="1"/>
    <n v="6494.3423999999995"/>
    <n v="4740.8699519999991"/>
    <n v="-2259.1300480000009"/>
  </r>
  <r>
    <x v="0"/>
    <s v="MI"/>
    <s v="High School"/>
    <s v="Mortgage"/>
    <n v="0"/>
    <n v="0"/>
    <n v="13756.050000000001"/>
    <n v="10041.916500000001"/>
    <n v="6041.9165000000012"/>
  </r>
  <r>
    <x v="0"/>
    <s v="MI"/>
    <s v="Bachelor"/>
    <s v="Own"/>
    <n v="1"/>
    <n v="1"/>
    <n v="2272.7736"/>
    <n v="1659.124728"/>
    <n v="-2340.8752720000002"/>
  </r>
  <r>
    <x v="0"/>
    <s v="LI"/>
    <s v="Bachelor"/>
    <s v="Mortgage"/>
    <n v="0"/>
    <n v="1"/>
    <n v="3260.9748"/>
    <n v="2380.5116039999998"/>
    <n v="1380.5116039999998"/>
  </r>
  <r>
    <x v="2"/>
    <s v="MI"/>
    <s v="Bachelor"/>
    <s v="Own"/>
    <n v="1"/>
    <n v="1"/>
    <n v="6765.4607999999998"/>
    <n v="4938.786384"/>
    <n v="-61.213616000000002"/>
  </r>
  <r>
    <x v="0"/>
    <s v="LI"/>
    <s v="College"/>
    <s v="Own"/>
    <n v="1"/>
    <n v="0"/>
    <n v="15344.117999999999"/>
    <n v="11201.206139999998"/>
    <n v="9201.2061399999984"/>
  </r>
  <r>
    <x v="0"/>
    <s v="LI"/>
    <s v="High School"/>
    <s v="Own"/>
    <n v="0"/>
    <n v="0"/>
    <n v="5583.1776"/>
    <n v="4075.7196479999998"/>
    <n v="75.719647999999779"/>
  </r>
  <r>
    <x v="2"/>
    <s v="MI"/>
    <s v="Bachelor"/>
    <s v="Mortgage"/>
    <n v="0"/>
    <n v="1"/>
    <n v="7601.1624000000002"/>
    <n v="5548.8485520000004"/>
    <n v="4548.8485520000004"/>
  </r>
  <r>
    <x v="0"/>
    <s v="MI"/>
    <s v="High School"/>
    <s v="Mortgage"/>
    <n v="0"/>
    <n v="1"/>
    <n v="3893.3940000000002"/>
    <n v="2842.1776199999999"/>
    <n v="-5157.8223799999996"/>
  </r>
  <r>
    <x v="1"/>
    <s v="MI"/>
    <s v="College"/>
    <s v="Rent"/>
    <n v="1"/>
    <n v="1"/>
    <n v="10823.252399999999"/>
    <n v="7900.9742519999991"/>
    <n v="-2099.0257480000009"/>
  </r>
  <r>
    <x v="2"/>
    <s v="LI"/>
    <s v="College"/>
    <s v="Rent"/>
    <n v="1"/>
    <n v="1"/>
    <n v="2482.2720000000004"/>
    <n v="1812.0585600000002"/>
    <n v="-4187.9414399999996"/>
  </r>
  <r>
    <x v="1"/>
    <s v="LI"/>
    <s v="Bachelor"/>
    <s v="Rent"/>
    <n v="0"/>
    <n v="1"/>
    <n v="6998.7323999999999"/>
    <n v="5109.0746519999993"/>
    <n v="5109.0746519999993"/>
  </r>
  <r>
    <x v="0"/>
    <s v="LI"/>
    <s v="Bachelor"/>
    <s v="Mortgage"/>
    <n v="1"/>
    <n v="0"/>
    <n v="14438.52"/>
    <n v="10540.1196"/>
    <n v="5540.1196"/>
  </r>
  <r>
    <x v="0"/>
    <s v="MI"/>
    <s v="Bachelor"/>
    <s v="Mortgage"/>
    <n v="0"/>
    <n v="1"/>
    <n v="3489"/>
    <n v="2546.9699999999998"/>
    <n v="-1453.0300000000002"/>
  </r>
  <r>
    <x v="2"/>
    <s v="MI"/>
    <s v="PhD"/>
    <s v="Rent"/>
    <n v="1"/>
    <n v="1"/>
    <n v="7447.44"/>
    <n v="5436.6311999999998"/>
    <n v="-563.36880000000019"/>
  </r>
  <r>
    <x v="2"/>
    <s v="MI"/>
    <s v="College"/>
    <s v="Own"/>
    <n v="1"/>
    <n v="1"/>
    <n v="6385.08"/>
    <n v="4661.1084000000001"/>
    <n v="3661.1084000000001"/>
  </r>
  <r>
    <x v="0"/>
    <s v="MI"/>
    <s v="Bachelor"/>
    <s v="Rent"/>
    <n v="0"/>
    <n v="1"/>
    <n v="10406.682000000001"/>
    <n v="7596.8778600000005"/>
    <n v="5596.8778600000005"/>
  </r>
  <r>
    <x v="1"/>
    <s v="MI"/>
    <s v="Bachelor"/>
    <s v="Mortgage"/>
    <n v="1"/>
    <n v="0"/>
    <n v="5681.4516000000003"/>
    <n v="4147.4596680000004"/>
    <n v="3147.4596680000004"/>
  </r>
  <r>
    <x v="0"/>
    <s v="MI"/>
    <s v="NA"/>
    <s v="Own"/>
    <n v="1"/>
    <n v="0"/>
    <n v="2097.4632000000001"/>
    <n v="1531.148136"/>
    <n v="531.14813600000002"/>
  </r>
  <r>
    <x v="2"/>
    <s v="MI"/>
    <s v="MD"/>
    <s v="Rent"/>
    <n v="1"/>
    <n v="1"/>
    <n v="10003.6908"/>
    <n v="7302.6942840000002"/>
    <n v="2302.6942840000002"/>
  </r>
  <r>
    <x v="0"/>
    <s v="HI"/>
    <s v="Bachelor"/>
    <s v="Rent"/>
    <n v="0"/>
    <n v="1"/>
    <n v="10053.213600000001"/>
    <n v="7338.8459280000006"/>
    <n v="-1661.1540719999994"/>
  </r>
  <r>
    <x v="2"/>
    <s v="MI"/>
    <s v="Bachelor"/>
    <s v="Own"/>
    <n v="0"/>
    <n v="1"/>
    <n v="1068.1200000000001"/>
    <n v="779.72760000000005"/>
    <n v="-6220.2723999999998"/>
  </r>
  <r>
    <x v="2"/>
    <s v="HI"/>
    <s v="High School"/>
    <s v="Rent"/>
    <n v="1"/>
    <n v="0"/>
    <n v="2330.4"/>
    <n v="1701.192"/>
    <n v="-4298.808"/>
  </r>
  <r>
    <x v="2"/>
    <s v="LI"/>
    <s v="Bachelor"/>
    <s v="Own"/>
    <n v="1"/>
    <n v="1"/>
    <n v="5922.9588000000003"/>
    <n v="4323.759924"/>
    <n v="3323.759924"/>
  </r>
  <r>
    <x v="0"/>
    <s v="HI"/>
    <s v="Bachelor"/>
    <s v="Own"/>
    <n v="1"/>
    <n v="1"/>
    <n v="5585.58"/>
    <n v="4077.4733999999999"/>
    <n v="-4922.5266000000001"/>
  </r>
  <r>
    <x v="0"/>
    <s v="MI"/>
    <s v="NA"/>
    <s v="Rent"/>
    <n v="1"/>
    <n v="1"/>
    <n v="10739.563200000001"/>
    <n v="7839.881136"/>
    <n v="2839.881136"/>
  </r>
  <r>
    <x v="2"/>
    <s v="HI"/>
    <s v="MD"/>
    <s v="Rent"/>
    <n v="1"/>
    <n v="0"/>
    <n v="6984.0239999999994"/>
    <n v="5098.3375199999991"/>
    <n v="-901.66248000000087"/>
  </r>
  <r>
    <x v="1"/>
    <s v="LI"/>
    <s v="High School"/>
    <s v="Own"/>
    <n v="1"/>
    <n v="0"/>
    <n v="6948.9"/>
    <n v="5072.6969999999992"/>
    <n v="-3927.3030000000008"/>
  </r>
  <r>
    <x v="2"/>
    <s v="MI"/>
    <s v="Bachelor"/>
    <s v="Own"/>
    <n v="1"/>
    <n v="0"/>
    <n v="597.16799999999989"/>
    <n v="435.93263999999994"/>
    <n v="-6564.06736"/>
  </r>
  <r>
    <x v="1"/>
    <s v="HI"/>
    <s v="High School"/>
    <s v="Mortgage"/>
    <n v="1"/>
    <n v="1"/>
    <n v="6262.92"/>
    <n v="4571.9315999999999"/>
    <n v="2571.9315999999999"/>
  </r>
  <r>
    <x v="2"/>
    <s v="LI"/>
    <s v="College"/>
    <s v="Rent"/>
    <n v="0"/>
    <n v="1"/>
    <n v="998.69760000000008"/>
    <n v="729.04924800000003"/>
    <n v="-9270.9507520000006"/>
  </r>
  <r>
    <x v="0"/>
    <s v="MI"/>
    <s v="Masters"/>
    <s v="Rent"/>
    <n v="0"/>
    <n v="1"/>
    <n v="1560.0384000000001"/>
    <n v="1138.8280320000001"/>
    <n v="-861.17196799999988"/>
  </r>
  <r>
    <x v="0"/>
    <s v="LI"/>
    <s v="High School"/>
    <s v="Mortgage"/>
    <n v="1"/>
    <n v="0"/>
    <n v="4111.0523999999996"/>
    <n v="3001.0682519999996"/>
    <n v="-3998.9317480000004"/>
  </r>
  <r>
    <x v="2"/>
    <s v="HI"/>
    <s v="College"/>
    <s v="Rent"/>
    <n v="1"/>
    <n v="1"/>
    <n v="10474.953600000001"/>
    <n v="7646.716128"/>
    <n v="2646.716128"/>
  </r>
  <r>
    <x v="2"/>
    <s v="MI"/>
    <s v="Bachelor"/>
    <s v="Rent"/>
    <n v="0"/>
    <n v="1"/>
    <n v="5658.3072000000002"/>
    <n v="4130.5642559999997"/>
    <n v="-2869.4357440000003"/>
  </r>
  <r>
    <x v="2"/>
    <s v="LI"/>
    <s v="Masters"/>
    <s v="Own"/>
    <n v="1"/>
    <n v="1"/>
    <n v="2419.92"/>
    <n v="1766.5416"/>
    <n v="-1233.4584"/>
  </r>
  <r>
    <x v="0"/>
    <s v="MI"/>
    <s v="High School"/>
    <s v="Rent"/>
    <n v="1"/>
    <n v="0"/>
    <n v="7005.7392"/>
    <n v="5114.1896159999997"/>
    <n v="-4885.8103840000003"/>
  </r>
  <r>
    <x v="2"/>
    <s v="MI"/>
    <s v="Masters"/>
    <s v="Own"/>
    <n v="0"/>
    <n v="1"/>
    <n v="9016.4520000000011"/>
    <n v="6582.0099600000003"/>
    <n v="1582.0099600000003"/>
  </r>
  <r>
    <x v="1"/>
    <s v="MI"/>
    <s v="Bachelor"/>
    <s v="Rent"/>
    <n v="1"/>
    <n v="0"/>
    <n v="1274.6400000000001"/>
    <n v="930.48720000000003"/>
    <n v="-8069.5128000000004"/>
  </r>
  <r>
    <x v="2"/>
    <s v="HI"/>
    <s v="Masters"/>
    <s v="Own"/>
    <n v="1"/>
    <n v="0"/>
    <n v="3409.7856000000002"/>
    <n v="2489.1434880000002"/>
    <n v="1489.1434880000002"/>
  </r>
  <r>
    <x v="0"/>
    <s v="MI"/>
    <s v="Bachelor"/>
    <s v="Mortgage"/>
    <n v="0"/>
    <n v="1"/>
    <n v="10129.021200000001"/>
    <n v="7394.1854760000006"/>
    <n v="-1605.8145239999994"/>
  </r>
  <r>
    <x v="2"/>
    <s v="LI"/>
    <s v="High School"/>
    <s v="Own"/>
    <n v="1"/>
    <n v="0"/>
    <n v="10935.8928"/>
    <n v="7983.201744"/>
    <n v="3983.201744"/>
  </r>
  <r>
    <x v="0"/>
    <s v="HI"/>
    <s v="Bachelor"/>
    <s v="Mortgage"/>
    <n v="0"/>
    <n v="1"/>
    <n v="2789.37"/>
    <n v="2036.2401"/>
    <n v="-963.75990000000002"/>
  </r>
  <r>
    <x v="2"/>
    <s v="MI"/>
    <s v="Masters"/>
    <s v="Rent"/>
    <n v="0"/>
    <n v="0"/>
    <n v="6410.4156000000003"/>
    <n v="4679.6033880000005"/>
    <n v="-2320.3966119999995"/>
  </r>
  <r>
    <x v="2"/>
    <s v="MI"/>
    <s v="MD"/>
    <s v="Own"/>
    <n v="1"/>
    <n v="1"/>
    <n v="6970.1891999999998"/>
    <n v="5088.2381159999995"/>
    <n v="88.238115999999536"/>
  </r>
  <r>
    <x v="0"/>
    <s v="LI"/>
    <s v="NA"/>
    <s v="Mortgage"/>
    <n v="1"/>
    <n v="1"/>
    <n v="9864.5352000000003"/>
    <n v="7201.1106959999997"/>
    <n v="201.11069599999973"/>
  </r>
  <r>
    <x v="2"/>
    <s v="MI"/>
    <s v="Bachelor"/>
    <s v="Rent"/>
    <n v="1"/>
    <n v="1"/>
    <n v="12178.351199999999"/>
    <n v="8890.1963759999999"/>
    <n v="5890.1963759999999"/>
  </r>
  <r>
    <x v="2"/>
    <s v="MI"/>
    <s v="High School"/>
    <s v="Rent"/>
    <n v="1"/>
    <n v="1"/>
    <n v="9571.8912"/>
    <n v="6987.4805759999999"/>
    <n v="-3012.5194240000001"/>
  </r>
  <r>
    <x v="2"/>
    <s v="HI"/>
    <s v="Bachelor"/>
    <s v="Rent"/>
    <n v="1"/>
    <n v="1"/>
    <n v="2001.51"/>
    <n v="1461.1023"/>
    <n v="-4538.8976999999995"/>
  </r>
  <r>
    <x v="2"/>
    <s v="MI"/>
    <s v="Bachelor"/>
    <s v="Own"/>
    <n v="1"/>
    <n v="1"/>
    <n v="3413.7828000000004"/>
    <n v="2492.0614440000004"/>
    <n v="-507.93855599999961"/>
  </r>
  <r>
    <x v="0"/>
    <s v="MI"/>
    <s v="College"/>
    <s v="Own"/>
    <n v="0"/>
    <n v="1"/>
    <n v="6862.47"/>
    <n v="5009.6031000000003"/>
    <n v="-3990.3968999999997"/>
  </r>
  <r>
    <x v="2"/>
    <s v="LI"/>
    <s v="Bachelor"/>
    <s v="Mortgage"/>
    <n v="0"/>
    <n v="0"/>
    <n v="4375.6032000000005"/>
    <n v="3194.1903360000001"/>
    <n v="-6805.8096640000003"/>
  </r>
  <r>
    <x v="0"/>
    <s v="HI"/>
    <s v="Bachelor"/>
    <s v="Own"/>
    <n v="0"/>
    <n v="1"/>
    <n v="6376.1795999999995"/>
    <n v="4654.6111079999991"/>
    <n v="-4345.3888920000009"/>
  </r>
  <r>
    <x v="2"/>
    <s v="MI"/>
    <s v="MD"/>
    <s v="Rent"/>
    <n v="1"/>
    <n v="0"/>
    <n v="9172.5"/>
    <n v="6695.9250000000002"/>
    <n v="4695.9250000000002"/>
  </r>
  <r>
    <x v="0"/>
    <s v="MI"/>
    <s v="NA"/>
    <s v="Mortgage"/>
    <n v="1"/>
    <n v="1"/>
    <n v="2583.1487999999999"/>
    <n v="1885.6986239999999"/>
    <n v="-7114.3013760000003"/>
  </r>
  <r>
    <x v="0"/>
    <s v="MI"/>
    <s v="Bachelor"/>
    <s v="Mortgage"/>
    <n v="1"/>
    <n v="1"/>
    <n v="1412.55"/>
    <n v="1031.1614999999999"/>
    <n v="1031.1614999999999"/>
  </r>
  <r>
    <x v="0"/>
    <s v="HI"/>
    <s v="Bachelor"/>
    <s v="Own"/>
    <n v="0"/>
    <n v="1"/>
    <n v="6841.5407999999998"/>
    <n v="4994.3247839999995"/>
    <n v="1994.3247839999995"/>
  </r>
  <r>
    <x v="2"/>
    <s v="MI"/>
    <s v="Bachelor"/>
    <s v="Mortgage"/>
    <n v="1"/>
    <n v="1"/>
    <n v="2271.36"/>
    <n v="1658.0928000000001"/>
    <n v="-8341.9071999999996"/>
  </r>
  <r>
    <x v="0"/>
    <s v="HI"/>
    <s v="Bachelor"/>
    <s v="Mortgage"/>
    <n v="1"/>
    <n v="1"/>
    <n v="11269.0944"/>
    <n v="8226.4389119999996"/>
    <n v="4226.4389119999996"/>
  </r>
  <r>
    <x v="2"/>
    <s v="HI"/>
    <s v="High School"/>
    <s v="Own"/>
    <n v="0"/>
    <n v="1"/>
    <n v="2576.1419999999998"/>
    <n v="1880.5836599999998"/>
    <n v="-5119.4163399999998"/>
  </r>
  <r>
    <x v="0"/>
    <s v="MI"/>
    <s v="Bachelor"/>
    <s v="Own"/>
    <n v="1"/>
    <n v="1"/>
    <n v="5407.4255999999996"/>
    <n v="3947.4206879999997"/>
    <n v="-52.5793120000003"/>
  </r>
  <r>
    <x v="0"/>
    <s v="HI"/>
    <s v="High School"/>
    <s v="Rent"/>
    <n v="1"/>
    <n v="1"/>
    <n v="6256.32"/>
    <n v="4567.1135999999997"/>
    <n v="-4432.8864000000003"/>
  </r>
  <r>
    <x v="1"/>
    <s v="HI"/>
    <s v="High School"/>
    <s v="Mortgage"/>
    <n v="1"/>
    <n v="1"/>
    <n v="2093.5632000000001"/>
    <n v="1528.301136"/>
    <n v="-2471.698864"/>
  </r>
  <r>
    <x v="2"/>
    <s v="MI"/>
    <s v="College"/>
    <s v="Mortgage"/>
    <n v="1"/>
    <n v="0"/>
    <n v="5209.5780000000004"/>
    <n v="3802.9919400000003"/>
    <n v="-3197.0080599999997"/>
  </r>
  <r>
    <x v="0"/>
    <s v="MI"/>
    <s v="Bachelor"/>
    <s v="Own"/>
    <n v="1"/>
    <n v="1"/>
    <n v="3424.9908"/>
    <n v="2500.2432840000001"/>
    <n v="-6499.7567159999999"/>
  </r>
  <r>
    <x v="0"/>
    <s v="MI"/>
    <s v="High School"/>
    <s v="Rent"/>
    <n v="0"/>
    <n v="1"/>
    <n v="8609.58"/>
    <n v="6284.9933999999994"/>
    <n v="2284.9933999999994"/>
  </r>
  <r>
    <x v="0"/>
    <s v="MI"/>
    <s v="Bachelor"/>
    <s v="Mortgage"/>
    <n v="1"/>
    <n v="0"/>
    <n v="3696.9539999999997"/>
    <n v="2698.7764199999997"/>
    <n v="-7301.2235799999999"/>
  </r>
  <r>
    <x v="2"/>
    <s v="HI"/>
    <s v="Bachelor"/>
    <s v="Rent"/>
    <n v="0"/>
    <n v="1"/>
    <n v="5626.3679999999995"/>
    <n v="4107.2486399999998"/>
    <n v="-3892.7513600000002"/>
  </r>
  <r>
    <x v="1"/>
    <s v="LI"/>
    <s v="Bachelor"/>
    <s v="Mortgage"/>
    <n v="0"/>
    <n v="0"/>
    <n v="13489.8264"/>
    <n v="9847.5732719999996"/>
    <n v="5847.5732719999996"/>
  </r>
  <r>
    <x v="2"/>
    <s v="HI"/>
    <s v="PhD"/>
    <s v="Own"/>
    <n v="1"/>
    <n v="1"/>
    <n v="1748.4179999999999"/>
    <n v="1276.3451399999999"/>
    <n v="-1723.6548600000001"/>
  </r>
  <r>
    <x v="0"/>
    <s v="LI"/>
    <s v="High School"/>
    <s v="Own"/>
    <n v="1"/>
    <n v="1"/>
    <n v="6626.210399999999"/>
    <n v="4837.1335919999992"/>
    <n v="-4162.8664080000008"/>
  </r>
  <r>
    <x v="2"/>
    <s v="HI"/>
    <s v="College"/>
    <s v="Mortgage"/>
    <n v="0"/>
    <n v="1"/>
    <n v="13091.7"/>
    <n v="9556.9410000000007"/>
    <n v="9556.9410000000007"/>
  </r>
  <r>
    <x v="0"/>
    <s v="HI"/>
    <s v="Masters"/>
    <s v="Own"/>
    <n v="0"/>
    <n v="1"/>
    <n v="12370.41"/>
    <n v="9030.3992999999991"/>
    <n v="-969.60070000000087"/>
  </r>
  <r>
    <x v="2"/>
    <s v="MI"/>
    <s v="Bachelor"/>
    <s v="Mortgage"/>
    <n v="1"/>
    <n v="0"/>
    <n v="5891.3568000000005"/>
    <n v="4300.6904640000002"/>
    <n v="1300.6904640000002"/>
  </r>
  <r>
    <x v="2"/>
    <s v="HI"/>
    <s v="Bachelor"/>
    <s v="Rent"/>
    <n v="1"/>
    <n v="1"/>
    <n v="10217.9064"/>
    <n v="7459.071672"/>
    <n v="2459.071672"/>
  </r>
  <r>
    <x v="0"/>
    <s v="MI"/>
    <s v="Bachelor"/>
    <s v="Rent"/>
    <n v="1"/>
    <n v="1"/>
    <n v="6380.0736000000006"/>
    <n v="4657.4537280000004"/>
    <n v="-342.54627199999959"/>
  </r>
  <r>
    <x v="0"/>
    <s v="MI"/>
    <s v="Bachelor"/>
    <s v="Rent"/>
    <n v="0"/>
    <n v="1"/>
    <n v="6126.8447999999999"/>
    <n v="4472.5967039999996"/>
    <n v="-4527.4032960000004"/>
  </r>
  <r>
    <x v="0"/>
    <s v="LI"/>
    <s v="Masters"/>
    <s v="Own"/>
    <n v="1"/>
    <n v="1"/>
    <n v="9525.5999999999985"/>
    <n v="6953.6879999999992"/>
    <n v="-1046.3120000000008"/>
  </r>
  <r>
    <x v="2"/>
    <s v="HI"/>
    <s v="PhD"/>
    <s v="Mortgage"/>
    <n v="0"/>
    <n v="0"/>
    <n v="2089.62"/>
    <n v="1525.4225999999999"/>
    <n v="-2474.5774000000001"/>
  </r>
  <r>
    <x v="2"/>
    <s v="LI"/>
    <s v="Bachelor"/>
    <s v="Mortgage"/>
    <n v="1"/>
    <n v="1"/>
    <n v="9509.8176000000003"/>
    <n v="6942.1668479999998"/>
    <n v="1942.1668479999998"/>
  </r>
  <r>
    <x v="1"/>
    <s v="HI"/>
    <s v="NA"/>
    <s v="Mortgage"/>
    <n v="0"/>
    <n v="1"/>
    <n v="9927.1200000000008"/>
    <n v="7246.7976000000008"/>
    <n v="5246.7976000000008"/>
  </r>
  <r>
    <x v="2"/>
    <s v="MI"/>
    <s v="Bachelor"/>
    <s v="Own"/>
    <n v="1"/>
    <n v="1"/>
    <n v="2576.4911999999999"/>
    <n v="1880.8385759999999"/>
    <n v="-2119.1614239999999"/>
  </r>
  <r>
    <x v="2"/>
    <s v="MI"/>
    <s v="High School"/>
    <s v="Rent"/>
    <n v="1"/>
    <n v="0"/>
    <n v="5520.69"/>
    <n v="4030.1036999999997"/>
    <n v="-1969.8963000000003"/>
  </r>
  <r>
    <x v="2"/>
    <s v="MI"/>
    <s v="Bachelor"/>
    <s v="Mortgage"/>
    <n v="0"/>
    <n v="1"/>
    <n v="12020.131200000002"/>
    <n v="8774.6957760000005"/>
    <n v="4774.6957760000005"/>
  </r>
  <r>
    <x v="1"/>
    <s v="MI"/>
    <s v="Bachelor"/>
    <s v="Rent"/>
    <n v="1"/>
    <n v="1"/>
    <n v="12832.864800000001"/>
    <n v="9367.991304000001"/>
    <n v="4367.991304000001"/>
  </r>
  <r>
    <x v="0"/>
    <s v="LI"/>
    <s v="College"/>
    <s v="Rent"/>
    <n v="1"/>
    <n v="1"/>
    <n v="5637.0911999999998"/>
    <n v="4115.0765759999995"/>
    <n v="-5884.9234240000005"/>
  </r>
  <r>
    <x v="1"/>
    <s v="LI"/>
    <s v="MD"/>
    <s v="Mortgage"/>
    <n v="1"/>
    <n v="1"/>
    <n v="9321.8112000000001"/>
    <n v="6804.922176"/>
    <n v="2804.922176"/>
  </r>
  <r>
    <x v="0"/>
    <s v="MI"/>
    <s v="High School"/>
    <s v="Mortgage"/>
    <n v="1"/>
    <n v="0"/>
    <n v="9556.7999999999993"/>
    <n v="6976.463999999999"/>
    <n v="3976.463999999999"/>
  </r>
  <r>
    <x v="0"/>
    <s v="MI"/>
    <s v="Bachelor"/>
    <s v="Rent"/>
    <n v="0"/>
    <n v="0"/>
    <n v="3306.66"/>
    <n v="2413.8617999999997"/>
    <n v="-586.13820000000032"/>
  </r>
  <r>
    <x v="0"/>
    <s v="LI"/>
    <s v="PhD"/>
    <s v="Rent"/>
    <n v="1"/>
    <n v="1"/>
    <n v="9611.9784"/>
    <n v="7016.744232"/>
    <n v="-1983.255768"/>
  </r>
  <r>
    <x v="2"/>
    <s v="MI"/>
    <s v="High School"/>
    <s v="Rent"/>
    <n v="1"/>
    <n v="1"/>
    <n v="7719.12"/>
    <n v="5634.9575999999997"/>
    <n v="3634.9575999999997"/>
  </r>
  <r>
    <x v="0"/>
    <s v="LI"/>
    <s v="Bachelor"/>
    <s v="Own"/>
    <n v="1"/>
    <n v="1"/>
    <n v="7717.68"/>
    <n v="5633.9063999999998"/>
    <n v="-2366.0936000000002"/>
  </r>
  <r>
    <x v="1"/>
    <s v="LI"/>
    <s v="MD"/>
    <s v="Own"/>
    <n v="1"/>
    <n v="1"/>
    <n v="2465.4672"/>
    <n v="1799.791056"/>
    <n v="-6200.208944"/>
  </r>
  <r>
    <x v="1"/>
    <s v="MI"/>
    <s v="High School"/>
    <s v="Own"/>
    <n v="1"/>
    <n v="1"/>
    <n v="1051.5"/>
    <n v="767.59500000000003"/>
    <n v="-7232.4049999999997"/>
  </r>
  <r>
    <x v="0"/>
    <s v="LI"/>
    <s v="Bachelor"/>
    <s v="Mortgage"/>
    <n v="1"/>
    <n v="0"/>
    <n v="3480.1728000000003"/>
    <n v="2540.5261439999999"/>
    <n v="1540.5261439999999"/>
  </r>
  <r>
    <x v="0"/>
    <s v="LI"/>
    <s v="Bachelor"/>
    <s v="Mortgage"/>
    <n v="0"/>
    <n v="1"/>
    <n v="10201.971600000001"/>
    <n v="7447.4392680000001"/>
    <n v="-552.56073199999992"/>
  </r>
  <r>
    <x v="1"/>
    <s v="LI"/>
    <s v="High School"/>
    <s v="Mortgage"/>
    <n v="1"/>
    <n v="1"/>
    <n v="740.16240000000005"/>
    <n v="540.31855200000007"/>
    <n v="540.31855200000007"/>
  </r>
  <r>
    <x v="0"/>
    <s v="MI"/>
    <s v="Bachelor"/>
    <s v="Own"/>
    <n v="0"/>
    <n v="1"/>
    <n v="9292.14"/>
    <n v="6783.2621999999992"/>
    <n v="4783.2621999999992"/>
  </r>
  <r>
    <x v="2"/>
    <s v="HI"/>
    <s v="College"/>
    <s v="Mortgage"/>
    <n v="0"/>
    <n v="0"/>
    <n v="10350.009600000001"/>
    <n v="7555.5070080000005"/>
    <n v="4555.5070080000005"/>
  </r>
  <r>
    <x v="2"/>
    <s v="MI"/>
    <s v="High School"/>
    <s v="Own"/>
    <n v="1"/>
    <n v="0"/>
    <n v="8473.6296000000002"/>
    <n v="6185.7496080000001"/>
    <n v="1185.7496080000001"/>
  </r>
  <r>
    <x v="0"/>
    <s v="MI"/>
    <s v="High School"/>
    <s v="Mortgage"/>
    <n v="1"/>
    <n v="1"/>
    <n v="14196"/>
    <n v="10363.08"/>
    <n v="363.07999999999993"/>
  </r>
  <r>
    <x v="0"/>
    <s v="MI"/>
    <s v="Bachelor"/>
    <s v="Mortgage"/>
    <n v="1"/>
    <n v="1"/>
    <n v="8086.173600000001"/>
    <n v="5902.9067280000008"/>
    <n v="5902.9067280000008"/>
  </r>
  <r>
    <x v="0"/>
    <s v="HI"/>
    <s v="High School"/>
    <s v="Rent"/>
    <n v="1"/>
    <n v="1"/>
    <n v="4092.99"/>
    <n v="2987.8826999999997"/>
    <n v="-12.117300000000341"/>
  </r>
  <r>
    <x v="2"/>
    <s v="HI"/>
    <s v="Bachelor"/>
    <s v="Rent"/>
    <n v="1"/>
    <n v="0"/>
    <n v="4573.7795999999998"/>
    <n v="3338.8591079999997"/>
    <n v="-4661.1408920000003"/>
  </r>
  <r>
    <x v="2"/>
    <s v="LI"/>
    <s v="Masters"/>
    <s v="Rent"/>
    <n v="1"/>
    <n v="1"/>
    <n v="5234.8500000000004"/>
    <n v="3821.4405000000002"/>
    <n v="2821.4405000000002"/>
  </r>
  <r>
    <x v="0"/>
    <s v="MI"/>
    <s v="College"/>
    <s v="Own"/>
    <n v="1"/>
    <n v="0"/>
    <n v="2168.46"/>
    <n v="1582.9757999999999"/>
    <n v="-2417.0241999999998"/>
  </r>
  <r>
    <x v="2"/>
    <s v="MI"/>
    <s v="Bachelor"/>
    <s v="Rent"/>
    <n v="0"/>
    <n v="1"/>
    <n v="13788.619199999999"/>
    <n v="10065.692015999999"/>
    <n v="9065.6920159999991"/>
  </r>
  <r>
    <x v="2"/>
    <s v="HI"/>
    <s v="College"/>
    <s v="Rent"/>
    <n v="0"/>
    <n v="1"/>
    <n v="8758.7772000000004"/>
    <n v="6393.9073560000006"/>
    <n v="1393.9073560000006"/>
  </r>
  <r>
    <x v="0"/>
    <s v="MI"/>
    <s v="High School"/>
    <s v="Own"/>
    <n v="1"/>
    <n v="1"/>
    <n v="5852.5199999999995"/>
    <n v="4272.3395999999993"/>
    <n v="272.33959999999934"/>
  </r>
  <r>
    <x v="0"/>
    <s v="MI"/>
    <s v="High School"/>
    <s v="Own"/>
    <n v="1"/>
    <n v="1"/>
    <n v="11581.070400000001"/>
    <n v="8454.1813920000004"/>
    <n v="2454.1813920000004"/>
  </r>
  <r>
    <x v="0"/>
    <s v="HI"/>
    <s v="Bachelor"/>
    <s v="Mortgage"/>
    <n v="1"/>
    <n v="1"/>
    <n v="1747.164"/>
    <n v="1275.4297199999999"/>
    <n v="-1724.5702800000001"/>
  </r>
  <r>
    <x v="2"/>
    <s v="MI"/>
    <s v="Bachelor"/>
    <s v="Rent"/>
    <n v="1"/>
    <n v="1"/>
    <n v="3559.6656000000003"/>
    <n v="2598.5558880000003"/>
    <n v="-6401.4441119999992"/>
  </r>
  <r>
    <x v="0"/>
    <s v="HI"/>
    <s v="MD"/>
    <s v="Mortgage"/>
    <n v="0"/>
    <n v="0"/>
    <n v="10241.690399999999"/>
    <n v="7476.4339919999993"/>
    <n v="-2523.5660080000007"/>
  </r>
  <r>
    <x v="2"/>
    <s v="LI"/>
    <s v="Bachelor"/>
    <s v="Mortgage"/>
    <n v="0"/>
    <n v="1"/>
    <n v="4754.8032000000003"/>
    <n v="3471.0063359999999"/>
    <n v="1471.0063359999999"/>
  </r>
  <r>
    <x v="2"/>
    <s v="MI"/>
    <s v="High School"/>
    <s v="Rent"/>
    <n v="0"/>
    <n v="1"/>
    <n v="3827.4191999999998"/>
    <n v="2794.0160159999996"/>
    <n v="-1205.9839840000004"/>
  </r>
  <r>
    <x v="2"/>
    <s v="MI"/>
    <s v="High School"/>
    <s v="Own"/>
    <n v="0"/>
    <n v="1"/>
    <n v="3752.6436000000003"/>
    <n v="2739.4298280000003"/>
    <n v="-6260.5701719999997"/>
  </r>
  <r>
    <x v="2"/>
    <s v="MI"/>
    <s v="Bachelor"/>
    <s v="Own"/>
    <n v="1"/>
    <n v="1"/>
    <n v="8258.7648000000008"/>
    <n v="6028.8983040000003"/>
    <n v="-1971.1016959999997"/>
  </r>
  <r>
    <x v="2"/>
    <s v="MI"/>
    <s v="High School"/>
    <s v="Own"/>
    <n v="0"/>
    <n v="1"/>
    <n v="9376.7039999999997"/>
    <n v="6844.9939199999999"/>
    <n v="5844.9939199999999"/>
  </r>
  <r>
    <x v="1"/>
    <s v="LI"/>
    <s v="Bachelor"/>
    <s v="Mortgage"/>
    <n v="0"/>
    <n v="1"/>
    <n v="10713.72"/>
    <n v="7821.0155999999997"/>
    <n v="6821.0155999999997"/>
  </r>
  <r>
    <x v="2"/>
    <s v="MI"/>
    <s v="High School"/>
    <s v="Mortgage"/>
    <n v="1"/>
    <n v="1"/>
    <n v="7524.8976000000002"/>
    <n v="5493.1752480000005"/>
    <n v="5493.1752480000005"/>
  </r>
  <r>
    <x v="0"/>
    <s v="MI"/>
    <s v="High School"/>
    <s v="Rent"/>
    <n v="1"/>
    <n v="0"/>
    <n v="2344.8887999999997"/>
    <n v="1711.7688239999998"/>
    <n v="-3288.2311760000002"/>
  </r>
  <r>
    <x v="2"/>
    <s v="LI"/>
    <s v="Bachelor"/>
    <s v="Mortgage"/>
    <n v="1"/>
    <n v="0"/>
    <n v="3154.1232"/>
    <n v="2302.5099359999999"/>
    <n v="-3697.4900640000001"/>
  </r>
  <r>
    <x v="0"/>
    <s v="MI"/>
    <s v="Masters"/>
    <s v="Rent"/>
    <n v="1"/>
    <n v="1"/>
    <n v="10960.677599999999"/>
    <n v="8001.2946479999991"/>
    <n v="-1998.7053520000009"/>
  </r>
  <r>
    <x v="0"/>
    <s v="LI"/>
    <s v="Bachelor"/>
    <s v="Rent"/>
    <n v="0"/>
    <n v="1"/>
    <n v="10613.890799999999"/>
    <n v="7748.1402839999992"/>
    <n v="3748.1402839999992"/>
  </r>
  <r>
    <x v="0"/>
    <s v="MI"/>
    <s v="High School"/>
    <s v="Mortgage"/>
    <n v="1"/>
    <n v="1"/>
    <n v="1467.9299999999998"/>
    <n v="1071.5889"/>
    <n v="71.588899999999967"/>
  </r>
  <r>
    <x v="2"/>
    <s v="MI"/>
    <s v="Bachelor"/>
    <s v="Mortgage"/>
    <n v="1"/>
    <n v="1"/>
    <n v="15389.6952"/>
    <n v="11234.477496"/>
    <n v="9234.4774959999995"/>
  </r>
  <r>
    <x v="2"/>
    <s v="MI"/>
    <s v="Bachelor"/>
    <s v="Rent"/>
    <n v="0"/>
    <n v="1"/>
    <n v="11072.58"/>
    <n v="8082.9834000000001"/>
    <n v="-1917.0165999999999"/>
  </r>
  <r>
    <x v="2"/>
    <s v="MI"/>
    <s v="High School"/>
    <s v="Mortgage"/>
    <n v="1"/>
    <n v="1"/>
    <n v="5403.3407999999999"/>
    <n v="3944.4387839999999"/>
    <n v="-55.561216000000059"/>
  </r>
  <r>
    <x v="1"/>
    <s v="MI"/>
    <s v="Bachelor"/>
    <s v="Mortgage"/>
    <n v="1"/>
    <n v="1"/>
    <n v="1013.7312000000001"/>
    <n v="740.023776"/>
    <n v="-6259.976224"/>
  </r>
  <r>
    <x v="2"/>
    <s v="MI"/>
    <s v="College"/>
    <s v="Mortgage"/>
    <n v="1"/>
    <n v="1"/>
    <n v="4646.3040000000001"/>
    <n v="3391.8019199999999"/>
    <n v="2391.8019199999999"/>
  </r>
  <r>
    <x v="2"/>
    <s v="HI"/>
    <s v="Bachelor"/>
    <s v="Own"/>
    <n v="1"/>
    <n v="1"/>
    <n v="4489.0272000000004"/>
    <n v="3276.9898560000001"/>
    <n v="-3723.0101439999999"/>
  </r>
  <r>
    <x v="0"/>
    <s v="HI"/>
    <s v="Bachelor"/>
    <s v="Own"/>
    <n v="0"/>
    <n v="0"/>
    <n v="2119.5"/>
    <n v="1547.2349999999999"/>
    <n v="547.2349999999999"/>
  </r>
  <r>
    <x v="2"/>
    <s v="MI"/>
    <s v="Bachelor"/>
    <s v="Own"/>
    <n v="0"/>
    <n v="1"/>
    <n v="9369.51"/>
    <n v="6839.7422999999999"/>
    <n v="1839.7422999999999"/>
  </r>
  <r>
    <x v="2"/>
    <s v="MI"/>
    <s v="Masters"/>
    <s v="Rent"/>
    <n v="1"/>
    <n v="1"/>
    <n v="7197.6"/>
    <n v="5254.2480000000005"/>
    <n v="-1745.7519999999995"/>
  </r>
  <r>
    <x v="2"/>
    <s v="HI"/>
    <s v="PhD"/>
    <s v="Rent"/>
    <n v="1"/>
    <n v="1"/>
    <n v="8875.4484000000011"/>
    <n v="6479.0773320000008"/>
    <n v="4479.0773320000008"/>
  </r>
  <r>
    <x v="2"/>
    <s v="MI"/>
    <s v="Bachelor"/>
    <s v="Rent"/>
    <n v="1"/>
    <n v="1"/>
    <n v="7444.8"/>
    <n v="5434.7039999999997"/>
    <n v="2434.7039999999997"/>
  </r>
  <r>
    <x v="2"/>
    <s v="HI"/>
    <s v="NA"/>
    <s v="Rent"/>
    <n v="0"/>
    <n v="0"/>
    <n v="7941.7968000000001"/>
    <n v="5797.5116639999997"/>
    <n v="2797.5116639999997"/>
  </r>
  <r>
    <x v="0"/>
    <s v="LI"/>
    <s v="Bachelor"/>
    <s v="Own"/>
    <n v="0"/>
    <n v="1"/>
    <n v="4262.2655999999997"/>
    <n v="3111.4538879999996"/>
    <n v="111.45388799999955"/>
  </r>
  <r>
    <x v="0"/>
    <s v="MI"/>
    <s v="Masters"/>
    <s v="Mortgage"/>
    <n v="0"/>
    <n v="1"/>
    <n v="12543.866399999999"/>
    <n v="9157.0224719999987"/>
    <n v="8157.0224719999987"/>
  </r>
  <r>
    <x v="0"/>
    <s v="LI"/>
    <s v="Bachelor"/>
    <s v="Rent"/>
    <n v="1"/>
    <n v="0"/>
    <n v="10479.84"/>
    <n v="7650.2831999999999"/>
    <n v="1650.2831999999999"/>
  </r>
  <r>
    <x v="0"/>
    <s v="HI"/>
    <s v="College"/>
    <s v="Rent"/>
    <n v="1"/>
    <n v="1"/>
    <n v="1714.7351999999998"/>
    <n v="1251.7566959999999"/>
    <n v="-3748.2433040000001"/>
  </r>
  <r>
    <x v="0"/>
    <s v="HI"/>
    <s v="Bachelor"/>
    <s v="Rent"/>
    <n v="0"/>
    <n v="0"/>
    <n v="2300.1911999999998"/>
    <n v="1679.1395759999998"/>
    <n v="-1320.8604240000002"/>
  </r>
  <r>
    <x v="2"/>
    <s v="LI"/>
    <s v="Masters"/>
    <s v="Mortgage"/>
    <n v="1"/>
    <n v="1"/>
    <n v="11711.2464"/>
    <n v="8549.2098719999995"/>
    <n v="4549.2098719999995"/>
  </r>
  <r>
    <x v="2"/>
    <s v="HI"/>
    <s v="Bachelor"/>
    <s v="Mortgage"/>
    <n v="1"/>
    <n v="1"/>
    <n v="648.46319999999992"/>
    <n v="473.37813599999993"/>
    <n v="-8526.6218640000006"/>
  </r>
  <r>
    <x v="2"/>
    <s v="MI"/>
    <s v="High School"/>
    <s v="Mortgage"/>
    <n v="1"/>
    <n v="1"/>
    <n v="3894.6132000000002"/>
    <n v="2843.0676360000002"/>
    <n v="1843.0676360000002"/>
  </r>
  <r>
    <x v="0"/>
    <s v="MI"/>
    <s v="Bachelor"/>
    <s v="Rent"/>
    <n v="0"/>
    <n v="1"/>
    <n v="13102.0656"/>
    <n v="9564.5078880000001"/>
    <n v="564.50788800000009"/>
  </r>
  <r>
    <x v="0"/>
    <s v="MI"/>
    <s v="Masters"/>
    <s v="Mortgage"/>
    <n v="1"/>
    <n v="1"/>
    <n v="11017.591200000001"/>
    <n v="8042.8415760000007"/>
    <n v="42.841576000000714"/>
  </r>
  <r>
    <x v="2"/>
    <s v="HI"/>
    <s v="High School"/>
    <s v="Rent"/>
    <n v="1"/>
    <n v="1"/>
    <n v="9558.1080000000002"/>
    <n v="6977.4188400000003"/>
    <n v="977.41884000000027"/>
  </r>
  <r>
    <x v="0"/>
    <s v="MI"/>
    <s v="High School"/>
    <s v="Rent"/>
    <n v="0"/>
    <n v="1"/>
    <n v="8295.1571999999996"/>
    <n v="6055.4647559999994"/>
    <n v="-2944.5352440000006"/>
  </r>
  <r>
    <x v="0"/>
    <s v="MI"/>
    <s v="MD"/>
    <s v="Own"/>
    <n v="1"/>
    <n v="1"/>
    <n v="1921.6548"/>
    <n v="1402.808004"/>
    <n v="-8597.1919959999996"/>
  </r>
  <r>
    <x v="0"/>
    <s v="MI"/>
    <s v="Masters"/>
    <s v="Rent"/>
    <n v="0"/>
    <n v="1"/>
    <n v="5618.7384000000002"/>
    <n v="4101.679032"/>
    <n v="-4898.320968"/>
  </r>
  <r>
    <x v="0"/>
    <s v="MI"/>
    <s v="High School"/>
    <s v="Rent"/>
    <n v="0"/>
    <n v="0"/>
    <n v="10588.032000000001"/>
    <n v="7729.2633600000008"/>
    <n v="4729.2633600000008"/>
  </r>
  <r>
    <x v="0"/>
    <s v="MI"/>
    <s v="College"/>
    <s v="Own"/>
    <n v="1"/>
    <n v="1"/>
    <n v="881.64"/>
    <n v="643.59719999999993"/>
    <n v="-356.40280000000007"/>
  </r>
  <r>
    <x v="1"/>
    <s v="LI"/>
    <s v="Bachelor"/>
    <s v="Rent"/>
    <n v="1"/>
    <n v="1"/>
    <n v="1846.3248000000001"/>
    <n v="1347.817104"/>
    <n v="-6652.1828960000003"/>
  </r>
  <r>
    <x v="0"/>
    <s v="MI"/>
    <s v="Bachelor"/>
    <s v="Rent"/>
    <n v="1"/>
    <n v="1"/>
    <n v="5217.75"/>
    <n v="3808.9575"/>
    <n v="3808.9575"/>
  </r>
  <r>
    <x v="0"/>
    <s v="LI"/>
    <s v="Bachelor"/>
    <s v="Mortgage"/>
    <n v="1"/>
    <n v="0"/>
    <n v="6510.8064000000004"/>
    <n v="4752.888672"/>
    <n v="-3247.111328"/>
  </r>
  <r>
    <x v="1"/>
    <s v="HI"/>
    <s v="MD"/>
    <s v="Own"/>
    <n v="1"/>
    <n v="0"/>
    <n v="6569.1540000000005"/>
    <n v="4795.4824200000003"/>
    <n v="-5204.5175799999997"/>
  </r>
  <r>
    <x v="2"/>
    <s v="MI"/>
    <s v="MD"/>
    <s v="Rent"/>
    <n v="1"/>
    <n v="1"/>
    <n v="10707.751199999999"/>
    <n v="7816.6583759999985"/>
    <n v="4816.6583759999985"/>
  </r>
  <r>
    <x v="2"/>
    <s v="MI"/>
    <s v="Masters"/>
    <s v="Own"/>
    <n v="1"/>
    <n v="1"/>
    <n v="14398.02"/>
    <n v="10510.554599999999"/>
    <n v="9510.5545999999995"/>
  </r>
  <r>
    <x v="0"/>
    <s v="HI"/>
    <s v="PhD"/>
    <s v="Rent"/>
    <n v="1"/>
    <n v="1"/>
    <n v="686.1"/>
    <n v="500.85300000000001"/>
    <n v="-8499.1470000000008"/>
  </r>
  <r>
    <x v="0"/>
    <s v="HI"/>
    <s v="PhD"/>
    <s v="Own"/>
    <n v="1"/>
    <n v="1"/>
    <n v="9573.2387999999992"/>
    <n v="6988.4643239999996"/>
    <n v="988.46432399999958"/>
  </r>
  <r>
    <x v="0"/>
    <s v="MI"/>
    <s v="High School"/>
    <s v="Rent"/>
    <n v="1"/>
    <n v="1"/>
    <n v="9131.5511999999999"/>
    <n v="6666.0323760000001"/>
    <n v="-2333.9676239999999"/>
  </r>
  <r>
    <x v="0"/>
    <s v="LI"/>
    <s v="High School"/>
    <s v="Rent"/>
    <n v="1"/>
    <n v="1"/>
    <n v="1239.1200000000001"/>
    <n v="904.55760000000009"/>
    <n v="-8095.4423999999999"/>
  </r>
  <r>
    <x v="2"/>
    <s v="LI"/>
    <s v="Bachelor"/>
    <s v="Mortgage"/>
    <n v="1"/>
    <n v="1"/>
    <n v="651.33000000000004"/>
    <n v="475.47090000000003"/>
    <n v="-8524.5290999999997"/>
  </r>
  <r>
    <x v="2"/>
    <s v="MI"/>
    <s v="MD"/>
    <s v="Rent"/>
    <n v="1"/>
    <n v="0"/>
    <n v="2547.36"/>
    <n v="1859.5728000000001"/>
    <n v="-4140.4272000000001"/>
  </r>
  <r>
    <x v="0"/>
    <s v="MI"/>
    <s v="NA"/>
    <s v="Mortgage"/>
    <n v="1"/>
    <n v="1"/>
    <n v="4277.598"/>
    <n v="3122.6465399999997"/>
    <n v="-877.35346000000027"/>
  </r>
  <r>
    <x v="0"/>
    <s v="LI"/>
    <s v="Bachelor"/>
    <s v="Mortgage"/>
    <n v="1"/>
    <n v="0"/>
    <n v="7316.1"/>
    <n v="5340.7529999999997"/>
    <n v="2340.7529999999997"/>
  </r>
  <r>
    <x v="0"/>
    <s v="HI"/>
    <s v="Bachelor"/>
    <s v="Mortgage"/>
    <n v="1"/>
    <n v="1"/>
    <n v="6052.1664000000001"/>
    <n v="4418.0814719999998"/>
    <n v="-1581.9185280000002"/>
  </r>
  <r>
    <x v="0"/>
    <s v="HI"/>
    <s v="High School"/>
    <s v="Own"/>
    <n v="1"/>
    <n v="0"/>
    <n v="14319.907200000001"/>
    <n v="10453.532256"/>
    <n v="6453.5322560000004"/>
  </r>
  <r>
    <x v="0"/>
    <s v="LI"/>
    <s v="Bachelor"/>
    <s v="Rent"/>
    <n v="0"/>
    <n v="0"/>
    <n v="6176.1"/>
    <n v="4508.5529999999999"/>
    <n v="-2491.4470000000001"/>
  </r>
  <r>
    <x v="0"/>
    <s v="HI"/>
    <s v="College"/>
    <s v="Mortgage"/>
    <n v="0"/>
    <n v="1"/>
    <n v="10833.336000000001"/>
    <n v="7908.3352800000002"/>
    <n v="908.33528000000024"/>
  </r>
  <r>
    <x v="2"/>
    <s v="MI"/>
    <s v="Masters"/>
    <s v="Mortgage"/>
    <n v="1"/>
    <n v="1"/>
    <n v="661.93320000000006"/>
    <n v="483.21123600000004"/>
    <n v="-9516.7887640000008"/>
  </r>
  <r>
    <x v="2"/>
    <s v="LI"/>
    <s v="College"/>
    <s v="Rent"/>
    <n v="1"/>
    <n v="0"/>
    <n v="12089.162399999999"/>
    <n v="8825.0885519999993"/>
    <n v="-174.91144800000075"/>
  </r>
  <r>
    <x v="0"/>
    <s v="HI"/>
    <s v="High School"/>
    <s v="Mortgage"/>
    <n v="0"/>
    <n v="1"/>
    <n v="2365.0704000000001"/>
    <n v="1726.5013919999999"/>
    <n v="-3273.4986079999999"/>
  </r>
  <r>
    <x v="0"/>
    <s v="HI"/>
    <s v="High School"/>
    <s v="Own"/>
    <n v="1"/>
    <n v="1"/>
    <n v="4812.96"/>
    <n v="3513.4607999999998"/>
    <n v="-4486.5392000000002"/>
  </r>
  <r>
    <x v="2"/>
    <s v="MI"/>
    <s v="High School"/>
    <s v="Rent"/>
    <n v="1"/>
    <n v="1"/>
    <n v="8428.6272000000008"/>
    <n v="6152.8978560000005"/>
    <n v="-2847.1021439999995"/>
  </r>
  <r>
    <x v="2"/>
    <s v="LI"/>
    <s v="Masters"/>
    <s v="Rent"/>
    <n v="0"/>
    <n v="1"/>
    <n v="11994.672"/>
    <n v="8756.110560000001"/>
    <n v="3756.110560000001"/>
  </r>
  <r>
    <x v="2"/>
    <s v="HI"/>
    <s v="High School"/>
    <s v="Rent"/>
    <n v="1"/>
    <n v="1"/>
    <n v="3418.3476000000001"/>
    <n v="2495.393748"/>
    <n v="1495.393748"/>
  </r>
  <r>
    <x v="2"/>
    <s v="HI"/>
    <s v="Masters"/>
    <s v="Rent"/>
    <n v="0"/>
    <n v="1"/>
    <n v="2639.0016000000001"/>
    <n v="1926.471168"/>
    <n v="-73.528831999999966"/>
  </r>
  <r>
    <x v="0"/>
    <s v="MI"/>
    <s v="Bachelor"/>
    <s v="Mortgage"/>
    <n v="1"/>
    <n v="1"/>
    <n v="1306.98"/>
    <n v="954.09540000000004"/>
    <n v="-5045.9045999999998"/>
  </r>
  <r>
    <x v="1"/>
    <s v="HI"/>
    <s v="PhD"/>
    <s v="Own"/>
    <n v="1"/>
    <n v="1"/>
    <n v="2343.3000000000002"/>
    <n v="1710.6090000000002"/>
    <n v="1710.6090000000002"/>
  </r>
  <r>
    <x v="0"/>
    <s v="LI"/>
    <s v="High School"/>
    <s v="Rent"/>
    <n v="1"/>
    <n v="1"/>
    <n v="793.16159999999991"/>
    <n v="579.00796799999989"/>
    <n v="-7420.9920320000001"/>
  </r>
  <r>
    <x v="1"/>
    <s v="MI"/>
    <s v="NA"/>
    <s v="Mortgage"/>
    <n v="0"/>
    <n v="1"/>
    <n v="7709.25"/>
    <n v="5627.7524999999996"/>
    <n v="3627.7524999999996"/>
  </r>
  <r>
    <x v="2"/>
    <s v="MI"/>
    <s v="Bachelor"/>
    <s v="Mortgage"/>
    <n v="1"/>
    <n v="1"/>
    <n v="12869.5008"/>
    <n v="9394.735584"/>
    <n v="-605.26441599999998"/>
  </r>
  <r>
    <x v="1"/>
    <s v="LI"/>
    <s v="College"/>
    <s v="Rent"/>
    <n v="1"/>
    <n v="0"/>
    <n v="5401.2420000000002"/>
    <n v="3942.9066600000001"/>
    <n v="2942.9066600000001"/>
  </r>
  <r>
    <x v="2"/>
    <s v="HI"/>
    <s v="Masters"/>
    <s v="Mortgage"/>
    <n v="1"/>
    <n v="1"/>
    <n v="6532.9367999999995"/>
    <n v="4769.0438639999993"/>
    <n v="1769.0438639999993"/>
  </r>
  <r>
    <x v="1"/>
    <s v="MI"/>
    <s v="High School"/>
    <s v="Rent"/>
    <n v="1"/>
    <n v="0"/>
    <n v="2614.4159999999997"/>
    <n v="1908.5236799999998"/>
    <n v="-4091.4763200000002"/>
  </r>
  <r>
    <x v="2"/>
    <s v="MI"/>
    <s v="High School"/>
    <s v="Own"/>
    <n v="1"/>
    <n v="1"/>
    <n v="5544.2304000000004"/>
    <n v="4047.288192"/>
    <n v="-2952.711808"/>
  </r>
  <r>
    <x v="0"/>
    <s v="LI"/>
    <s v="Bachelor"/>
    <s v="Own"/>
    <n v="1"/>
    <n v="1"/>
    <n v="7690.6367999999993"/>
    <n v="5614.1648639999994"/>
    <n v="4614.1648639999994"/>
  </r>
  <r>
    <x v="0"/>
    <s v="HI"/>
    <s v="Bachelor"/>
    <s v="Rent"/>
    <n v="1"/>
    <n v="1"/>
    <n v="6699.7824000000001"/>
    <n v="4890.841152"/>
    <n v="-1109.158848"/>
  </r>
  <r>
    <x v="0"/>
    <s v="MI"/>
    <s v="NA"/>
    <s v="Mortgage"/>
    <n v="1"/>
    <n v="0"/>
    <n v="1269.0036"/>
    <n v="926.37262799999996"/>
    <n v="-4073.6273719999999"/>
  </r>
  <r>
    <x v="2"/>
    <s v="MI"/>
    <s v="Bachelor"/>
    <s v="Own"/>
    <n v="0"/>
    <n v="1"/>
    <n v="5127.78"/>
    <n v="3743.2793999999999"/>
    <n v="-256.7206000000001"/>
  </r>
  <r>
    <x v="0"/>
    <s v="HI"/>
    <s v="Bachelor"/>
    <s v="Own"/>
    <n v="1"/>
    <n v="1"/>
    <n v="2105.0855999999999"/>
    <n v="1536.7124879999999"/>
    <n v="-5463.2875119999999"/>
  </r>
  <r>
    <x v="2"/>
    <s v="MI"/>
    <s v="High School"/>
    <s v="Mortgage"/>
    <n v="0"/>
    <n v="1"/>
    <n v="4433.0664000000006"/>
    <n v="3236.1384720000005"/>
    <n v="236.13847200000055"/>
  </r>
  <r>
    <x v="2"/>
    <s v="HI"/>
    <s v="High School"/>
    <s v="Mortgage"/>
    <n v="0"/>
    <n v="1"/>
    <n v="8041.2864"/>
    <n v="5870.1390719999999"/>
    <n v="2870.1390719999999"/>
  </r>
  <r>
    <x v="1"/>
    <s v="HI"/>
    <s v="High School"/>
    <s v="Rent"/>
    <n v="0"/>
    <n v="0"/>
    <n v="2964.7296000000001"/>
    <n v="2164.2526080000002"/>
    <n v="-7835.7473919999993"/>
  </r>
  <r>
    <x v="0"/>
    <s v="HI"/>
    <s v="Masters"/>
    <s v="Mortgage"/>
    <n v="0"/>
    <n v="1"/>
    <n v="2507.6052"/>
    <n v="1830.551796"/>
    <n v="-8169.4482040000003"/>
  </r>
  <r>
    <x v="2"/>
    <s v="LI"/>
    <s v="NA"/>
    <s v="Own"/>
    <n v="0"/>
    <n v="0"/>
    <n v="7268.2679999999991"/>
    <n v="5305.8356399999993"/>
    <n v="-1694.1643600000007"/>
  </r>
  <r>
    <x v="0"/>
    <s v="MI"/>
    <s v="Bachelor"/>
    <s v="Own"/>
    <n v="0"/>
    <n v="1"/>
    <n v="8978.4000000000015"/>
    <n v="6554.2320000000009"/>
    <n v="1554.2320000000009"/>
  </r>
  <r>
    <x v="2"/>
    <s v="MI"/>
    <s v="College"/>
    <s v="Mortgage"/>
    <n v="1"/>
    <n v="1"/>
    <n v="5174.9615999999996"/>
    <n v="3777.7219679999998"/>
    <n v="-3222.2780320000002"/>
  </r>
  <r>
    <x v="1"/>
    <s v="MI"/>
    <s v="College"/>
    <s v="Own"/>
    <n v="0"/>
    <n v="0"/>
    <n v="11731.08"/>
    <n v="8563.6883999999991"/>
    <n v="563.68839999999909"/>
  </r>
  <r>
    <x v="1"/>
    <s v="HI"/>
    <s v="High School"/>
    <s v="Own"/>
    <n v="1"/>
    <n v="1"/>
    <n v="9273.6"/>
    <n v="6769.7280000000001"/>
    <n v="-2230.2719999999999"/>
  </r>
  <r>
    <x v="2"/>
    <s v="MI"/>
    <s v="MD"/>
    <s v="Rent"/>
    <n v="0"/>
    <n v="1"/>
    <n v="7050.7584000000006"/>
    <n v="5147.0536320000001"/>
    <n v="-2852.9463679999999"/>
  </r>
  <r>
    <x v="2"/>
    <s v="HI"/>
    <s v="High School"/>
    <s v="Rent"/>
    <n v="1"/>
    <n v="0"/>
    <n v="991.9584000000001"/>
    <n v="724.12963200000002"/>
    <n v="-1275.8703679999999"/>
  </r>
  <r>
    <x v="0"/>
    <s v="LI"/>
    <s v="Bachelor"/>
    <s v="Own"/>
    <n v="0"/>
    <n v="1"/>
    <n v="4246.71"/>
    <n v="3100.0983000000001"/>
    <n v="1100.0983000000001"/>
  </r>
  <r>
    <x v="2"/>
    <s v="HI"/>
    <s v="High School"/>
    <s v="Own"/>
    <n v="1"/>
    <n v="0"/>
    <n v="8812.83"/>
    <n v="6433.3658999999998"/>
    <n v="1433.3658999999998"/>
  </r>
  <r>
    <x v="0"/>
    <s v="HI"/>
    <s v="PhD"/>
    <s v="Mortgage"/>
    <n v="0"/>
    <n v="0"/>
    <n v="13551.513599999998"/>
    <n v="9892.6049279999988"/>
    <n v="1892.6049279999988"/>
  </r>
  <r>
    <x v="0"/>
    <s v="HI"/>
    <s v="College"/>
    <s v="Own"/>
    <n v="1"/>
    <n v="1"/>
    <n v="9437.1"/>
    <n v="6889.0830000000005"/>
    <n v="-3110.9169999999995"/>
  </r>
  <r>
    <x v="0"/>
    <s v="MI"/>
    <s v="Bachelor"/>
    <s v="Mortgage"/>
    <n v="1"/>
    <n v="0"/>
    <n v="6431.8212000000003"/>
    <n v="4695.2294760000004"/>
    <n v="-4304.7705239999996"/>
  </r>
  <r>
    <x v="0"/>
    <s v="MI"/>
    <s v="High School"/>
    <s v="Rent"/>
    <n v="0"/>
    <n v="1"/>
    <n v="1492.98"/>
    <n v="1089.8753999999999"/>
    <n v="-6910.1246000000001"/>
  </r>
  <r>
    <x v="0"/>
    <s v="LI"/>
    <s v="MD"/>
    <s v="Rent"/>
    <n v="1"/>
    <n v="1"/>
    <n v="530.64"/>
    <n v="387.36719999999997"/>
    <n v="-5612.6328000000003"/>
  </r>
  <r>
    <x v="2"/>
    <s v="LI"/>
    <s v="Bachelor"/>
    <s v="Rent"/>
    <n v="1"/>
    <n v="0"/>
    <n v="4025.6363999999999"/>
    <n v="2938.7145719999999"/>
    <n v="-1061.2854280000001"/>
  </r>
  <r>
    <x v="1"/>
    <s v="LI"/>
    <s v="High School"/>
    <s v="Mortgage"/>
    <n v="1"/>
    <n v="1"/>
    <n v="14303.52"/>
    <n v="10441.569600000001"/>
    <n v="10441.569600000001"/>
  </r>
  <r>
    <x v="1"/>
    <s v="MI"/>
    <s v="High School"/>
    <s v="Rent"/>
    <n v="1"/>
    <n v="1"/>
    <n v="1880.9856000000002"/>
    <n v="1373.119488"/>
    <n v="373.11948800000005"/>
  </r>
  <r>
    <x v="2"/>
    <s v="MI"/>
    <s v="Masters"/>
    <s v="Rent"/>
    <n v="1"/>
    <n v="1"/>
    <n v="14856.500399999999"/>
    <n v="10845.245292"/>
    <n v="5845.2452919999996"/>
  </r>
  <r>
    <x v="1"/>
    <s v="LI"/>
    <s v="Masters"/>
    <s v="Own"/>
    <n v="1"/>
    <n v="1"/>
    <n v="5482.56"/>
    <n v="4002.2688000000003"/>
    <n v="-1997.7311999999997"/>
  </r>
  <r>
    <x v="0"/>
    <s v="LI"/>
    <s v="Bachelor"/>
    <s v="Rent"/>
    <n v="0"/>
    <n v="0"/>
    <n v="13627.56"/>
    <n v="9948.1188000000002"/>
    <n v="948.11880000000019"/>
  </r>
  <r>
    <x v="0"/>
    <s v="MI"/>
    <s v="Masters"/>
    <s v="Mortgage"/>
    <n v="1"/>
    <n v="1"/>
    <n v="1720.8000000000002"/>
    <n v="1256.1840000000002"/>
    <n v="-4743.8159999999998"/>
  </r>
  <r>
    <x v="0"/>
    <s v="MI"/>
    <s v="Bachelor"/>
    <s v="Mortgage"/>
    <n v="0"/>
    <n v="1"/>
    <n v="2220.0360000000001"/>
    <n v="1620.62628"/>
    <n v="1620.62628"/>
  </r>
  <r>
    <x v="0"/>
    <s v="LI"/>
    <s v="Bachelor"/>
    <s v="Rent"/>
    <n v="1"/>
    <n v="1"/>
    <n v="8326.2899999999991"/>
    <n v="6078.1916999999994"/>
    <n v="2078.1916999999994"/>
  </r>
  <r>
    <x v="2"/>
    <s v="MI"/>
    <s v="Masters"/>
    <s v="Mortgage"/>
    <n v="0"/>
    <n v="1"/>
    <n v="3704.4288000000001"/>
    <n v="2704.2330240000001"/>
    <n v="-7295.7669759999999"/>
  </r>
  <r>
    <x v="2"/>
    <s v="MI"/>
    <s v="Bachelor"/>
    <s v="Rent"/>
    <n v="1"/>
    <n v="1"/>
    <n v="2377.3679999999999"/>
    <n v="1735.4786399999998"/>
    <n v="-7264.5213600000006"/>
  </r>
  <r>
    <x v="0"/>
    <s v="MI"/>
    <s v="High School"/>
    <s v="Rent"/>
    <n v="1"/>
    <n v="0"/>
    <n v="11432.52"/>
    <n v="8345.7396000000008"/>
    <n v="-1654.2603999999992"/>
  </r>
  <r>
    <x v="0"/>
    <s v="MI"/>
    <s v="Masters"/>
    <s v="Mortgage"/>
    <n v="1"/>
    <n v="0"/>
    <n v="3992.6772000000001"/>
    <n v="2914.654356"/>
    <n v="-1085.345644"/>
  </r>
  <r>
    <x v="0"/>
    <s v="MI"/>
    <s v="High School"/>
    <s v="Rent"/>
    <n v="1"/>
    <n v="0"/>
    <n v="9826.5720000000001"/>
    <n v="7173.3975600000003"/>
    <n v="3173.3975600000003"/>
  </r>
  <r>
    <x v="0"/>
    <s v="MI"/>
    <s v="MD"/>
    <s v="Mortgage"/>
    <n v="1"/>
    <n v="0"/>
    <n v="3441.69"/>
    <n v="2512.4337"/>
    <n v="-4487.5663000000004"/>
  </r>
  <r>
    <x v="2"/>
    <s v="MI"/>
    <s v="Bachelor"/>
    <s v="Mortgage"/>
    <n v="0"/>
    <n v="1"/>
    <n v="1000.9115999999999"/>
    <n v="730.66546799999992"/>
    <n v="-8269.3345320000008"/>
  </r>
  <r>
    <x v="2"/>
    <s v="MI"/>
    <s v="Bachelor"/>
    <s v="Mortgage"/>
    <n v="1"/>
    <n v="1"/>
    <n v="914.04"/>
    <n v="667.24919999999997"/>
    <n v="-6332.7507999999998"/>
  </r>
  <r>
    <x v="2"/>
    <s v="MI"/>
    <s v="Masters"/>
    <s v="Mortgage"/>
    <n v="0"/>
    <n v="1"/>
    <n v="6211.68"/>
    <n v="4534.5263999999997"/>
    <n v="-1465.4736000000003"/>
  </r>
  <r>
    <x v="0"/>
    <s v="HI"/>
    <s v="Bachelor"/>
    <s v="Mortgage"/>
    <n v="1"/>
    <n v="1"/>
    <n v="10573.190400000001"/>
    <n v="7718.428992000001"/>
    <n v="7718.428992000001"/>
  </r>
  <r>
    <x v="1"/>
    <s v="MI"/>
    <s v="High School"/>
    <s v="Rent"/>
    <n v="1"/>
    <n v="1"/>
    <n v="10661.736000000001"/>
    <n v="7783.0672800000002"/>
    <n v="-216.93271999999979"/>
  </r>
  <r>
    <x v="2"/>
    <s v="LI"/>
    <s v="Bachelor"/>
    <s v="Rent"/>
    <n v="1"/>
    <n v="1"/>
    <n v="3479.8500000000004"/>
    <n v="2540.2905000000001"/>
    <n v="-3459.7094999999999"/>
  </r>
  <r>
    <x v="2"/>
    <s v="LI"/>
    <s v="Bachelor"/>
    <s v="Rent"/>
    <n v="0"/>
    <n v="1"/>
    <n v="1756.5"/>
    <n v="1282.2449999999999"/>
    <n v="-4717.7550000000001"/>
  </r>
  <r>
    <x v="1"/>
    <s v="LI"/>
    <s v="Bachelor"/>
    <s v="Mortgage"/>
    <n v="1"/>
    <n v="1"/>
    <n v="9644.6999999999989"/>
    <n v="7040.6309999999994"/>
    <n v="6040.6309999999994"/>
  </r>
  <r>
    <x v="0"/>
    <s v="MI"/>
    <s v="Bachelor"/>
    <s v="Own"/>
    <n v="1"/>
    <n v="1"/>
    <n v="1888.56"/>
    <n v="1378.6487999999999"/>
    <n v="-1621.3512000000001"/>
  </r>
  <r>
    <x v="0"/>
    <s v="MI"/>
    <s v="College"/>
    <s v="Mortgage"/>
    <n v="1"/>
    <n v="0"/>
    <n v="4086.24"/>
    <n v="2982.9551999999999"/>
    <n v="982.95519999999988"/>
  </r>
  <r>
    <x v="0"/>
    <s v="HI"/>
    <s v="College"/>
    <s v="Mortgage"/>
    <n v="1"/>
    <n v="1"/>
    <n v="3687.1295999999998"/>
    <n v="2691.6046079999996"/>
    <n v="-7308.3953920000004"/>
  </r>
  <r>
    <x v="1"/>
    <s v="MI"/>
    <s v="PhD"/>
    <s v="Rent"/>
    <n v="0"/>
    <n v="0"/>
    <n v="6919.6463999999996"/>
    <n v="5051.341872"/>
    <n v="-948.65812800000003"/>
  </r>
  <r>
    <x v="2"/>
    <s v="MI"/>
    <s v="Masters"/>
    <s v="Rent"/>
    <n v="0"/>
    <n v="1"/>
    <n v="2019.4559999999999"/>
    <n v="1474.2028799999998"/>
    <n v="-4525.7971200000002"/>
  </r>
  <r>
    <x v="2"/>
    <s v="MI"/>
    <s v="High School"/>
    <s v="Rent"/>
    <n v="1"/>
    <n v="1"/>
    <n v="10884.6396"/>
    <n v="7945.786908"/>
    <n v="945.78690800000004"/>
  </r>
  <r>
    <x v="2"/>
    <s v="LI"/>
    <s v="High School"/>
    <s v="Rent"/>
    <n v="1"/>
    <n v="1"/>
    <n v="3624"/>
    <n v="2645.52"/>
    <n v="-6354.48"/>
  </r>
  <r>
    <x v="2"/>
    <s v="MI"/>
    <s v="High School"/>
    <s v="Rent"/>
    <n v="0"/>
    <n v="1"/>
    <n v="8437.6403999999984"/>
    <n v="6159.4774919999991"/>
    <n v="4159.4774919999991"/>
  </r>
  <r>
    <x v="2"/>
    <s v="LI"/>
    <s v="MD"/>
    <s v="Mortgage"/>
    <n v="1"/>
    <n v="1"/>
    <n v="8803.2504000000008"/>
    <n v="6426.3727920000001"/>
    <n v="4426.3727920000001"/>
  </r>
  <r>
    <x v="0"/>
    <s v="MI"/>
    <s v="Bachelor"/>
    <s v="Own"/>
    <n v="0"/>
    <n v="1"/>
    <n v="9001.5048000000006"/>
    <n v="6571.0985040000005"/>
    <n v="571.0985040000005"/>
  </r>
  <r>
    <x v="0"/>
    <s v="HI"/>
    <s v="High School"/>
    <s v="Own"/>
    <n v="0"/>
    <n v="1"/>
    <n v="4410.24"/>
    <n v="3219.4751999999999"/>
    <n v="-5780.5248000000001"/>
  </r>
  <r>
    <x v="2"/>
    <s v="HI"/>
    <s v="Bachelor"/>
    <s v="Mortgage"/>
    <n v="1"/>
    <n v="0"/>
    <n v="5175.0960000000005"/>
    <n v="3777.8200800000004"/>
    <n v="-5222.1799199999996"/>
  </r>
  <r>
    <x v="2"/>
    <s v="HI"/>
    <s v="College"/>
    <s v="Mortgage"/>
    <n v="1"/>
    <n v="1"/>
    <n v="10124.4"/>
    <n v="7390.8119999999999"/>
    <n v="5390.8119999999999"/>
  </r>
  <r>
    <x v="0"/>
    <s v="LI"/>
    <s v="High School"/>
    <s v="Own"/>
    <n v="0"/>
    <n v="1"/>
    <n v="7488.9143999999997"/>
    <n v="5466.9075119999998"/>
    <n v="2466.9075119999998"/>
  </r>
  <r>
    <x v="0"/>
    <s v="MI"/>
    <s v="High School"/>
    <s v="Own"/>
    <n v="1"/>
    <n v="1"/>
    <n v="9441.6299999999992"/>
    <n v="6892.3898999999992"/>
    <n v="4892.3898999999992"/>
  </r>
  <r>
    <x v="0"/>
    <s v="HI"/>
    <s v="Bachelor"/>
    <s v="Mortgage"/>
    <n v="1"/>
    <n v="0"/>
    <n v="3636.5616"/>
    <n v="2654.6899680000001"/>
    <n v="-6345.3100319999994"/>
  </r>
  <r>
    <x v="2"/>
    <s v="LI"/>
    <s v="High School"/>
    <s v="Mortgage"/>
    <n v="1"/>
    <n v="0"/>
    <n v="2527.4495999999999"/>
    <n v="1845.0382079999999"/>
    <n v="-7154.9617920000001"/>
  </r>
  <r>
    <x v="1"/>
    <s v="MI"/>
    <s v="Bachelor"/>
    <s v="Own"/>
    <n v="1"/>
    <n v="1"/>
    <n v="1303.932"/>
    <n v="951.87036000000001"/>
    <n v="-6048.1296400000001"/>
  </r>
  <r>
    <x v="2"/>
    <s v="LI"/>
    <s v="High School"/>
    <s v="Mortgage"/>
    <n v="1"/>
    <n v="0"/>
    <n v="9794.1959999999999"/>
    <n v="7149.7630799999997"/>
    <n v="-2850.2369200000003"/>
  </r>
  <r>
    <x v="2"/>
    <s v="HI"/>
    <s v="Bachelor"/>
    <s v="Rent"/>
    <n v="0"/>
    <n v="1"/>
    <n v="5810.2632000000003"/>
    <n v="4241.4921359999998"/>
    <n v="-4758.5078640000002"/>
  </r>
  <r>
    <x v="0"/>
    <s v="MI"/>
    <s v="High School"/>
    <s v="Mortgage"/>
    <n v="1"/>
    <n v="1"/>
    <n v="753.18"/>
    <n v="549.82139999999993"/>
    <n v="-450.17860000000007"/>
  </r>
  <r>
    <x v="2"/>
    <s v="MI"/>
    <s v="Bachelor"/>
    <s v="Rent"/>
    <n v="0"/>
    <n v="0"/>
    <n v="1014.7284000000001"/>
    <n v="740.75173200000006"/>
    <n v="-8259.2482679999994"/>
  </r>
  <r>
    <x v="0"/>
    <s v="MI"/>
    <s v="Bachelor"/>
    <s v="Mortgage"/>
    <n v="0"/>
    <n v="1"/>
    <n v="7828.7039999999997"/>
    <n v="5714.9539199999999"/>
    <n v="-2285.0460800000001"/>
  </r>
  <r>
    <x v="0"/>
    <s v="MI"/>
    <s v="MD"/>
    <s v="Mortgage"/>
    <n v="0"/>
    <n v="1"/>
    <n v="9920.097600000001"/>
    <n v="7241.6712480000006"/>
    <n v="2241.6712480000006"/>
  </r>
  <r>
    <x v="2"/>
    <s v="MI"/>
    <s v="Bachelor"/>
    <s v="Rent"/>
    <n v="1"/>
    <n v="1"/>
    <n v="4443.5519999999997"/>
    <n v="3243.7929599999998"/>
    <n v="-756.20704000000023"/>
  </r>
  <r>
    <x v="2"/>
    <s v="HI"/>
    <s v="High School"/>
    <s v="Own"/>
    <n v="1"/>
    <n v="1"/>
    <n v="3988.71"/>
    <n v="2911.7583"/>
    <n v="-7088.2417000000005"/>
  </r>
  <r>
    <x v="2"/>
    <s v="MI"/>
    <s v="MD"/>
    <s v="Rent"/>
    <n v="1"/>
    <n v="0"/>
    <n v="12752.796"/>
    <n v="9309.5410800000009"/>
    <n v="3309.5410800000009"/>
  </r>
  <r>
    <x v="1"/>
    <s v="LI"/>
    <s v="High School"/>
    <s v="Rent"/>
    <n v="1"/>
    <n v="1"/>
    <n v="6036.6432000000004"/>
    <n v="4406.7495360000003"/>
    <n v="-1593.2504639999997"/>
  </r>
  <r>
    <x v="0"/>
    <s v="HI"/>
    <s v="Bachelor"/>
    <s v="Mortgage"/>
    <n v="0"/>
    <n v="1"/>
    <n v="15910.444799999999"/>
    <n v="11614.624704"/>
    <n v="6614.6247039999998"/>
  </r>
  <r>
    <x v="0"/>
    <s v="HI"/>
    <s v="College"/>
    <s v="Own"/>
    <n v="0"/>
    <n v="0"/>
    <n v="11183.7804"/>
    <n v="8164.1596919999993"/>
    <n v="164.15969199999927"/>
  </r>
  <r>
    <x v="2"/>
    <s v="HI"/>
    <s v="Bachelor"/>
    <s v="Mortgage"/>
    <n v="1"/>
    <n v="1"/>
    <n v="7581.1787999999997"/>
    <n v="5534.2605239999994"/>
    <n v="5534.2605239999994"/>
  </r>
  <r>
    <x v="1"/>
    <s v="LI"/>
    <s v="PhD"/>
    <s v="Mortgage"/>
    <n v="1"/>
    <n v="1"/>
    <n v="5424.1992"/>
    <n v="3959.6654159999998"/>
    <n v="2959.6654159999998"/>
  </r>
  <r>
    <x v="2"/>
    <s v="LI"/>
    <s v="High School"/>
    <s v="Own"/>
    <n v="1"/>
    <n v="0"/>
    <n v="4207.1724000000004"/>
    <n v="3071.2358520000002"/>
    <n v="-5928.7641480000002"/>
  </r>
  <r>
    <x v="0"/>
    <s v="HI"/>
    <s v="Bachelor"/>
    <s v="Rent"/>
    <n v="1"/>
    <n v="1"/>
    <n v="5117.2775999999994"/>
    <n v="3735.6126479999994"/>
    <n v="1735.6126479999994"/>
  </r>
  <r>
    <x v="2"/>
    <s v="HI"/>
    <s v="NA"/>
    <s v="Mortgage"/>
    <n v="1"/>
    <n v="1"/>
    <n v="9537.48"/>
    <n v="6962.3603999999996"/>
    <n v="-2037.6396000000004"/>
  </r>
  <r>
    <x v="1"/>
    <s v="LI"/>
    <s v="Masters"/>
    <s v="Own"/>
    <n v="1"/>
    <n v="0"/>
    <n v="9450.81"/>
    <n v="6899.0912999999991"/>
    <n v="899.09129999999914"/>
  </r>
  <r>
    <x v="2"/>
    <s v="HI"/>
    <s v="Masters"/>
    <s v="Rent"/>
    <n v="1"/>
    <n v="0"/>
    <n v="6859.08"/>
    <n v="5007.1283999999996"/>
    <n v="2007.1283999999996"/>
  </r>
  <r>
    <x v="0"/>
    <s v="HI"/>
    <s v="Bachelor"/>
    <s v="Own"/>
    <n v="1"/>
    <n v="1"/>
    <n v="7151.1480000000001"/>
    <n v="5220.3380399999996"/>
    <n v="-2779.6619600000004"/>
  </r>
  <r>
    <x v="0"/>
    <s v="MI"/>
    <s v="Masters"/>
    <s v="Own"/>
    <n v="1"/>
    <n v="1"/>
    <n v="3096"/>
    <n v="2260.08"/>
    <n v="-7739.92"/>
  </r>
  <r>
    <x v="0"/>
    <s v="LI"/>
    <s v="Bachelor"/>
    <s v="Own"/>
    <n v="0"/>
    <n v="1"/>
    <n v="15370.9884"/>
    <n v="11220.821532"/>
    <n v="10220.821532"/>
  </r>
  <r>
    <x v="1"/>
    <s v="LI"/>
    <s v="Bachelor"/>
    <s v="Rent"/>
    <n v="1"/>
    <n v="1"/>
    <n v="4949.4564"/>
    <n v="3613.1031720000001"/>
    <n v="-3386.8968279999999"/>
  </r>
  <r>
    <x v="2"/>
    <s v="HI"/>
    <s v="Bachelor"/>
    <s v="Mortgage"/>
    <n v="1"/>
    <n v="1"/>
    <n v="6542.6592000000001"/>
    <n v="4776.141216"/>
    <n v="-3223.858784"/>
  </r>
  <r>
    <x v="2"/>
    <s v="HI"/>
    <s v="MD"/>
    <s v="Rent"/>
    <n v="0"/>
    <n v="1"/>
    <n v="1444.08"/>
    <n v="1054.1784"/>
    <n v="-5945.8216000000002"/>
  </r>
  <r>
    <x v="2"/>
    <s v="LI"/>
    <s v="High School"/>
    <s v="Rent"/>
    <n v="1"/>
    <n v="0"/>
    <n v="12695.032800000001"/>
    <n v="9267.3739440000008"/>
    <n v="2267.3739440000008"/>
  </r>
  <r>
    <x v="1"/>
    <s v="MI"/>
    <s v="Bachelor"/>
    <s v="Rent"/>
    <n v="1"/>
    <n v="0"/>
    <n v="495.48"/>
    <n v="361.7004"/>
    <n v="-9638.2996000000003"/>
  </r>
  <r>
    <x v="1"/>
    <s v="MI"/>
    <s v="Masters"/>
    <s v="Rent"/>
    <n v="1"/>
    <n v="1"/>
    <n v="1046.5968"/>
    <n v="764.01566400000002"/>
    <n v="-8235.9843359999995"/>
  </r>
  <r>
    <x v="0"/>
    <s v="MI"/>
    <s v="Bachelor"/>
    <s v="Own"/>
    <n v="1"/>
    <n v="0"/>
    <n v="656.34"/>
    <n v="479.12819999999999"/>
    <n v="-7520.8717999999999"/>
  </r>
  <r>
    <x v="2"/>
    <s v="HI"/>
    <s v="Bachelor"/>
    <s v="Mortgage"/>
    <n v="0"/>
    <n v="1"/>
    <n v="4373.28"/>
    <n v="3192.4943999999996"/>
    <n v="-1807.5056000000004"/>
  </r>
  <r>
    <x v="2"/>
    <s v="MI"/>
    <s v="Bachelor"/>
    <s v="Mortgage"/>
    <n v="0"/>
    <n v="0"/>
    <n v="2272.7711999999997"/>
    <n v="1659.1229759999997"/>
    <n v="659.12297599999965"/>
  </r>
  <r>
    <x v="0"/>
    <s v="LI"/>
    <s v="High School"/>
    <s v="Mortgage"/>
    <n v="1"/>
    <n v="1"/>
    <n v="10673.812800000002"/>
    <n v="7791.8833440000008"/>
    <n v="-208.11665599999924"/>
  </r>
  <r>
    <x v="2"/>
    <s v="MI"/>
    <s v="College"/>
    <s v="Mortgage"/>
    <n v="1"/>
    <n v="0"/>
    <n v="6595.8720000000003"/>
    <n v="4814.9865600000003"/>
    <n v="-2185.0134399999997"/>
  </r>
  <r>
    <x v="0"/>
    <s v="MI"/>
    <s v="Bachelor"/>
    <s v="Mortgage"/>
    <n v="1"/>
    <n v="1"/>
    <n v="9165.6576000000005"/>
    <n v="6690.9300480000002"/>
    <n v="-309.06995199999983"/>
  </r>
  <r>
    <x v="2"/>
    <s v="MI"/>
    <s v="Bachelor"/>
    <s v="Own"/>
    <n v="1"/>
    <n v="1"/>
    <n v="7325.3087999999998"/>
    <n v="5347.4754239999993"/>
    <n v="-3652.5245760000007"/>
  </r>
  <r>
    <x v="2"/>
    <s v="HI"/>
    <s v="NA"/>
    <s v="Mortgage"/>
    <n v="1"/>
    <n v="0"/>
    <n v="6665.8211999999994"/>
    <n v="4866.0494759999992"/>
    <n v="2866.0494759999992"/>
  </r>
  <r>
    <x v="2"/>
    <s v="HI"/>
    <s v="High School"/>
    <s v="Own"/>
    <n v="1"/>
    <n v="1"/>
    <n v="10290.0672"/>
    <n v="7511.7490559999997"/>
    <n v="511.74905599999965"/>
  </r>
  <r>
    <x v="2"/>
    <s v="HI"/>
    <s v="College"/>
    <s v="Own"/>
    <n v="1"/>
    <n v="1"/>
    <n v="13663.1448"/>
    <n v="9974.0957039999994"/>
    <n v="6974.0957039999994"/>
  </r>
  <r>
    <x v="2"/>
    <s v="HI"/>
    <s v="Bachelor"/>
    <s v="Own"/>
    <n v="1"/>
    <n v="1"/>
    <n v="8022.9743999999992"/>
    <n v="5856.7713119999989"/>
    <n v="3856.7713119999989"/>
  </r>
  <r>
    <x v="2"/>
    <s v="MI"/>
    <s v="Bachelor"/>
    <s v="Mortgage"/>
    <n v="1"/>
    <n v="0"/>
    <n v="5141.88"/>
    <n v="3753.5724"/>
    <n v="-3246.4276"/>
  </r>
  <r>
    <x v="0"/>
    <s v="MI"/>
    <s v="High School"/>
    <s v="Mortgage"/>
    <n v="1"/>
    <n v="1"/>
    <n v="8016.8255999999992"/>
    <n v="5852.2826879999993"/>
    <n v="-1147.7173120000007"/>
  </r>
  <r>
    <x v="0"/>
    <s v="MI"/>
    <s v="High School"/>
    <s v="Own"/>
    <n v="1"/>
    <n v="0"/>
    <n v="10850.043600000001"/>
    <n v="7920.5318280000001"/>
    <n v="-1079.4681719999999"/>
  </r>
  <r>
    <x v="2"/>
    <s v="MI"/>
    <s v="Bachelor"/>
    <s v="Rent"/>
    <n v="0"/>
    <n v="1"/>
    <n v="8272.4915999999994"/>
    <n v="6038.9188679999997"/>
    <n v="-1961.0811320000003"/>
  </r>
  <r>
    <x v="2"/>
    <s v="MI"/>
    <s v="Bachelor"/>
    <s v="Own"/>
    <n v="1"/>
    <n v="0"/>
    <n v="14695.29"/>
    <n v="10727.5617"/>
    <n v="1727.5617000000002"/>
  </r>
  <r>
    <x v="0"/>
    <s v="MI"/>
    <s v="College"/>
    <s v="Mortgage"/>
    <n v="0"/>
    <n v="1"/>
    <n v="12351.6288"/>
    <n v="9016.6890239999993"/>
    <n v="7016.6890239999993"/>
  </r>
  <r>
    <x v="2"/>
    <s v="MI"/>
    <s v="Bachelor"/>
    <s v="Rent"/>
    <n v="1"/>
    <n v="1"/>
    <n v="2926.8528000000001"/>
    <n v="2136.6025439999999"/>
    <n v="1136.6025439999999"/>
  </r>
  <r>
    <x v="0"/>
    <s v="MI"/>
    <s v="High School"/>
    <s v="Mortgage"/>
    <n v="0"/>
    <n v="0"/>
    <n v="5319"/>
    <n v="3882.87"/>
    <n v="-5117.13"/>
  </r>
  <r>
    <x v="0"/>
    <s v="HI"/>
    <s v="College"/>
    <s v="Rent"/>
    <n v="0"/>
    <n v="1"/>
    <n v="2502.42"/>
    <n v="1826.7665999999999"/>
    <n v="-2173.2334000000001"/>
  </r>
  <r>
    <x v="0"/>
    <s v="HI"/>
    <s v="College"/>
    <s v="Mortgage"/>
    <n v="0"/>
    <n v="1"/>
    <n v="6253.26"/>
    <n v="4564.8797999999997"/>
    <n v="564.8797999999997"/>
  </r>
  <r>
    <x v="2"/>
    <s v="MI"/>
    <s v="MD"/>
    <s v="Rent"/>
    <n v="0"/>
    <n v="0"/>
    <n v="11981.222400000001"/>
    <n v="8746.2923520000004"/>
    <n v="6746.2923520000004"/>
  </r>
  <r>
    <x v="0"/>
    <s v="LI"/>
    <s v="Bachelor"/>
    <s v="Rent"/>
    <n v="0"/>
    <n v="1"/>
    <n v="7524.72"/>
    <n v="5493.0456000000004"/>
    <n v="-1506.9543999999996"/>
  </r>
  <r>
    <x v="0"/>
    <s v="HI"/>
    <s v="PhD"/>
    <s v="Mortgage"/>
    <n v="1"/>
    <n v="1"/>
    <n v="6200.64"/>
    <n v="4526.4672"/>
    <n v="-2473.5328"/>
  </r>
  <r>
    <x v="1"/>
    <s v="LI"/>
    <s v="Masters"/>
    <s v="Mortgage"/>
    <n v="0"/>
    <n v="1"/>
    <n v="2733.09"/>
    <n v="1995.1557"/>
    <n v="-1004.8443"/>
  </r>
  <r>
    <x v="0"/>
    <s v="LI"/>
    <s v="Bachelor"/>
    <s v="Mortgage"/>
    <n v="1"/>
    <n v="1"/>
    <n v="9859.3271999999997"/>
    <n v="7197.3088559999997"/>
    <n v="5197.3088559999997"/>
  </r>
  <r>
    <x v="2"/>
    <s v="HI"/>
    <s v="High School"/>
    <s v="Mortgage"/>
    <n v="1"/>
    <n v="1"/>
    <n v="2312.5248000000001"/>
    <n v="1688.143104"/>
    <n v="-4311.8568960000002"/>
  </r>
  <r>
    <x v="2"/>
    <s v="LI"/>
    <s v="Bachelor"/>
    <s v="Own"/>
    <n v="1"/>
    <n v="0"/>
    <n v="7401.3911999999991"/>
    <n v="5403.0155759999989"/>
    <n v="-596.98442400000113"/>
  </r>
  <r>
    <x v="0"/>
    <s v="LI"/>
    <s v="Masters"/>
    <s v="Rent"/>
    <n v="1"/>
    <n v="0"/>
    <n v="1139.28"/>
    <n v="831.67439999999999"/>
    <n v="-1168.3256000000001"/>
  </r>
  <r>
    <x v="2"/>
    <s v="MI"/>
    <s v="High School"/>
    <s v="Rent"/>
    <n v="1"/>
    <n v="1"/>
    <n v="5823.4704000000002"/>
    <n v="4251.1333919999997"/>
    <n v="-748.86660800000027"/>
  </r>
  <r>
    <x v="2"/>
    <s v="LI"/>
    <s v="Bachelor"/>
    <s v="Rent"/>
    <n v="1"/>
    <n v="1"/>
    <n v="6874.5"/>
    <n v="5018.3850000000002"/>
    <n v="-3981.6149999999998"/>
  </r>
  <r>
    <x v="2"/>
    <s v="HI"/>
    <s v="NA"/>
    <s v="Mortgage"/>
    <n v="0"/>
    <n v="0"/>
    <n v="1978.8"/>
    <n v="1444.5239999999999"/>
    <n v="-1555.4760000000001"/>
  </r>
  <r>
    <x v="2"/>
    <s v="MI"/>
    <s v="NA"/>
    <s v="Mortgage"/>
    <n v="1"/>
    <n v="0"/>
    <n v="10839.550799999999"/>
    <n v="7912.8720839999987"/>
    <n v="1912.8720839999987"/>
  </r>
  <r>
    <x v="0"/>
    <s v="MI"/>
    <s v="High School"/>
    <s v="Own"/>
    <n v="1"/>
    <n v="1"/>
    <n v="650.89919999999995"/>
    <n v="475.15641599999998"/>
    <n v="-3524.8435840000002"/>
  </r>
  <r>
    <x v="2"/>
    <s v="MI"/>
    <s v="Bachelor"/>
    <s v="Own"/>
    <n v="1"/>
    <n v="1"/>
    <n v="6249.4848000000002"/>
    <n v="4562.123904"/>
    <n v="-437.87609599999996"/>
  </r>
  <r>
    <x v="2"/>
    <s v="MI"/>
    <s v="Masters"/>
    <s v="Mortgage"/>
    <n v="1"/>
    <n v="1"/>
    <n v="9869.31"/>
    <n v="7204.5962999999992"/>
    <n v="-2795.4037000000008"/>
  </r>
  <r>
    <x v="2"/>
    <s v="HI"/>
    <s v="Bachelor"/>
    <s v="Rent"/>
    <n v="1"/>
    <n v="1"/>
    <n v="2952.8063999999999"/>
    <n v="2155.5486719999999"/>
    <n v="-4844.4513280000001"/>
  </r>
  <r>
    <x v="2"/>
    <s v="MI"/>
    <s v="Bachelor"/>
    <s v="Mortgage"/>
    <n v="1"/>
    <n v="1"/>
    <n v="1079.1143999999999"/>
    <n v="787.75351199999989"/>
    <n v="-9212.2464880000007"/>
  </r>
  <r>
    <x v="0"/>
    <s v="HI"/>
    <s v="PhD"/>
    <s v="Mortgage"/>
    <n v="0"/>
    <n v="1"/>
    <n v="5858.9243999999999"/>
    <n v="4277.0148119999994"/>
    <n v="-722.98518800000056"/>
  </r>
  <r>
    <x v="2"/>
    <s v="MI"/>
    <s v="High School"/>
    <s v="Mortgage"/>
    <n v="0"/>
    <n v="0"/>
    <n v="8581.65"/>
    <n v="6264.6044999999995"/>
    <n v="4264.6044999999995"/>
  </r>
  <r>
    <x v="2"/>
    <s v="MI"/>
    <s v="Bachelor"/>
    <s v="Mortgage"/>
    <n v="1"/>
    <n v="1"/>
    <n v="7568.9964"/>
    <n v="5525.3673719999997"/>
    <n v="-1474.6326280000003"/>
  </r>
  <r>
    <x v="0"/>
    <s v="MI"/>
    <s v="Bachelor"/>
    <s v="Mortgage"/>
    <n v="1"/>
    <n v="0"/>
    <n v="5002.3008"/>
    <n v="3651.679584"/>
    <n v="2651.679584"/>
  </r>
  <r>
    <x v="2"/>
    <s v="LI"/>
    <s v="Bachelor"/>
    <s v="Mortgage"/>
    <n v="1"/>
    <n v="0"/>
    <n v="1431.0563999999999"/>
    <n v="1044.6711719999998"/>
    <n v="1044.6711719999998"/>
  </r>
  <r>
    <x v="2"/>
    <s v="MI"/>
    <s v="Bachelor"/>
    <s v="Rent"/>
    <n v="0"/>
    <n v="1"/>
    <n v="4071.2544000000003"/>
    <n v="2972.0157119999999"/>
    <n v="-27.984288000000106"/>
  </r>
  <r>
    <x v="0"/>
    <s v="MI"/>
    <s v="Bachelor"/>
    <s v="Mortgage"/>
    <n v="1"/>
    <n v="1"/>
    <n v="6801.84"/>
    <n v="4965.3432000000003"/>
    <n v="-5034.6567999999997"/>
  </r>
  <r>
    <x v="2"/>
    <s v="HI"/>
    <s v="Bachelor"/>
    <s v="Rent"/>
    <n v="1"/>
    <n v="1"/>
    <n v="4283.4624000000003"/>
    <n v="3126.9275520000001"/>
    <n v="3126.9275520000001"/>
  </r>
  <r>
    <x v="2"/>
    <s v="MI"/>
    <s v="College"/>
    <s v="Mortgage"/>
    <n v="0"/>
    <n v="1"/>
    <n v="10336.68"/>
    <n v="7545.7763999999997"/>
    <n v="1545.7763999999997"/>
  </r>
  <r>
    <x v="0"/>
    <s v="LI"/>
    <s v="PhD"/>
    <s v="Rent"/>
    <n v="1"/>
    <n v="1"/>
    <n v="5798.8608000000004"/>
    <n v="4233.1683840000005"/>
    <n v="-3766.8316159999995"/>
  </r>
  <r>
    <x v="0"/>
    <s v="MI"/>
    <s v="Masters"/>
    <s v="Mortgage"/>
    <n v="1"/>
    <n v="1"/>
    <n v="5967.7883999999995"/>
    <n v="4356.4855319999997"/>
    <n v="-3643.5144680000003"/>
  </r>
  <r>
    <x v="1"/>
    <s v="LI"/>
    <s v="High School"/>
    <s v="Rent"/>
    <n v="1"/>
    <n v="1"/>
    <n v="9885.9119999999984"/>
    <n v="7216.7157599999991"/>
    <n v="4216.7157599999991"/>
  </r>
  <r>
    <x v="0"/>
    <s v="HI"/>
    <s v="College"/>
    <s v="Rent"/>
    <n v="1"/>
    <n v="1"/>
    <n v="15581.1456"/>
    <n v="11374.236288"/>
    <n v="10374.236288"/>
  </r>
  <r>
    <x v="2"/>
    <s v="LI"/>
    <s v="Bachelor"/>
    <s v="Mortgage"/>
    <n v="1"/>
    <n v="0"/>
    <n v="2916.2699999999995"/>
    <n v="2128.8770999999997"/>
    <n v="1128.8770999999997"/>
  </r>
  <r>
    <x v="2"/>
    <s v="HI"/>
    <s v="High School"/>
    <s v="Rent"/>
    <n v="0"/>
    <n v="1"/>
    <n v="7322.6399999999994"/>
    <n v="5345.5271999999995"/>
    <n v="-3654.4728000000005"/>
  </r>
  <r>
    <x v="1"/>
    <s v="HI"/>
    <s v="Bachelor"/>
    <s v="Mortgage"/>
    <n v="1"/>
    <n v="1"/>
    <n v="2597.8992000000003"/>
    <n v="1896.4664160000002"/>
    <n v="896.46641600000021"/>
  </r>
  <r>
    <x v="0"/>
    <s v="MI"/>
    <s v="High School"/>
    <s v="Own"/>
    <n v="1"/>
    <n v="1"/>
    <n v="1177.5"/>
    <n v="859.57499999999993"/>
    <n v="-3140.4250000000002"/>
  </r>
  <r>
    <x v="0"/>
    <s v="HI"/>
    <s v="Bachelor"/>
    <s v="Mortgage"/>
    <n v="1"/>
    <n v="1"/>
    <n v="5990.4936000000007"/>
    <n v="4373.0603280000005"/>
    <n v="-5626.9396719999995"/>
  </r>
  <r>
    <x v="1"/>
    <s v="HI"/>
    <s v="Bachelor"/>
    <s v="Own"/>
    <n v="1"/>
    <n v="0"/>
    <n v="7092.0864000000001"/>
    <n v="5177.2230719999998"/>
    <n v="177.22307199999977"/>
  </r>
  <r>
    <x v="0"/>
    <s v="HI"/>
    <s v="College"/>
    <s v="Rent"/>
    <n v="1"/>
    <n v="1"/>
    <n v="8668.8804"/>
    <n v="6328.2826919999998"/>
    <n v="3328.2826919999998"/>
  </r>
  <r>
    <x v="0"/>
    <s v="LI"/>
    <s v="MD"/>
    <s v="Mortgage"/>
    <n v="0"/>
    <n v="1"/>
    <n v="8741.8799999999992"/>
    <n v="6381.5723999999991"/>
    <n v="-618.42760000000089"/>
  </r>
  <r>
    <x v="0"/>
    <s v="LI"/>
    <s v="Bachelor"/>
    <s v="Mortgage"/>
    <n v="0"/>
    <n v="1"/>
    <n v="5446.17"/>
    <n v="3975.7040999999999"/>
    <n v="-5024.2959000000001"/>
  </r>
  <r>
    <x v="2"/>
    <s v="LI"/>
    <s v="High School"/>
    <s v="Rent"/>
    <n v="1"/>
    <n v="0"/>
    <n v="3279.51"/>
    <n v="2394.0423000000001"/>
    <n v="-605.95769999999993"/>
  </r>
  <r>
    <x v="2"/>
    <s v="MI"/>
    <s v="High School"/>
    <s v="Rent"/>
    <n v="1"/>
    <n v="0"/>
    <n v="8211.42"/>
    <n v="5994.3365999999996"/>
    <n v="-3005.6634000000004"/>
  </r>
  <r>
    <x v="2"/>
    <s v="LI"/>
    <s v="Bachelor"/>
    <s v="Own"/>
    <n v="1"/>
    <n v="1"/>
    <n v="6841.4976000000006"/>
    <n v="4994.2932479999999"/>
    <n v="-5005.7067520000001"/>
  </r>
  <r>
    <x v="2"/>
    <s v="LI"/>
    <s v="MD"/>
    <s v="Own"/>
    <n v="0"/>
    <n v="1"/>
    <n v="9708.3719999999994"/>
    <n v="7087.1115599999994"/>
    <n v="-2912.8884400000006"/>
  </r>
  <r>
    <x v="2"/>
    <s v="HI"/>
    <s v="Bachelor"/>
    <s v="Mortgage"/>
    <n v="1"/>
    <n v="1"/>
    <n v="11344.14"/>
    <n v="8281.2222000000002"/>
    <n v="5281.2222000000002"/>
  </r>
  <r>
    <x v="0"/>
    <s v="LI"/>
    <s v="Bachelor"/>
    <s v="Rent"/>
    <n v="1"/>
    <n v="1"/>
    <n v="6314.88"/>
    <n v="4609.8624"/>
    <n v="-2390.1376"/>
  </r>
  <r>
    <x v="1"/>
    <s v="LI"/>
    <s v="Bachelor"/>
    <s v="Mortgage"/>
    <n v="1"/>
    <n v="1"/>
    <n v="6311.1887999999999"/>
    <n v="4607.1678240000001"/>
    <n v="607.16782400000011"/>
  </r>
  <r>
    <x v="1"/>
    <s v="HI"/>
    <s v="Masters"/>
    <s v="Mortgage"/>
    <n v="1"/>
    <n v="1"/>
    <n v="9275.4719999999998"/>
    <n v="6771.0945599999995"/>
    <n v="5771.0945599999995"/>
  </r>
  <r>
    <x v="0"/>
    <s v="MI"/>
    <s v="Bachelor"/>
    <s v="Rent"/>
    <n v="1"/>
    <n v="1"/>
    <n v="3559.4712000000004"/>
    <n v="2598.4139760000003"/>
    <n v="-5401.5860240000002"/>
  </r>
  <r>
    <x v="0"/>
    <s v="HI"/>
    <s v="High School"/>
    <s v="Rent"/>
    <n v="1"/>
    <n v="1"/>
    <n v="7219.1724000000004"/>
    <n v="5269.995852"/>
    <n v="2269.995852"/>
  </r>
  <r>
    <x v="2"/>
    <s v="HI"/>
    <s v="Bachelor"/>
    <s v="Mortgage"/>
    <n v="0"/>
    <n v="1"/>
    <n v="7792.3619999999992"/>
    <n v="5688.4242599999989"/>
    <n v="3688.4242599999989"/>
  </r>
  <r>
    <x v="2"/>
    <s v="HI"/>
    <s v="Masters"/>
    <s v="Own"/>
    <n v="1"/>
    <n v="1"/>
    <n v="435.12"/>
    <n v="317.63760000000002"/>
    <n v="-3682.3624"/>
  </r>
  <r>
    <x v="0"/>
    <s v="LI"/>
    <s v="High School"/>
    <s v="Mortgage"/>
    <n v="1"/>
    <n v="1"/>
    <n v="14472.314400000001"/>
    <n v="10564.789512000001"/>
    <n v="4564.7895120000012"/>
  </r>
  <r>
    <x v="2"/>
    <s v="LI"/>
    <s v="High School"/>
    <s v="Mortgage"/>
    <n v="0"/>
    <n v="1"/>
    <n v="12845.16"/>
    <n v="9376.9668000000001"/>
    <n v="376.96680000000015"/>
  </r>
  <r>
    <x v="1"/>
    <s v="MI"/>
    <s v="College"/>
    <s v="Own"/>
    <n v="0"/>
    <n v="1"/>
    <n v="1433.4336000000001"/>
    <n v="1046.406528"/>
    <n v="-8953.5934720000005"/>
  </r>
  <r>
    <x v="0"/>
    <s v="HI"/>
    <s v="Masters"/>
    <s v="Rent"/>
    <n v="0"/>
    <n v="1"/>
    <n v="5045.3279999999995"/>
    <n v="3683.0894399999997"/>
    <n v="-1316.9105600000003"/>
  </r>
  <r>
    <x v="2"/>
    <s v="LI"/>
    <s v="Bachelor"/>
    <s v="Own"/>
    <n v="1"/>
    <n v="0"/>
    <n v="8795.0088000000014"/>
    <n v="6420.3564240000005"/>
    <n v="4420.3564240000005"/>
  </r>
  <r>
    <x v="0"/>
    <s v="HI"/>
    <s v="Bachelor"/>
    <s v="Rent"/>
    <n v="1"/>
    <n v="0"/>
    <n v="5619.78"/>
    <n v="4102.4393999999993"/>
    <n v="-897.5606000000007"/>
  </r>
  <r>
    <x v="2"/>
    <s v="LI"/>
    <s v="College"/>
    <s v="Own"/>
    <n v="0"/>
    <n v="1"/>
    <n v="5331.84"/>
    <n v="3892.2431999999999"/>
    <n v="-3107.7568000000001"/>
  </r>
  <r>
    <x v="2"/>
    <s v="MI"/>
    <s v="College"/>
    <s v="Mortgage"/>
    <n v="1"/>
    <n v="1"/>
    <n v="6566.3135999999995"/>
    <n v="4793.4089279999998"/>
    <n v="3793.4089279999998"/>
  </r>
  <r>
    <x v="2"/>
    <s v="LI"/>
    <s v="Masters"/>
    <s v="Rent"/>
    <n v="1"/>
    <n v="1"/>
    <n v="6592.5"/>
    <n v="4812.5249999999996"/>
    <n v="-4187.4750000000004"/>
  </r>
  <r>
    <x v="0"/>
    <s v="MI"/>
    <s v="High School"/>
    <s v="Rent"/>
    <n v="1"/>
    <n v="1"/>
    <n v="14117.088"/>
    <n v="10305.47424"/>
    <n v="9305.4742399999996"/>
  </r>
  <r>
    <x v="0"/>
    <s v="LI"/>
    <s v="Bachelor"/>
    <s v="Own"/>
    <n v="1"/>
    <n v="1"/>
    <n v="7597.8888000000006"/>
    <n v="5546.4588240000003"/>
    <n v="-3453.5411759999997"/>
  </r>
  <r>
    <x v="1"/>
    <s v="MI"/>
    <s v="Bachelor"/>
    <s v="Own"/>
    <n v="1"/>
    <n v="1"/>
    <n v="2142.2904000000003"/>
    <n v="1563.8719920000001"/>
    <n v="-5436.1280079999997"/>
  </r>
  <r>
    <x v="1"/>
    <s v="MI"/>
    <s v="High School"/>
    <s v="Mortgage"/>
    <n v="1"/>
    <n v="1"/>
    <n v="9909.9"/>
    <n v="7234.2269999999999"/>
    <n v="234.22699999999986"/>
  </r>
  <r>
    <x v="2"/>
    <s v="MI"/>
    <s v="Bachelor"/>
    <s v="Rent"/>
    <n v="0"/>
    <n v="1"/>
    <n v="5742.66"/>
    <n v="4192.1417999999994"/>
    <n v="-4807.8582000000006"/>
  </r>
  <r>
    <x v="0"/>
    <s v="MI"/>
    <s v="Bachelor"/>
    <s v="Own"/>
    <n v="1"/>
    <n v="1"/>
    <n v="10882.08"/>
    <n v="7943.9183999999996"/>
    <n v="-2056.0816000000004"/>
  </r>
  <r>
    <x v="0"/>
    <s v="LI"/>
    <s v="MD"/>
    <s v="Mortgage"/>
    <n v="1"/>
    <n v="1"/>
    <n v="9359.7912000000015"/>
    <n v="6832.6475760000012"/>
    <n v="3832.6475760000012"/>
  </r>
  <r>
    <x v="2"/>
    <s v="MI"/>
    <s v="High School"/>
    <s v="Own"/>
    <n v="1"/>
    <n v="1"/>
    <n v="8570.880000000001"/>
    <n v="6256.742400000001"/>
    <n v="-743.257599999999"/>
  </r>
  <r>
    <x v="0"/>
    <s v="LI"/>
    <s v="High School"/>
    <s v="Own"/>
    <n v="1"/>
    <n v="1"/>
    <n v="3028.0499999999997"/>
    <n v="2210.4764999999998"/>
    <n v="-1789.5235000000002"/>
  </r>
  <r>
    <x v="0"/>
    <s v="LI"/>
    <s v="NA"/>
    <s v="Rent"/>
    <n v="1"/>
    <n v="1"/>
    <n v="11938.513199999999"/>
    <n v="8715.1146360000002"/>
    <n v="-284.88536399999975"/>
  </r>
  <r>
    <x v="0"/>
    <s v="MI"/>
    <s v="College"/>
    <s v="Mortgage"/>
    <n v="0"/>
    <n v="1"/>
    <n v="795.31680000000006"/>
    <n v="580.58126400000003"/>
    <n v="-419.41873599999997"/>
  </r>
  <r>
    <x v="0"/>
    <s v="MI"/>
    <s v="Bachelor"/>
    <s v="Rent"/>
    <n v="1"/>
    <n v="0"/>
    <n v="5895.8759999999993"/>
    <n v="4303.9894799999993"/>
    <n v="1303.9894799999993"/>
  </r>
  <r>
    <x v="0"/>
    <s v="MI"/>
    <s v="Bachelor"/>
    <s v="Rent"/>
    <n v="1"/>
    <n v="1"/>
    <n v="11495.25"/>
    <n v="8391.5324999999993"/>
    <n v="7391.5324999999993"/>
  </r>
  <r>
    <x v="0"/>
    <s v="HI"/>
    <s v="PhD"/>
    <s v="Own"/>
    <n v="1"/>
    <n v="1"/>
    <n v="5694.3600000000006"/>
    <n v="4156.8828000000003"/>
    <n v="-1843.1171999999997"/>
  </r>
  <r>
    <x v="0"/>
    <s v="LI"/>
    <s v="Masters"/>
    <s v="Own"/>
    <n v="0"/>
    <n v="1"/>
    <n v="2853.8999999999996"/>
    <n v="2083.3469999999998"/>
    <n v="-4916.6530000000002"/>
  </r>
  <r>
    <x v="2"/>
    <s v="MI"/>
    <s v="Bachelor"/>
    <s v="Own"/>
    <n v="1"/>
    <n v="0"/>
    <n v="627.58319999999992"/>
    <n v="458.13573599999995"/>
    <n v="-5541.8642639999998"/>
  </r>
  <r>
    <x v="2"/>
    <s v="LI"/>
    <s v="High School"/>
    <s v="Rent"/>
    <n v="0"/>
    <n v="0"/>
    <n v="4058.88"/>
    <n v="2962.9823999999999"/>
    <n v="1962.9823999999999"/>
  </r>
  <r>
    <x v="0"/>
    <s v="LI"/>
    <s v="Bachelor"/>
    <s v="Own"/>
    <n v="1"/>
    <n v="1"/>
    <n v="6137.9063999999998"/>
    <n v="4480.6716719999995"/>
    <n v="-1519.3283280000005"/>
  </r>
  <r>
    <x v="0"/>
    <s v="MI"/>
    <s v="Masters"/>
    <s v="Rent"/>
    <n v="1"/>
    <n v="1"/>
    <n v="6161.616"/>
    <n v="4497.9796799999995"/>
    <n v="-502.02032000000054"/>
  </r>
  <r>
    <x v="2"/>
    <s v="HI"/>
    <s v="MD"/>
    <s v="Mortgage"/>
    <n v="1"/>
    <n v="1"/>
    <n v="11667.9"/>
    <n v="8517.5669999999991"/>
    <n v="-482.4330000000009"/>
  </r>
  <r>
    <x v="0"/>
    <s v="MI"/>
    <s v="Bachelor"/>
    <s v="Own"/>
    <n v="1"/>
    <n v="1"/>
    <n v="12613.8336"/>
    <n v="9208.0985280000004"/>
    <n v="7208.0985280000004"/>
  </r>
  <r>
    <x v="2"/>
    <s v="LI"/>
    <s v="MD"/>
    <s v="Mortgage"/>
    <n v="1"/>
    <n v="0"/>
    <n v="10495.321199999998"/>
    <n v="7661.5844759999991"/>
    <n v="1661.5844759999991"/>
  </r>
  <r>
    <x v="2"/>
    <s v="HI"/>
    <s v="Bachelor"/>
    <s v="Rent"/>
    <n v="1"/>
    <n v="1"/>
    <n v="3907.8492000000001"/>
    <n v="2852.7299160000002"/>
    <n v="1852.7299160000002"/>
  </r>
  <r>
    <x v="0"/>
    <s v="MI"/>
    <s v="Bachelor"/>
    <s v="Mortgage"/>
    <n v="1"/>
    <n v="1"/>
    <n v="907.79279999999994"/>
    <n v="662.68874399999993"/>
    <n v="-2337.311256"/>
  </r>
  <r>
    <x v="1"/>
    <s v="HI"/>
    <s v="High School"/>
    <s v="Mortgage"/>
    <n v="1"/>
    <n v="1"/>
    <n v="2435.79"/>
    <n v="1778.1267"/>
    <n v="-2221.8733000000002"/>
  </r>
  <r>
    <x v="0"/>
    <s v="HI"/>
    <s v="PhD"/>
    <s v="Rent"/>
    <n v="1"/>
    <n v="1"/>
    <n v="1190.52"/>
    <n v="869.07959999999991"/>
    <n v="-1130.9204"/>
  </r>
  <r>
    <x v="2"/>
    <s v="MI"/>
    <s v="Bachelor"/>
    <s v="Own"/>
    <n v="1"/>
    <n v="0"/>
    <n v="10680.321599999999"/>
    <n v="7796.634767999999"/>
    <n v="796.63476799999899"/>
  </r>
  <r>
    <x v="2"/>
    <s v="MI"/>
    <s v="Bachelor"/>
    <s v="Mortgage"/>
    <n v="0"/>
    <n v="1"/>
    <n v="8058.9492"/>
    <n v="5883.0329160000001"/>
    <n v="3883.0329160000001"/>
  </r>
  <r>
    <x v="2"/>
    <s v="HI"/>
    <s v="Bachelor"/>
    <s v="Mortgage"/>
    <n v="0"/>
    <n v="1"/>
    <n v="9960.2999999999993"/>
    <n v="7271.0189999999993"/>
    <n v="2271.0189999999993"/>
  </r>
  <r>
    <x v="1"/>
    <s v="HI"/>
    <s v="College"/>
    <s v="Rent"/>
    <n v="1"/>
    <n v="1"/>
    <n v="2990.79"/>
    <n v="2183.2766999999999"/>
    <n v="-1816.7233000000001"/>
  </r>
  <r>
    <x v="0"/>
    <s v="MI"/>
    <s v="Bachelor"/>
    <s v="Rent"/>
    <n v="1"/>
    <n v="1"/>
    <n v="6649.7471999999998"/>
    <n v="4854.3154559999994"/>
    <n v="1854.3154559999994"/>
  </r>
  <r>
    <x v="0"/>
    <s v="MI"/>
    <s v="Masters"/>
    <s v="Mortgage"/>
    <n v="1"/>
    <n v="1"/>
    <n v="1432.68"/>
    <n v="1045.8564000000001"/>
    <n v="-2954.1435999999999"/>
  </r>
  <r>
    <x v="2"/>
    <s v="MI"/>
    <s v="High School"/>
    <s v="Mortgage"/>
    <n v="0"/>
    <n v="1"/>
    <n v="7447.2816000000003"/>
    <n v="5436.5155679999998"/>
    <n v="2436.5155679999998"/>
  </r>
  <r>
    <x v="0"/>
    <s v="LI"/>
    <s v="NA"/>
    <s v="Own"/>
    <n v="0"/>
    <n v="0"/>
    <n v="10513.092000000001"/>
    <n v="7674.5571600000003"/>
    <n v="7674.5571600000003"/>
  </r>
  <r>
    <x v="0"/>
    <s v="MI"/>
    <s v="Bachelor"/>
    <s v="Rent"/>
    <n v="1"/>
    <n v="1"/>
    <n v="6376.4243999999999"/>
    <n v="4654.789812"/>
    <n v="-3345.210188"/>
  </r>
  <r>
    <x v="2"/>
    <s v="LI"/>
    <s v="High School"/>
    <s v="Own"/>
    <n v="0"/>
    <n v="0"/>
    <n v="8227.7100000000009"/>
    <n v="6006.2283000000007"/>
    <n v="6006.2283000000007"/>
  </r>
  <r>
    <x v="0"/>
    <s v="LI"/>
    <s v="Bachelor"/>
    <s v="Rent"/>
    <n v="0"/>
    <n v="1"/>
    <n v="4724.5680000000002"/>
    <n v="3448.9346399999999"/>
    <n v="1448.9346399999999"/>
  </r>
  <r>
    <x v="0"/>
    <s v="MI"/>
    <s v="High School"/>
    <s v="Rent"/>
    <n v="1"/>
    <n v="1"/>
    <n v="2229.5304000000001"/>
    <n v="1627.557192"/>
    <n v="-5372.4428079999998"/>
  </r>
  <r>
    <x v="0"/>
    <s v="MI"/>
    <s v="NA"/>
    <s v="Rent"/>
    <n v="1"/>
    <n v="1"/>
    <n v="11812.2732"/>
    <n v="8622.9594359999992"/>
    <n v="7622.9594359999992"/>
  </r>
  <r>
    <x v="0"/>
    <s v="HI"/>
    <s v="Bachelor"/>
    <s v="Mortgage"/>
    <n v="1"/>
    <n v="1"/>
    <n v="13289.047199999999"/>
    <n v="9701.0044559999988"/>
    <n v="7701.0044559999988"/>
  </r>
  <r>
    <x v="1"/>
    <s v="MI"/>
    <s v="High School"/>
    <s v="Mortgage"/>
    <n v="1"/>
    <n v="1"/>
    <n v="8291.7792000000009"/>
    <n v="6052.9988160000003"/>
    <n v="-947.00118399999974"/>
  </r>
  <r>
    <x v="2"/>
    <s v="MI"/>
    <s v="College"/>
    <s v="Rent"/>
    <n v="1"/>
    <n v="1"/>
    <n v="3111.9479999999999"/>
    <n v="2271.7220399999997"/>
    <n v="2271.7220399999997"/>
  </r>
  <r>
    <x v="2"/>
    <s v="LI"/>
    <s v="Masters"/>
    <s v="Mortgage"/>
    <n v="1"/>
    <n v="0"/>
    <n v="1123.2"/>
    <n v="819.93600000000004"/>
    <n v="-2180.0639999999999"/>
  </r>
  <r>
    <x v="0"/>
    <s v="LI"/>
    <s v="NA"/>
    <s v="Own"/>
    <n v="1"/>
    <n v="1"/>
    <n v="3628.2551999999996"/>
    <n v="2648.6262959999995"/>
    <n v="-2351.3737040000005"/>
  </r>
  <r>
    <x v="2"/>
    <s v="LI"/>
    <s v="Masters"/>
    <s v="Own"/>
    <n v="1"/>
    <n v="1"/>
    <n v="4441.68"/>
    <n v="3242.4264000000003"/>
    <n v="242.42640000000029"/>
  </r>
  <r>
    <x v="2"/>
    <s v="HI"/>
    <s v="Bachelor"/>
    <s v="Rent"/>
    <n v="1"/>
    <n v="1"/>
    <n v="14180.0448"/>
    <n v="10351.432703999999"/>
    <n v="4351.4327039999989"/>
  </r>
  <r>
    <x v="0"/>
    <s v="MI"/>
    <s v="Bachelor"/>
    <s v="Own"/>
    <n v="1"/>
    <n v="1"/>
    <n v="6320.4288000000006"/>
    <n v="4613.9130240000004"/>
    <n v="-5386.0869759999996"/>
  </r>
  <r>
    <x v="2"/>
    <s v="MI"/>
    <s v="Masters"/>
    <s v="Mortgage"/>
    <n v="1"/>
    <n v="1"/>
    <n v="7709.0399999999991"/>
    <n v="5627.5991999999987"/>
    <n v="-372.40080000000125"/>
  </r>
  <r>
    <x v="2"/>
    <s v="MI"/>
    <s v="Bachelor"/>
    <s v="Rent"/>
    <n v="1"/>
    <n v="1"/>
    <n v="2913.96"/>
    <n v="2127.1907999999999"/>
    <n v="2127.1907999999999"/>
  </r>
  <r>
    <x v="0"/>
    <s v="LI"/>
    <s v="NA"/>
    <s v="Rent"/>
    <n v="1"/>
    <n v="1"/>
    <n v="10184.849999999999"/>
    <n v="7434.9404999999988"/>
    <n v="5434.9404999999988"/>
  </r>
  <r>
    <x v="0"/>
    <s v="LI"/>
    <s v="Bachelor"/>
    <s v="Rent"/>
    <n v="1"/>
    <n v="1"/>
    <n v="2702.16"/>
    <n v="1972.5767999999998"/>
    <n v="972.57679999999982"/>
  </r>
  <r>
    <x v="2"/>
    <s v="MI"/>
    <s v="Bachelor"/>
    <s v="Rent"/>
    <n v="0"/>
    <n v="1"/>
    <n v="10959.388799999999"/>
    <n v="8000.3538239999989"/>
    <n v="6000.3538239999989"/>
  </r>
  <r>
    <x v="2"/>
    <s v="HI"/>
    <s v="High School"/>
    <s v="Rent"/>
    <n v="0"/>
    <n v="1"/>
    <n v="15793.9488"/>
    <n v="11529.582624000001"/>
    <n v="7529.5826240000006"/>
  </r>
  <r>
    <x v="2"/>
    <s v="MI"/>
    <s v="Bachelor"/>
    <s v="Rent"/>
    <n v="1"/>
    <n v="1"/>
    <n v="12246.1764"/>
    <n v="8939.708772"/>
    <n v="3939.708772"/>
  </r>
  <r>
    <x v="2"/>
    <s v="HI"/>
    <s v="Bachelor"/>
    <s v="Rent"/>
    <n v="1"/>
    <n v="1"/>
    <n v="7817.510400000001"/>
    <n v="5706.7825920000005"/>
    <n v="-3293.2174079999995"/>
  </r>
  <r>
    <x v="2"/>
    <s v="MI"/>
    <s v="Masters"/>
    <s v="Rent"/>
    <n v="0"/>
    <n v="0"/>
    <n v="9809.2008000000005"/>
    <n v="7160.7165839999998"/>
    <n v="1160.7165839999998"/>
  </r>
  <r>
    <x v="1"/>
    <s v="LI"/>
    <s v="Bachelor"/>
    <s v="Own"/>
    <n v="1"/>
    <n v="1"/>
    <n v="14148.0864"/>
    <n v="10328.103072"/>
    <n v="9328.1030719999999"/>
  </r>
  <r>
    <x v="0"/>
    <s v="MI"/>
    <s v="High School"/>
    <s v="Own"/>
    <n v="0"/>
    <n v="0"/>
    <n v="2648.0855999999999"/>
    <n v="1933.1024879999998"/>
    <n v="-4066.8975120000005"/>
  </r>
  <r>
    <x v="0"/>
    <s v="MI"/>
    <s v="Bachelor"/>
    <s v="Rent"/>
    <n v="1"/>
    <n v="1"/>
    <n v="6385.2300000000005"/>
    <n v="4661.2179000000006"/>
    <n v="-338.78209999999945"/>
  </r>
  <r>
    <x v="1"/>
    <s v="MI"/>
    <s v="Bachelor"/>
    <s v="Mortgage"/>
    <n v="1"/>
    <n v="0"/>
    <n v="1907.2511999999999"/>
    <n v="1392.2933759999999"/>
    <n v="-6607.7066240000004"/>
  </r>
  <r>
    <x v="1"/>
    <s v="MI"/>
    <s v="Bachelor"/>
    <s v="Rent"/>
    <n v="1"/>
    <n v="0"/>
    <n v="11277.179999999998"/>
    <n v="8232.3413999999993"/>
    <n v="232.34139999999934"/>
  </r>
  <r>
    <x v="0"/>
    <s v="MI"/>
    <s v="Bachelor"/>
    <s v="Mortgage"/>
    <n v="0"/>
    <n v="1"/>
    <n v="10811.0028"/>
    <n v="7892.0320439999996"/>
    <n v="7892.0320439999996"/>
  </r>
  <r>
    <x v="2"/>
    <s v="MI"/>
    <s v="High School"/>
    <s v="Mortgage"/>
    <n v="0"/>
    <n v="0"/>
    <n v="9452.2919999999995"/>
    <n v="6900.1731599999994"/>
    <n v="-3099.8268400000006"/>
  </r>
  <r>
    <x v="2"/>
    <s v="HI"/>
    <s v="High School"/>
    <s v="Own"/>
    <n v="1"/>
    <n v="1"/>
    <n v="6949.072799999999"/>
    <n v="5072.823143999999"/>
    <n v="1072.823143999999"/>
  </r>
  <r>
    <x v="1"/>
    <s v="HI"/>
    <s v="Masters"/>
    <s v="Own"/>
    <n v="1"/>
    <n v="1"/>
    <n v="7166.0663999999997"/>
    <n v="5231.2284719999998"/>
    <n v="-2768.7715280000002"/>
  </r>
  <r>
    <x v="0"/>
    <s v="MI"/>
    <s v="Bachelor"/>
    <s v="Own"/>
    <n v="1"/>
    <n v="1"/>
    <n v="10895.76"/>
    <n v="7953.9048000000003"/>
    <n v="-46.09519999999975"/>
  </r>
  <r>
    <x v="2"/>
    <s v="HI"/>
    <s v="High School"/>
    <s v="Own"/>
    <n v="1"/>
    <n v="0"/>
    <n v="998.64840000000004"/>
    <n v="729.01333199999999"/>
    <n v="-6270.9866679999996"/>
  </r>
  <r>
    <x v="2"/>
    <s v="LI"/>
    <s v="Bachelor"/>
    <s v="Mortgage"/>
    <n v="1"/>
    <n v="0"/>
    <n v="10272.0468"/>
    <n v="7498.5941640000001"/>
    <n v="3498.5941640000001"/>
  </r>
  <r>
    <x v="2"/>
    <s v="MI"/>
    <s v="NA"/>
    <s v="Own"/>
    <n v="1"/>
    <n v="1"/>
    <n v="8688.4367999999995"/>
    <n v="6342.5588639999996"/>
    <n v="-2657.4411360000004"/>
  </r>
  <r>
    <x v="0"/>
    <s v="MI"/>
    <s v="Bachelor"/>
    <s v="Mortgage"/>
    <n v="0"/>
    <n v="1"/>
    <n v="5838.9179999999997"/>
    <n v="4262.41014"/>
    <n v="-737.58986000000004"/>
  </r>
  <r>
    <x v="1"/>
    <s v="MI"/>
    <s v="Bachelor"/>
    <s v="Rent"/>
    <n v="0"/>
    <n v="1"/>
    <n v="13729.8"/>
    <n v="10022.753999999999"/>
    <n v="7022.753999999999"/>
  </r>
  <r>
    <x v="0"/>
    <s v="LI"/>
    <s v="Bachelor"/>
    <s v="Own"/>
    <n v="0"/>
    <n v="1"/>
    <n v="3509.19"/>
    <n v="2561.7087000000001"/>
    <n v="-7438.2912999999999"/>
  </r>
  <r>
    <x v="2"/>
    <s v="MI"/>
    <s v="College"/>
    <s v="Own"/>
    <n v="0"/>
    <n v="0"/>
    <n v="13105.5576"/>
    <n v="9567.0570480000006"/>
    <n v="8567.0570480000006"/>
  </r>
  <r>
    <x v="0"/>
    <s v="MI"/>
    <s v="PhD"/>
    <s v="Own"/>
    <n v="1"/>
    <n v="0"/>
    <n v="6567.9744000000001"/>
    <n v="4794.6213120000002"/>
    <n v="-205.37868799999978"/>
  </r>
  <r>
    <x v="1"/>
    <s v="MI"/>
    <s v="Bachelor"/>
    <s v="Own"/>
    <n v="1"/>
    <n v="0"/>
    <n v="5707.2287999999999"/>
    <n v="4166.277024"/>
    <n v="-833.72297600000002"/>
  </r>
  <r>
    <x v="0"/>
    <s v="MI"/>
    <s v="High School"/>
    <s v="Rent"/>
    <n v="1"/>
    <n v="1"/>
    <n v="6620.7000000000007"/>
    <n v="4833.1110000000008"/>
    <n v="-4166.8889999999992"/>
  </r>
  <r>
    <x v="2"/>
    <s v="LI"/>
    <s v="Bachelor"/>
    <s v="Rent"/>
    <n v="0"/>
    <n v="0"/>
    <n v="10578.618"/>
    <n v="7722.3911399999997"/>
    <n v="1722.3911399999997"/>
  </r>
  <r>
    <x v="2"/>
    <s v="HI"/>
    <s v="Masters"/>
    <s v="Mortgage"/>
    <n v="1"/>
    <n v="0"/>
    <n v="2976.8040000000001"/>
    <n v="2173.0669200000002"/>
    <n v="-4826.9330799999998"/>
  </r>
  <r>
    <x v="0"/>
    <s v="HI"/>
    <s v="Bachelor"/>
    <s v="Rent"/>
    <n v="1"/>
    <n v="1"/>
    <n v="8567.3016000000007"/>
    <n v="6254.1301680000006"/>
    <n v="-3745.8698319999994"/>
  </r>
  <r>
    <x v="0"/>
    <s v="MI"/>
    <s v="College"/>
    <s v="Mortgage"/>
    <n v="1"/>
    <n v="0"/>
    <n v="4974.4463999999998"/>
    <n v="3631.3458719999999"/>
    <n v="631.34587199999987"/>
  </r>
  <r>
    <x v="2"/>
    <s v="MI"/>
    <s v="Bachelor"/>
    <s v="Own"/>
    <n v="0"/>
    <n v="1"/>
    <n v="7134.4344000000001"/>
    <n v="5208.1371120000003"/>
    <n v="-1791.8628879999997"/>
  </r>
  <r>
    <x v="0"/>
    <s v="HI"/>
    <s v="College"/>
    <s v="Mortgage"/>
    <n v="1"/>
    <n v="1"/>
    <n v="7894.7999999999993"/>
    <n v="5763.2039999999997"/>
    <n v="2763.2039999999997"/>
  </r>
  <r>
    <x v="2"/>
    <s v="MI"/>
    <s v="PhD"/>
    <s v="Own"/>
    <n v="1"/>
    <n v="1"/>
    <n v="3667.95"/>
    <n v="2677.6034999999997"/>
    <n v="-2322.3965000000003"/>
  </r>
  <r>
    <x v="0"/>
    <s v="MI"/>
    <s v="High School"/>
    <s v="Own"/>
    <n v="1"/>
    <n v="1"/>
    <n v="4412.16"/>
    <n v="3220.8768"/>
    <n v="220.8768"/>
  </r>
  <r>
    <x v="2"/>
    <s v="LI"/>
    <s v="Bachelor"/>
    <s v="Mortgage"/>
    <n v="0"/>
    <n v="0"/>
    <n v="8570.2127999999993"/>
    <n v="6256.2553439999992"/>
    <n v="-2743.7446560000008"/>
  </r>
  <r>
    <x v="0"/>
    <s v="LI"/>
    <s v="College"/>
    <s v="Mortgage"/>
    <n v="1"/>
    <n v="0"/>
    <n v="4157.76"/>
    <n v="3035.1648"/>
    <n v="3035.1648"/>
  </r>
  <r>
    <x v="2"/>
    <s v="LI"/>
    <s v="Bachelor"/>
    <s v="Own"/>
    <n v="1"/>
    <n v="1"/>
    <n v="7973.6399999999994"/>
    <n v="5820.7571999999991"/>
    <n v="4820.7571999999991"/>
  </r>
  <r>
    <x v="2"/>
    <s v="HI"/>
    <s v="Masters"/>
    <s v="Own"/>
    <n v="0"/>
    <n v="0"/>
    <n v="959.25240000000008"/>
    <n v="700.25425200000006"/>
    <n v="-7299.7457480000003"/>
  </r>
  <r>
    <x v="0"/>
    <s v="HI"/>
    <s v="College"/>
    <s v="Rent"/>
    <n v="0"/>
    <n v="1"/>
    <n v="8294.7479999999996"/>
    <n v="6055.1660399999992"/>
    <n v="1055.1660399999992"/>
  </r>
  <r>
    <x v="0"/>
    <s v="MI"/>
    <s v="Bachelor"/>
    <s v="Mortgage"/>
    <n v="0"/>
    <n v="1"/>
    <n v="3425.28"/>
    <n v="2500.4544000000001"/>
    <n v="-2499.5455999999999"/>
  </r>
  <r>
    <x v="2"/>
    <s v="HI"/>
    <s v="High School"/>
    <s v="Own"/>
    <n v="0"/>
    <n v="0"/>
    <n v="1427.76"/>
    <n v="1042.2647999999999"/>
    <n v="-7957.7352000000001"/>
  </r>
  <r>
    <x v="2"/>
    <s v="LI"/>
    <s v="NA"/>
    <s v="Mortgage"/>
    <n v="0"/>
    <n v="1"/>
    <n v="1237.4208000000001"/>
    <n v="903.317184"/>
    <n v="-1096.682816"/>
  </r>
  <r>
    <x v="0"/>
    <s v="LI"/>
    <s v="High School"/>
    <s v="Rent"/>
    <n v="0"/>
    <n v="1"/>
    <n v="10630.619999999999"/>
    <n v="7760.3525999999993"/>
    <n v="-239.64740000000074"/>
  </r>
  <r>
    <x v="0"/>
    <s v="MI"/>
    <s v="Bachelor"/>
    <s v="Rent"/>
    <n v="1"/>
    <n v="1"/>
    <n v="3108.0192000000002"/>
    <n v="2268.8540160000002"/>
    <n v="-3731.1459839999998"/>
  </r>
  <r>
    <x v="0"/>
    <s v="HI"/>
    <s v="Bachelor"/>
    <s v="Rent"/>
    <n v="1"/>
    <n v="1"/>
    <n v="5576.4179999999997"/>
    <n v="4070.7851399999995"/>
    <n v="3070.7851399999995"/>
  </r>
  <r>
    <x v="0"/>
    <s v="HI"/>
    <s v="Bachelor"/>
    <s v="Mortgage"/>
    <n v="0"/>
    <n v="1"/>
    <n v="7451.6388000000006"/>
    <n v="5439.6963240000005"/>
    <n v="4439.6963240000005"/>
  </r>
  <r>
    <x v="0"/>
    <s v="MI"/>
    <s v="PhD"/>
    <s v="Mortgage"/>
    <n v="1"/>
    <n v="1"/>
    <n v="9377.097600000001"/>
    <n v="6845.2812480000002"/>
    <n v="4845.2812480000002"/>
  </r>
  <r>
    <x v="1"/>
    <s v="HI"/>
    <s v="NA"/>
    <s v="Mortgage"/>
    <n v="1"/>
    <n v="1"/>
    <n v="11726.8164"/>
    <n v="8560.5759719999987"/>
    <n v="1560.5759719999987"/>
  </r>
  <r>
    <x v="2"/>
    <s v="MI"/>
    <s v="High School"/>
    <s v="Rent"/>
    <n v="1"/>
    <n v="0"/>
    <n v="5002.9920000000002"/>
    <n v="3652.1841600000002"/>
    <n v="-6347.8158399999993"/>
  </r>
  <r>
    <x v="0"/>
    <s v="LI"/>
    <s v="High School"/>
    <s v="Rent"/>
    <n v="1"/>
    <n v="1"/>
    <n v="10190.632799999999"/>
    <n v="7439.1619439999995"/>
    <n v="439.16194399999949"/>
  </r>
  <r>
    <x v="0"/>
    <s v="MI"/>
    <s v="Bachelor"/>
    <s v="Own"/>
    <n v="1"/>
    <n v="1"/>
    <n v="624.62760000000003"/>
    <n v="455.97814800000003"/>
    <n v="-8544.0218519999999"/>
  </r>
  <r>
    <x v="2"/>
    <s v="HI"/>
    <s v="PhD"/>
    <s v="Rent"/>
    <n v="0"/>
    <n v="1"/>
    <n v="4287.4884000000002"/>
    <n v="3129.866532"/>
    <n v="-3870.133468"/>
  </r>
  <r>
    <x v="0"/>
    <s v="MI"/>
    <s v="College"/>
    <s v="Rent"/>
    <n v="1"/>
    <n v="0"/>
    <n v="10019.789999999999"/>
    <n v="7314.4466999999995"/>
    <n v="6314.4466999999995"/>
  </r>
  <r>
    <x v="2"/>
    <s v="MI"/>
    <s v="Bachelor"/>
    <s v="Rent"/>
    <n v="0"/>
    <n v="1"/>
    <n v="1203.7055999999998"/>
    <n v="878.70508799999982"/>
    <n v="-7121.2949120000003"/>
  </r>
  <r>
    <x v="1"/>
    <s v="MI"/>
    <s v="College"/>
    <s v="Rent"/>
    <n v="0"/>
    <n v="1"/>
    <n v="3611.2272000000003"/>
    <n v="2636.1958560000003"/>
    <n v="636.19585600000028"/>
  </r>
  <r>
    <x v="0"/>
    <s v="MI"/>
    <s v="Bachelor"/>
    <s v="Mortgage"/>
    <n v="0"/>
    <n v="0"/>
    <n v="13028.7852"/>
    <n v="9511.0131959999999"/>
    <n v="8511.0131959999999"/>
  </r>
  <r>
    <x v="2"/>
    <s v="LI"/>
    <s v="Bachelor"/>
    <s v="Mortgage"/>
    <n v="0"/>
    <n v="1"/>
    <n v="6387.75"/>
    <n v="4663.0574999999999"/>
    <n v="-5336.9425000000001"/>
  </r>
  <r>
    <x v="2"/>
    <s v="MI"/>
    <s v="PhD"/>
    <s v="Mortgage"/>
    <n v="1"/>
    <n v="0"/>
    <n v="2961.7452000000003"/>
    <n v="2162.0739960000001"/>
    <n v="2162.0739960000001"/>
  </r>
  <r>
    <x v="2"/>
    <s v="MI"/>
    <s v="Masters"/>
    <s v="Mortgage"/>
    <n v="0"/>
    <n v="0"/>
    <n v="8470.9151999999995"/>
    <n v="6183.7680959999998"/>
    <n v="-3816.2319040000002"/>
  </r>
  <r>
    <x v="0"/>
    <s v="MI"/>
    <s v="Bachelor"/>
    <s v="Own"/>
    <n v="0"/>
    <n v="0"/>
    <n v="6879.75"/>
    <n v="5022.2174999999997"/>
    <n v="1022.2174999999997"/>
  </r>
  <r>
    <x v="2"/>
    <s v="HI"/>
    <s v="Bachelor"/>
    <s v="Mortgage"/>
    <n v="0"/>
    <n v="1"/>
    <n v="7258.1567999999997"/>
    <n v="5298.4544639999995"/>
    <n v="4298.4544639999995"/>
  </r>
  <r>
    <x v="0"/>
    <s v="LI"/>
    <s v="College"/>
    <s v="Own"/>
    <n v="0"/>
    <n v="1"/>
    <n v="5703.7487999999994"/>
    <n v="4163.7366239999992"/>
    <n v="2163.7366239999992"/>
  </r>
  <r>
    <x v="1"/>
    <s v="MI"/>
    <s v="High School"/>
    <s v="Own"/>
    <n v="1"/>
    <n v="0"/>
    <n v="8890.9968000000008"/>
    <n v="6490.4276640000007"/>
    <n v="3490.4276640000007"/>
  </r>
  <r>
    <x v="2"/>
    <s v="MI"/>
    <s v="Bachelor"/>
    <s v="Mortgage"/>
    <n v="0"/>
    <n v="1"/>
    <n v="501.3288"/>
    <n v="365.97002399999997"/>
    <n v="-8634.0299759999998"/>
  </r>
  <r>
    <x v="0"/>
    <s v="HI"/>
    <s v="Bachelor"/>
    <s v="Own"/>
    <n v="1"/>
    <n v="1"/>
    <n v="7169.8608000000004"/>
    <n v="5233.9983840000004"/>
    <n v="2233.9983840000004"/>
  </r>
  <r>
    <x v="2"/>
    <s v="MI"/>
    <s v="Masters"/>
    <s v="Rent"/>
    <n v="1"/>
    <n v="1"/>
    <n v="1477.7424000000001"/>
    <n v="1078.7519520000001"/>
    <n v="-2921.2480479999999"/>
  </r>
  <r>
    <x v="2"/>
    <s v="MI"/>
    <s v="Bachelor"/>
    <s v="Own"/>
    <n v="0"/>
    <n v="1"/>
    <n v="9572.4264000000003"/>
    <n v="6987.8712720000003"/>
    <n v="5987.8712720000003"/>
  </r>
  <r>
    <x v="2"/>
    <s v="MI"/>
    <s v="College"/>
    <s v="Own"/>
    <n v="0"/>
    <n v="1"/>
    <n v="7978.8743999999997"/>
    <n v="5824.5783119999996"/>
    <n v="-3175.4216880000004"/>
  </r>
  <r>
    <x v="0"/>
    <s v="MI"/>
    <s v="Masters"/>
    <s v="Rent"/>
    <n v="1"/>
    <n v="0"/>
    <n v="4732.6500000000005"/>
    <n v="3454.8345000000004"/>
    <n v="-545.16549999999961"/>
  </r>
  <r>
    <x v="0"/>
    <s v="LI"/>
    <s v="High School"/>
    <s v="Rent"/>
    <n v="1"/>
    <n v="1"/>
    <n v="6158.4744000000001"/>
    <n v="4495.6863119999998"/>
    <n v="-504.31368800000018"/>
  </r>
  <r>
    <x v="2"/>
    <s v="HI"/>
    <s v="Bachelor"/>
    <s v="Mortgage"/>
    <n v="0"/>
    <n v="1"/>
    <n v="9536.6736000000001"/>
    <n v="6961.7717279999997"/>
    <n v="961.77172799999971"/>
  </r>
  <r>
    <x v="0"/>
    <s v="LI"/>
    <s v="Bachelor"/>
    <s v="Own"/>
    <n v="0"/>
    <n v="1"/>
    <n v="7495.3872000000001"/>
    <n v="5471.6326559999998"/>
    <n v="-3528.3673440000002"/>
  </r>
  <r>
    <x v="0"/>
    <s v="MI"/>
    <s v="High School"/>
    <s v="Own"/>
    <n v="1"/>
    <n v="1"/>
    <n v="3381.7620000000002"/>
    <n v="2468.6862599999999"/>
    <n v="-1531.3137400000001"/>
  </r>
  <r>
    <x v="2"/>
    <s v="LI"/>
    <s v="High School"/>
    <s v="Own"/>
    <n v="1"/>
    <n v="1"/>
    <n v="10303.550400000002"/>
    <n v="7521.5917920000011"/>
    <n v="5521.5917920000011"/>
  </r>
  <r>
    <x v="0"/>
    <s v="LI"/>
    <s v="Bachelor"/>
    <s v="Own"/>
    <n v="1"/>
    <n v="1"/>
    <n v="9561.33"/>
    <n v="6979.7708999999995"/>
    <n v="979.77089999999953"/>
  </r>
  <r>
    <x v="0"/>
    <s v="HI"/>
    <s v="Masters"/>
    <s v="Mortgage"/>
    <n v="1"/>
    <n v="0"/>
    <n v="4167"/>
    <n v="3041.91"/>
    <n v="-5958.09"/>
  </r>
  <r>
    <x v="2"/>
    <s v="MI"/>
    <s v="Masters"/>
    <s v="Own"/>
    <n v="1"/>
    <n v="1"/>
    <n v="5772.18"/>
    <n v="4213.6913999999997"/>
    <n v="3213.6913999999997"/>
  </r>
  <r>
    <x v="0"/>
    <s v="HI"/>
    <s v="Bachelor"/>
    <s v="Mortgage"/>
    <n v="1"/>
    <n v="1"/>
    <n v="8447.6784000000007"/>
    <n v="6166.8052320000006"/>
    <n v="4166.8052320000006"/>
  </r>
  <r>
    <x v="0"/>
    <s v="MI"/>
    <s v="Bachelor"/>
    <s v="Mortgage"/>
    <n v="1"/>
    <n v="1"/>
    <n v="4666.4592000000002"/>
    <n v="3406.5152160000002"/>
    <n v="-4593.4847840000002"/>
  </r>
  <r>
    <x v="0"/>
    <s v="MI"/>
    <s v="Bachelor"/>
    <s v="Mortgage"/>
    <n v="0"/>
    <n v="1"/>
    <n v="9479.1551999999992"/>
    <n v="6919.7832959999996"/>
    <n v="-80.216704000000391"/>
  </r>
  <r>
    <x v="1"/>
    <s v="MI"/>
    <s v="MD"/>
    <s v="Mortgage"/>
    <n v="0"/>
    <n v="1"/>
    <n v="12635.369999999999"/>
    <n v="9223.820099999999"/>
    <n v="6223.820099999999"/>
  </r>
  <r>
    <x v="1"/>
    <s v="LI"/>
    <s v="Bachelor"/>
    <s v="Mortgage"/>
    <n v="1"/>
    <n v="0"/>
    <n v="3160.35"/>
    <n v="2307.0554999999999"/>
    <n v="-2692.9445000000001"/>
  </r>
  <r>
    <x v="0"/>
    <s v="LI"/>
    <s v="Masters"/>
    <s v="Mortgage"/>
    <n v="1"/>
    <n v="0"/>
    <n v="10783.307999999999"/>
    <n v="7871.8148399999991"/>
    <n v="3871.8148399999991"/>
  </r>
  <r>
    <x v="1"/>
    <s v="MI"/>
    <s v="NA"/>
    <s v="Rent"/>
    <n v="1"/>
    <n v="0"/>
    <n v="1174.08"/>
    <n v="857.07839999999987"/>
    <n v="-9142.9215999999997"/>
  </r>
  <r>
    <x v="1"/>
    <s v="MI"/>
    <s v="Bachelor"/>
    <s v="Own"/>
    <n v="0"/>
    <n v="1"/>
    <n v="11284.92"/>
    <n v="8237.9915999999994"/>
    <n v="1237.9915999999994"/>
  </r>
  <r>
    <x v="2"/>
    <s v="LI"/>
    <s v="High School"/>
    <s v="Rent"/>
    <n v="1"/>
    <n v="1"/>
    <n v="7962.3804000000009"/>
    <n v="5812.5376920000008"/>
    <n v="-1187.4623079999992"/>
  </r>
  <r>
    <x v="0"/>
    <s v="HI"/>
    <s v="College"/>
    <s v="Own"/>
    <n v="0"/>
    <n v="1"/>
    <n v="983.76"/>
    <n v="718.14480000000003"/>
    <n v="-6281.8552"/>
  </r>
  <r>
    <x v="0"/>
    <s v="LI"/>
    <s v="High School"/>
    <s v="Rent"/>
    <n v="1"/>
    <n v="0"/>
    <n v="6241.38"/>
    <n v="4556.2074000000002"/>
    <n v="2556.2074000000002"/>
  </r>
  <r>
    <x v="0"/>
    <s v="LI"/>
    <s v="High School"/>
    <s v="Own"/>
    <n v="1"/>
    <n v="1"/>
    <n v="12333.941999999999"/>
    <n v="9003.7776599999997"/>
    <n v="1003.7776599999997"/>
  </r>
  <r>
    <x v="2"/>
    <s v="HI"/>
    <s v="Masters"/>
    <s v="Mortgage"/>
    <n v="1"/>
    <n v="0"/>
    <n v="9130.0199999999986"/>
    <n v="6664.9145999999992"/>
    <n v="664.91459999999915"/>
  </r>
  <r>
    <x v="2"/>
    <s v="MI"/>
    <s v="Bachelor"/>
    <s v="Mortgage"/>
    <n v="1"/>
    <n v="0"/>
    <n v="4624.68"/>
    <n v="3376.0164"/>
    <n v="-1623.9836"/>
  </r>
  <r>
    <x v="0"/>
    <s v="HI"/>
    <s v="College"/>
    <s v="Own"/>
    <n v="1"/>
    <n v="1"/>
    <n v="10448.546400000001"/>
    <n v="7627.4388720000006"/>
    <n v="6627.4388720000006"/>
  </r>
  <r>
    <x v="0"/>
    <s v="HI"/>
    <s v="MD"/>
    <s v="Mortgage"/>
    <n v="1"/>
    <n v="1"/>
    <n v="2970.5472"/>
    <n v="2168.499456"/>
    <n v="-2831.500544"/>
  </r>
  <r>
    <x v="2"/>
    <s v="MI"/>
    <s v="Bachelor"/>
    <s v="Own"/>
    <n v="1"/>
    <n v="0"/>
    <n v="8867.232"/>
    <n v="6473.0793599999997"/>
    <n v="-526.92064000000028"/>
  </r>
  <r>
    <x v="0"/>
    <s v="MI"/>
    <s v="MD"/>
    <s v="Own"/>
    <n v="0"/>
    <n v="1"/>
    <n v="10357.41"/>
    <n v="7560.9092999999993"/>
    <n v="560.90929999999935"/>
  </r>
  <r>
    <x v="2"/>
    <s v="HI"/>
    <s v="Bachelor"/>
    <s v="Mortgage"/>
    <n v="1"/>
    <n v="1"/>
    <n v="1188.5412000000001"/>
    <n v="867.63507600000003"/>
    <n v="-132.36492399999997"/>
  </r>
  <r>
    <x v="0"/>
    <s v="HI"/>
    <s v="College"/>
    <s v="Rent"/>
    <n v="1"/>
    <n v="1"/>
    <n v="7677.9192000000003"/>
    <n v="5604.8810160000003"/>
    <n v="3604.8810160000003"/>
  </r>
  <r>
    <x v="0"/>
    <s v="MI"/>
    <s v="College"/>
    <s v="Own"/>
    <n v="1"/>
    <n v="1"/>
    <n v="6798.9600000000009"/>
    <n v="4963.2408000000005"/>
    <n v="3963.2408000000005"/>
  </r>
  <r>
    <x v="2"/>
    <s v="MI"/>
    <s v="High School"/>
    <s v="Rent"/>
    <n v="1"/>
    <n v="1"/>
    <n v="2647.47"/>
    <n v="1932.6530999999998"/>
    <n v="-3067.3469000000005"/>
  </r>
  <r>
    <x v="0"/>
    <s v="MI"/>
    <s v="Bachelor"/>
    <s v="Mortgage"/>
    <n v="1"/>
    <n v="1"/>
    <n v="1632.12"/>
    <n v="1191.4476"/>
    <n v="191.44759999999997"/>
  </r>
  <r>
    <x v="1"/>
    <s v="LI"/>
    <s v="High School"/>
    <s v="Mortgage"/>
    <n v="1"/>
    <n v="1"/>
    <n v="6353.5164000000004"/>
    <n v="4638.0669720000005"/>
    <n v="-2361.9330279999995"/>
  </r>
  <r>
    <x v="1"/>
    <s v="MI"/>
    <s v="High School"/>
    <s v="Own"/>
    <n v="1"/>
    <n v="1"/>
    <n v="11639.491199999999"/>
    <n v="8496.8285759999981"/>
    <n v="-1503.1714240000019"/>
  </r>
  <r>
    <x v="2"/>
    <s v="LI"/>
    <s v="High School"/>
    <s v="Own"/>
    <n v="1"/>
    <n v="0"/>
    <n v="4123.9008000000003"/>
    <n v="3010.447584"/>
    <n v="-3989.552416"/>
  </r>
  <r>
    <x v="2"/>
    <s v="MI"/>
    <s v="Bachelor"/>
    <s v="Mortgage"/>
    <n v="1"/>
    <n v="0"/>
    <n v="3837.24"/>
    <n v="2801.1851999999999"/>
    <n v="-7198.8148000000001"/>
  </r>
  <r>
    <x v="1"/>
    <s v="MI"/>
    <s v="Bachelor"/>
    <s v="Rent"/>
    <n v="1"/>
    <n v="0"/>
    <n v="11924.28"/>
    <n v="8704.724400000001"/>
    <n v="704.72440000000097"/>
  </r>
  <r>
    <x v="0"/>
    <s v="LI"/>
    <s v="PhD"/>
    <s v="Rent"/>
    <n v="1"/>
    <n v="1"/>
    <n v="2762.88"/>
    <n v="2016.9023999999999"/>
    <n v="-1983.0976000000001"/>
  </r>
  <r>
    <x v="1"/>
    <s v="MI"/>
    <s v="Bachelor"/>
    <s v="Mortgage"/>
    <n v="1"/>
    <n v="1"/>
    <n v="12947.039999999999"/>
    <n v="9451.3391999999985"/>
    <n v="1451.3391999999985"/>
  </r>
  <r>
    <x v="0"/>
    <s v="MI"/>
    <s v="Masters"/>
    <s v="Own"/>
    <n v="0"/>
    <n v="1"/>
    <n v="6337.6763999999994"/>
    <n v="4626.5037719999991"/>
    <n v="-4373.4962280000009"/>
  </r>
  <r>
    <x v="2"/>
    <s v="MI"/>
    <s v="Bachelor"/>
    <s v="Own"/>
    <n v="1"/>
    <n v="0"/>
    <n v="5335.5432000000001"/>
    <n v="3894.9465359999999"/>
    <n v="-1105.0534640000001"/>
  </r>
  <r>
    <x v="0"/>
    <s v="HI"/>
    <s v="Bachelor"/>
    <s v="Mortgage"/>
    <n v="1"/>
    <n v="1"/>
    <n v="600.02159999999992"/>
    <n v="438.01576799999992"/>
    <n v="-8561.9842320000007"/>
  </r>
  <r>
    <x v="2"/>
    <s v="MI"/>
    <s v="PhD"/>
    <s v="Mortgage"/>
    <n v="1"/>
    <n v="0"/>
    <n v="6716.9088000000002"/>
    <n v="4903.3434239999997"/>
    <n v="-96.656576000000314"/>
  </r>
  <r>
    <x v="2"/>
    <s v="LI"/>
    <s v="High School"/>
    <s v="Mortgage"/>
    <n v="1"/>
    <n v="1"/>
    <n v="9030.2255999999998"/>
    <n v="6592.0646879999995"/>
    <n v="3592.0646879999995"/>
  </r>
  <r>
    <x v="0"/>
    <s v="LI"/>
    <s v="Masters"/>
    <s v="Own"/>
    <n v="0"/>
    <n v="0"/>
    <n v="11242.56"/>
    <n v="8207.0687999999991"/>
    <n v="6207.0687999999991"/>
  </r>
  <r>
    <x v="0"/>
    <s v="MI"/>
    <s v="Bachelor"/>
    <s v="Own"/>
    <n v="0"/>
    <n v="0"/>
    <n v="6512.22"/>
    <n v="4753.9206000000004"/>
    <n v="-3246.0793999999996"/>
  </r>
  <r>
    <x v="1"/>
    <s v="MI"/>
    <s v="PhD"/>
    <s v="Own"/>
    <n v="1"/>
    <n v="1"/>
    <n v="9039.6491999999998"/>
    <n v="6598.9439160000002"/>
    <n v="-401.05608399999983"/>
  </r>
  <r>
    <x v="0"/>
    <s v="MI"/>
    <s v="Bachelor"/>
    <s v="Rent"/>
    <n v="1"/>
    <n v="1"/>
    <n v="901.18079999999998"/>
    <n v="657.86198400000001"/>
    <n v="-3342.1380159999999"/>
  </r>
  <r>
    <x v="1"/>
    <s v="MI"/>
    <s v="High School"/>
    <s v="Mortgage"/>
    <n v="1"/>
    <n v="1"/>
    <n v="8661.5339999999997"/>
    <n v="6322.9198199999992"/>
    <n v="2322.9198199999992"/>
  </r>
  <r>
    <x v="2"/>
    <s v="MI"/>
    <s v="High School"/>
    <s v="Rent"/>
    <n v="1"/>
    <n v="1"/>
    <n v="10196.600399999999"/>
    <n v="7443.5182919999997"/>
    <n v="-556.48170800000025"/>
  </r>
  <r>
    <x v="0"/>
    <s v="MI"/>
    <s v="NA"/>
    <s v="Rent"/>
    <n v="1"/>
    <n v="1"/>
    <n v="7289.9352000000008"/>
    <n v="5321.6526960000001"/>
    <n v="2321.6526960000001"/>
  </r>
  <r>
    <x v="1"/>
    <s v="HI"/>
    <s v="College"/>
    <s v="Rent"/>
    <n v="1"/>
    <n v="1"/>
    <n v="7799.4"/>
    <n v="5693.5619999999999"/>
    <n v="-4306.4380000000001"/>
  </r>
  <r>
    <x v="2"/>
    <s v="MI"/>
    <s v="Bachelor"/>
    <s v="Rent"/>
    <n v="1"/>
    <n v="1"/>
    <n v="3546.3455999999996"/>
    <n v="2588.8322879999996"/>
    <n v="-5411.1677120000004"/>
  </r>
  <r>
    <x v="2"/>
    <s v="MI"/>
    <s v="College"/>
    <s v="Mortgage"/>
    <n v="1"/>
    <n v="1"/>
    <n v="7036.47"/>
    <n v="5136.6230999999998"/>
    <n v="3136.6230999999998"/>
  </r>
  <r>
    <x v="0"/>
    <s v="HI"/>
    <s v="Bachelor"/>
    <s v="Rent"/>
    <n v="1"/>
    <n v="1"/>
    <n v="1776.1535999999999"/>
    <n v="1296.5921279999998"/>
    <n v="-703.40787200000022"/>
  </r>
  <r>
    <x v="1"/>
    <s v="MI"/>
    <s v="Bachelor"/>
    <s v="Mortgage"/>
    <n v="1"/>
    <n v="1"/>
    <n v="662.73120000000006"/>
    <n v="483.79377600000004"/>
    <n v="-4516.2062239999996"/>
  </r>
  <r>
    <x v="2"/>
    <s v="MI"/>
    <s v="Bachelor"/>
    <s v="Own"/>
    <n v="1"/>
    <n v="0"/>
    <n v="10287.66"/>
    <n v="7509.9917999999998"/>
    <n v="5509.9917999999998"/>
  </r>
  <r>
    <x v="0"/>
    <s v="MI"/>
    <s v="Bachelor"/>
    <s v="Own"/>
    <n v="1"/>
    <n v="0"/>
    <n v="7122.1500000000005"/>
    <n v="5199.1695"/>
    <n v="4199.1695"/>
  </r>
  <r>
    <x v="0"/>
    <s v="HI"/>
    <s v="Bachelor"/>
    <s v="Own"/>
    <n v="1"/>
    <n v="1"/>
    <n v="5066.6196"/>
    <n v="3698.6323079999997"/>
    <n v="-3301.3676920000003"/>
  </r>
  <r>
    <x v="0"/>
    <s v="LI"/>
    <s v="Bachelor"/>
    <s v="Own"/>
    <n v="0"/>
    <n v="0"/>
    <n v="7949.9039999999995"/>
    <n v="5803.4299199999996"/>
    <n v="803.42991999999958"/>
  </r>
  <r>
    <x v="2"/>
    <s v="HI"/>
    <s v="College"/>
    <s v="Rent"/>
    <n v="1"/>
    <n v="1"/>
    <n v="2842.2000000000003"/>
    <n v="2074.806"/>
    <n v="74.80600000000004"/>
  </r>
  <r>
    <x v="0"/>
    <s v="MI"/>
    <s v="MD"/>
    <s v="Mortgage"/>
    <n v="0"/>
    <n v="1"/>
    <n v="3469.3056000000001"/>
    <n v="2532.5930880000001"/>
    <n v="-7467.4069120000004"/>
  </r>
  <r>
    <x v="0"/>
    <s v="LI"/>
    <s v="Bachelor"/>
    <s v="Rent"/>
    <n v="1"/>
    <n v="0"/>
    <n v="2836.2240000000002"/>
    <n v="2070.4435200000003"/>
    <n v="-4929.5564799999993"/>
  </r>
  <r>
    <x v="2"/>
    <s v="MI"/>
    <s v="High School"/>
    <s v="Mortgage"/>
    <n v="0"/>
    <n v="1"/>
    <n v="7931.7120000000004"/>
    <n v="5790.1497600000002"/>
    <n v="3790.1497600000002"/>
  </r>
  <r>
    <x v="2"/>
    <s v="MI"/>
    <s v="High School"/>
    <s v="Rent"/>
    <n v="1"/>
    <n v="1"/>
    <n v="6684.48"/>
    <n v="4879.6704"/>
    <n v="-3120.3296"/>
  </r>
  <r>
    <x v="0"/>
    <s v="LI"/>
    <s v="Bachelor"/>
    <s v="Mortgage"/>
    <n v="1"/>
    <n v="1"/>
    <n v="3845.04"/>
    <n v="2806.8791999999999"/>
    <n v="-1193.1208000000001"/>
  </r>
  <r>
    <x v="2"/>
    <s v="MI"/>
    <s v="Masters"/>
    <s v="Own"/>
    <n v="1"/>
    <n v="1"/>
    <n v="8244.2111999999997"/>
    <n v="6018.2741759999999"/>
    <n v="2018.2741759999999"/>
  </r>
  <r>
    <x v="2"/>
    <s v="HI"/>
    <s v="College"/>
    <s v="Rent"/>
    <n v="0"/>
    <n v="0"/>
    <n v="10179.0432"/>
    <n v="7430.7015359999996"/>
    <n v="430.70153599999958"/>
  </r>
  <r>
    <x v="2"/>
    <s v="MI"/>
    <s v="College"/>
    <s v="Own"/>
    <n v="0"/>
    <n v="1"/>
    <n v="4386.5964000000004"/>
    <n v="3202.2153720000001"/>
    <n v="2202.2153720000001"/>
  </r>
  <r>
    <x v="2"/>
    <s v="LI"/>
    <s v="Bachelor"/>
    <s v="Own"/>
    <n v="1"/>
    <n v="1"/>
    <n v="11694.12"/>
    <n v="8536.7075999999997"/>
    <n v="4536.7075999999997"/>
  </r>
  <r>
    <x v="1"/>
    <s v="MI"/>
    <s v="High School"/>
    <s v="Mortgage"/>
    <n v="1"/>
    <n v="1"/>
    <n v="9035.9663999999993"/>
    <n v="6596.2554719999989"/>
    <n v="6596.2554719999989"/>
  </r>
  <r>
    <x v="0"/>
    <s v="MI"/>
    <s v="Masters"/>
    <s v="Own"/>
    <n v="1"/>
    <n v="0"/>
    <n v="3393.3564000000001"/>
    <n v="2477.1501720000001"/>
    <n v="477.15017200000011"/>
  </r>
  <r>
    <x v="2"/>
    <s v="HI"/>
    <s v="Bachelor"/>
    <s v="Mortgage"/>
    <n v="1"/>
    <n v="1"/>
    <n v="4231.2024000000001"/>
    <n v="3088.777752"/>
    <n v="-2911.222248"/>
  </r>
  <r>
    <x v="2"/>
    <s v="LI"/>
    <s v="MD"/>
    <s v="Own"/>
    <n v="1"/>
    <n v="1"/>
    <n v="12446.438399999999"/>
    <n v="9085.9000319999996"/>
    <n v="1085.9000319999996"/>
  </r>
  <r>
    <x v="2"/>
    <s v="MI"/>
    <s v="High School"/>
    <s v="Rent"/>
    <n v="0"/>
    <n v="1"/>
    <n v="2592"/>
    <n v="1892.1599999999999"/>
    <n v="-4107.84"/>
  </r>
  <r>
    <x v="0"/>
    <s v="HI"/>
    <s v="Bachelor"/>
    <s v="Rent"/>
    <n v="1"/>
    <n v="0"/>
    <n v="6595.2828000000009"/>
    <n v="4814.5564440000007"/>
    <n v="-3185.4435559999993"/>
  </r>
  <r>
    <x v="2"/>
    <s v="MI"/>
    <s v="PhD"/>
    <s v="Own"/>
    <n v="1"/>
    <n v="1"/>
    <n v="14133.12"/>
    <n v="10317.177600000001"/>
    <n v="3317.1776000000009"/>
  </r>
  <r>
    <x v="0"/>
    <s v="HI"/>
    <s v="College"/>
    <s v="Mortgage"/>
    <n v="0"/>
    <n v="1"/>
    <n v="2964.6935999999996"/>
    <n v="2164.2263279999997"/>
    <n v="-4835.7736720000003"/>
  </r>
  <r>
    <x v="0"/>
    <s v="LI"/>
    <s v="High School"/>
    <s v="Mortgage"/>
    <n v="0"/>
    <n v="1"/>
    <n v="9371.25"/>
    <n v="6841.0124999999998"/>
    <n v="4841.0124999999998"/>
  </r>
  <r>
    <x v="0"/>
    <s v="HI"/>
    <s v="Masters"/>
    <s v="Mortgage"/>
    <n v="1"/>
    <n v="1"/>
    <n v="4695.8999999999996"/>
    <n v="3428.0069999999996"/>
    <n v="3428.0069999999996"/>
  </r>
  <r>
    <x v="0"/>
    <s v="LI"/>
    <s v="Bachelor"/>
    <s v="Rent"/>
    <n v="1"/>
    <n v="0"/>
    <n v="6012"/>
    <n v="4388.76"/>
    <n v="3388.76"/>
  </r>
  <r>
    <x v="0"/>
    <s v="HI"/>
    <s v="Bachelor"/>
    <s v="Rent"/>
    <n v="1"/>
    <n v="1"/>
    <n v="11615.117999999999"/>
    <n v="8479.0361399999983"/>
    <n v="-1520.9638600000017"/>
  </r>
  <r>
    <x v="1"/>
    <s v="MI"/>
    <s v="NA"/>
    <s v="Rent"/>
    <n v="1"/>
    <n v="1"/>
    <n v="7280.28"/>
    <n v="5314.6043999999993"/>
    <n v="314.60439999999926"/>
  </r>
  <r>
    <x v="0"/>
    <s v="MI"/>
    <s v="Bachelor"/>
    <s v="Own"/>
    <n v="1"/>
    <n v="1"/>
    <n v="8017.6068000000005"/>
    <n v="5852.8529640000006"/>
    <n v="4852.8529640000006"/>
  </r>
  <r>
    <x v="2"/>
    <s v="MI"/>
    <s v="NA"/>
    <s v="Rent"/>
    <n v="1"/>
    <n v="0"/>
    <n v="7391.0424000000003"/>
    <n v="5395.4609520000004"/>
    <n v="2395.4609520000004"/>
  </r>
  <r>
    <x v="1"/>
    <s v="HI"/>
    <s v="Bachelor"/>
    <s v="Own"/>
    <n v="1"/>
    <n v="0"/>
    <n v="11271.5736"/>
    <n v="8228.2487280000005"/>
    <n v="-1771.7512719999995"/>
  </r>
  <r>
    <x v="2"/>
    <s v="MI"/>
    <s v="Bachelor"/>
    <s v="Mortgage"/>
    <n v="1"/>
    <n v="1"/>
    <n v="7004.85"/>
    <n v="5113.5405000000001"/>
    <n v="1113.5405000000001"/>
  </r>
  <r>
    <x v="0"/>
    <s v="HI"/>
    <s v="Masters"/>
    <s v="Own"/>
    <n v="0"/>
    <n v="1"/>
    <n v="4261.7988000000005"/>
    <n v="3111.1131240000004"/>
    <n v="-3888.8868759999996"/>
  </r>
  <r>
    <x v="1"/>
    <s v="MI"/>
    <s v="Bachelor"/>
    <s v="Rent"/>
    <n v="1"/>
    <n v="1"/>
    <n v="2646.6264000000001"/>
    <n v="1932.037272"/>
    <n v="-6067.9627280000004"/>
  </r>
  <r>
    <x v="0"/>
    <s v="MI"/>
    <s v="High School"/>
    <s v="Mortgage"/>
    <n v="1"/>
    <n v="0"/>
    <n v="8291.85"/>
    <n v="6053.0505000000003"/>
    <n v="-3946.9494999999997"/>
  </r>
  <r>
    <x v="0"/>
    <s v="MI"/>
    <s v="High School"/>
    <s v="Mortgage"/>
    <n v="0"/>
    <n v="1"/>
    <n v="10759.7112"/>
    <n v="7854.5891759999995"/>
    <n v="4854.5891759999995"/>
  </r>
  <r>
    <x v="0"/>
    <s v="MI"/>
    <s v="Bachelor"/>
    <s v="Mortgage"/>
    <n v="0"/>
    <n v="0"/>
    <n v="13465.98"/>
    <n v="9830.1653999999999"/>
    <n v="2830.1653999999999"/>
  </r>
  <r>
    <x v="0"/>
    <s v="LI"/>
    <s v="MD"/>
    <s v="Rent"/>
    <n v="0"/>
    <n v="1"/>
    <n v="11445.3"/>
    <n v="8355.0689999999995"/>
    <n v="2355.0689999999995"/>
  </r>
  <r>
    <x v="0"/>
    <s v="MI"/>
    <s v="Bachelor"/>
    <s v="Own"/>
    <n v="1"/>
    <n v="1"/>
    <n v="2358.54"/>
    <n v="1721.7341999999999"/>
    <n v="-1278.2658000000001"/>
  </r>
  <r>
    <x v="1"/>
    <s v="MI"/>
    <s v="Bachelor"/>
    <s v="Rent"/>
    <n v="0"/>
    <n v="1"/>
    <n v="2206.1016"/>
    <n v="1610.454168"/>
    <n v="1610.454168"/>
  </r>
  <r>
    <x v="2"/>
    <s v="MI"/>
    <s v="Bachelor"/>
    <s v="Own"/>
    <n v="0"/>
    <n v="1"/>
    <n v="5535"/>
    <n v="4040.5499999999997"/>
    <n v="1040.5499999999997"/>
  </r>
  <r>
    <x v="2"/>
    <s v="HI"/>
    <s v="High School"/>
    <s v="Mortgage"/>
    <n v="1"/>
    <n v="1"/>
    <n v="10012.5216"/>
    <n v="7309.1407680000002"/>
    <n v="1309.1407680000002"/>
  </r>
  <r>
    <x v="0"/>
    <s v="LI"/>
    <s v="Bachelor"/>
    <s v="Mortgage"/>
    <n v="0"/>
    <n v="0"/>
    <n v="6999.1919999999991"/>
    <n v="5109.4101599999995"/>
    <n v="4109.4101599999995"/>
  </r>
  <r>
    <x v="0"/>
    <s v="LI"/>
    <s v="High School"/>
    <s v="Mortgage"/>
    <n v="1"/>
    <n v="1"/>
    <n v="2534.4"/>
    <n v="1850.1120000000001"/>
    <n v="-8149.8879999999999"/>
  </r>
  <r>
    <x v="2"/>
    <s v="HI"/>
    <s v="MD"/>
    <s v="Own"/>
    <n v="1"/>
    <n v="1"/>
    <n v="2651.8271999999997"/>
    <n v="1935.8338559999997"/>
    <n v="-5064.1661440000007"/>
  </r>
  <r>
    <x v="0"/>
    <s v="MI"/>
    <s v="Bachelor"/>
    <s v="Own"/>
    <n v="1"/>
    <n v="0"/>
    <n v="2306.85"/>
    <n v="1684.0004999999999"/>
    <n v="-1315.9995000000001"/>
  </r>
  <r>
    <x v="0"/>
    <s v="LI"/>
    <s v="MD"/>
    <s v="Rent"/>
    <n v="0"/>
    <n v="1"/>
    <n v="2920.2"/>
    <n v="2131.7459999999996"/>
    <n v="-4868.2540000000008"/>
  </r>
  <r>
    <x v="2"/>
    <s v="MI"/>
    <s v="MD"/>
    <s v="Own"/>
    <n v="0"/>
    <n v="1"/>
    <n v="3458.9772000000003"/>
    <n v="2525.0533560000003"/>
    <n v="525.05335600000035"/>
  </r>
  <r>
    <x v="1"/>
    <s v="MI"/>
    <s v="College"/>
    <s v="Mortgage"/>
    <n v="0"/>
    <n v="1"/>
    <n v="1995.03"/>
    <n v="1456.3718999999999"/>
    <n v="-5543.6280999999999"/>
  </r>
  <r>
    <x v="0"/>
    <s v="MI"/>
    <s v="Masters"/>
    <s v="Rent"/>
    <n v="0"/>
    <n v="0"/>
    <n v="8055.2808000000005"/>
    <n v="5880.3549840000005"/>
    <n v="1880.3549840000005"/>
  </r>
  <r>
    <x v="2"/>
    <s v="MI"/>
    <s v="PhD"/>
    <s v="Mortgage"/>
    <n v="0"/>
    <n v="1"/>
    <n v="3503.9928000000004"/>
    <n v="2557.9147440000002"/>
    <n v="-6442.0852560000003"/>
  </r>
  <r>
    <x v="2"/>
    <s v="LI"/>
    <s v="High School"/>
    <s v="Own"/>
    <n v="1"/>
    <n v="1"/>
    <n v="13784.391600000001"/>
    <n v="10062.605868000001"/>
    <n v="2062.6058680000006"/>
  </r>
  <r>
    <x v="0"/>
    <s v="MI"/>
    <s v="PhD"/>
    <s v="Rent"/>
    <n v="1"/>
    <n v="1"/>
    <n v="12855.150000000001"/>
    <n v="9384.2595000000001"/>
    <n v="7384.2595000000001"/>
  </r>
  <r>
    <x v="0"/>
    <s v="LI"/>
    <s v="Bachelor"/>
    <s v="Own"/>
    <n v="0"/>
    <n v="0"/>
    <n v="7270.8383999999996"/>
    <n v="5307.7120319999995"/>
    <n v="1307.7120319999995"/>
  </r>
  <r>
    <x v="2"/>
    <s v="LI"/>
    <s v="PhD"/>
    <s v="Rent"/>
    <n v="1"/>
    <n v="0"/>
    <n v="5911.2000000000007"/>
    <n v="4315.1760000000004"/>
    <n v="-3684.8239999999996"/>
  </r>
  <r>
    <x v="0"/>
    <s v="HI"/>
    <s v="Bachelor"/>
    <s v="Rent"/>
    <n v="0"/>
    <n v="0"/>
    <n v="8510.5992000000006"/>
    <n v="6212.7374159999999"/>
    <n v="-3787.2625840000001"/>
  </r>
  <r>
    <x v="2"/>
    <s v="MI"/>
    <s v="High School"/>
    <s v="Rent"/>
    <n v="0"/>
    <n v="1"/>
    <n v="5696.6376"/>
    <n v="4158.5454479999999"/>
    <n v="3158.5454479999999"/>
  </r>
  <r>
    <x v="0"/>
    <s v="HI"/>
    <s v="Bachelor"/>
    <s v="Rent"/>
    <n v="0"/>
    <n v="1"/>
    <n v="13834.3968"/>
    <n v="10099.109664"/>
    <n v="2099.1096639999996"/>
  </r>
  <r>
    <x v="0"/>
    <s v="LI"/>
    <s v="High School"/>
    <s v="Mortgage"/>
    <n v="0"/>
    <n v="0"/>
    <n v="8270.268"/>
    <n v="6037.2956400000003"/>
    <n v="3037.2956400000003"/>
  </r>
  <r>
    <x v="0"/>
    <s v="HI"/>
    <s v="NA"/>
    <s v="Mortgage"/>
    <n v="1"/>
    <n v="1"/>
    <n v="7779.0000000000009"/>
    <n v="5678.67"/>
    <n v="2678.67"/>
  </r>
  <r>
    <x v="2"/>
    <s v="MI"/>
    <s v="High School"/>
    <s v="Rent"/>
    <n v="1"/>
    <n v="0"/>
    <n v="2694.9791999999998"/>
    <n v="1967.3348159999998"/>
    <n v="-1032.6651840000002"/>
  </r>
  <r>
    <x v="2"/>
    <s v="MI"/>
    <s v="PhD"/>
    <s v="Own"/>
    <n v="1"/>
    <n v="1"/>
    <n v="5916.48"/>
    <n v="4319.0303999999996"/>
    <n v="2319.0303999999996"/>
  </r>
  <r>
    <x v="0"/>
    <s v="HI"/>
    <s v="Bachelor"/>
    <s v="Own"/>
    <n v="1"/>
    <n v="1"/>
    <n v="10715.52"/>
    <n v="7822.3296"/>
    <n v="1822.3296"/>
  </r>
  <r>
    <x v="2"/>
    <s v="MI"/>
    <s v="Bachelor"/>
    <s v="Own"/>
    <n v="1"/>
    <n v="1"/>
    <n v="2304.2399999999998"/>
    <n v="1682.0951999999997"/>
    <n v="-2317.9048000000003"/>
  </r>
  <r>
    <x v="0"/>
    <s v="MI"/>
    <s v="Masters"/>
    <s v="Rent"/>
    <n v="1"/>
    <n v="1"/>
    <n v="935.0447999999999"/>
    <n v="682.58270399999992"/>
    <n v="-9317.4172959999996"/>
  </r>
  <r>
    <x v="1"/>
    <s v="HI"/>
    <s v="Bachelor"/>
    <s v="Rent"/>
    <n v="0"/>
    <n v="1"/>
    <n v="8637.9612000000016"/>
    <n v="6305.7116760000008"/>
    <n v="2305.7116760000008"/>
  </r>
  <r>
    <x v="0"/>
    <s v="LI"/>
    <s v="Bachelor"/>
    <s v="Own"/>
    <n v="1"/>
    <n v="0"/>
    <n v="10088.1"/>
    <n v="7364.3130000000001"/>
    <n v="364.3130000000001"/>
  </r>
  <r>
    <x v="0"/>
    <s v="LI"/>
    <s v="College"/>
    <s v="Rent"/>
    <n v="1"/>
    <n v="1"/>
    <n v="5199.768"/>
    <n v="3795.8306400000001"/>
    <n v="-4204.1693599999999"/>
  </r>
  <r>
    <x v="2"/>
    <s v="HI"/>
    <s v="MD"/>
    <s v="Own"/>
    <n v="0"/>
    <n v="0"/>
    <n v="9773.7527999999984"/>
    <n v="7134.8395439999986"/>
    <n v="2134.8395439999986"/>
  </r>
  <r>
    <x v="0"/>
    <s v="HI"/>
    <s v="Bachelor"/>
    <s v="Rent"/>
    <n v="0"/>
    <n v="1"/>
    <n v="3739.7652000000003"/>
    <n v="2730.0285960000001"/>
    <n v="730.02859600000011"/>
  </r>
  <r>
    <x v="0"/>
    <s v="LI"/>
    <s v="Bachelor"/>
    <s v="Mortgage"/>
    <n v="1"/>
    <n v="1"/>
    <n v="9587.1911999999993"/>
    <n v="6998.6495759999989"/>
    <n v="4998.6495759999989"/>
  </r>
  <r>
    <x v="0"/>
    <s v="MI"/>
    <s v="Masters"/>
    <s v="Rent"/>
    <n v="1"/>
    <n v="1"/>
    <n v="3160.62"/>
    <n v="2307.2525999999998"/>
    <n v="-3692.7474000000002"/>
  </r>
  <r>
    <x v="2"/>
    <s v="LI"/>
    <s v="Masters"/>
    <s v="Own"/>
    <n v="1"/>
    <n v="1"/>
    <n v="8317.6463999999996"/>
    <n v="6071.8818719999999"/>
    <n v="5071.8818719999999"/>
  </r>
  <r>
    <x v="0"/>
    <s v="HI"/>
    <s v="Masters"/>
    <s v="Own"/>
    <n v="1"/>
    <n v="1"/>
    <n v="1299.8496000000002"/>
    <n v="948.89020800000014"/>
    <n v="-9051.1097919999993"/>
  </r>
  <r>
    <x v="0"/>
    <s v="MI"/>
    <s v="PhD"/>
    <s v="Own"/>
    <n v="1"/>
    <n v="1"/>
    <n v="6224.9472000000005"/>
    <n v="4544.211456"/>
    <n v="-1455.788544"/>
  </r>
  <r>
    <x v="2"/>
    <s v="HI"/>
    <s v="Bachelor"/>
    <s v="Mortgage"/>
    <n v="1"/>
    <n v="1"/>
    <n v="2111.3856000000001"/>
    <n v="1541.3114880000001"/>
    <n v="-6458.6885119999997"/>
  </r>
  <r>
    <x v="0"/>
    <s v="LI"/>
    <s v="Bachelor"/>
    <s v="Mortgage"/>
    <n v="1"/>
    <n v="1"/>
    <n v="7276.05"/>
    <n v="5311.5164999999997"/>
    <n v="-2688.4835000000003"/>
  </r>
  <r>
    <x v="0"/>
    <s v="MI"/>
    <s v="High School"/>
    <s v="Own"/>
    <n v="1"/>
    <n v="1"/>
    <n v="5691.36"/>
    <n v="4154.6927999999998"/>
    <n v="-3845.3072000000002"/>
  </r>
  <r>
    <x v="0"/>
    <s v="LI"/>
    <s v="Masters"/>
    <s v="Own"/>
    <n v="1"/>
    <n v="0"/>
    <n v="8052.9624000000003"/>
    <n v="5878.6625519999998"/>
    <n v="-1121.3374480000002"/>
  </r>
  <r>
    <x v="1"/>
    <s v="MI"/>
    <s v="Bachelor"/>
    <s v="Own"/>
    <n v="1"/>
    <n v="1"/>
    <n v="14660.629199999999"/>
    <n v="10702.259316"/>
    <n v="10702.259316"/>
  </r>
  <r>
    <x v="0"/>
    <s v="MI"/>
    <s v="Masters"/>
    <s v="Rent"/>
    <n v="0"/>
    <n v="1"/>
    <n v="10841.01"/>
    <n v="7913.9372999999996"/>
    <n v="4913.9372999999996"/>
  </r>
  <r>
    <x v="0"/>
    <s v="MI"/>
    <s v="Masters"/>
    <s v="Mortgage"/>
    <n v="1"/>
    <n v="1"/>
    <n v="5271.8616000000002"/>
    <n v="3848.4589679999999"/>
    <n v="-6151.5410320000001"/>
  </r>
  <r>
    <x v="0"/>
    <s v="HI"/>
    <s v="College"/>
    <s v="Mortgage"/>
    <n v="0"/>
    <n v="1"/>
    <n v="7014.9600000000009"/>
    <n v="5120.9208000000008"/>
    <n v="-4879.0791999999992"/>
  </r>
  <r>
    <x v="2"/>
    <s v="MI"/>
    <s v="PhD"/>
    <s v="Rent"/>
    <n v="0"/>
    <n v="1"/>
    <n v="1047.0336"/>
    <n v="764.33452799999998"/>
    <n v="-1235.6654720000001"/>
  </r>
  <r>
    <x v="2"/>
    <s v="MI"/>
    <s v="High School"/>
    <s v="Own"/>
    <n v="1"/>
    <n v="1"/>
    <n v="8656.5"/>
    <n v="6319.2449999999999"/>
    <n v="4319.2449999999999"/>
  </r>
  <r>
    <x v="2"/>
    <s v="HI"/>
    <s v="Bachelor"/>
    <s v="Own"/>
    <n v="1"/>
    <n v="1"/>
    <n v="1120.95"/>
    <n v="818.29349999999999"/>
    <n v="-9181.7065000000002"/>
  </r>
  <r>
    <x v="1"/>
    <s v="MI"/>
    <s v="High School"/>
    <s v="Own"/>
    <n v="0"/>
    <n v="1"/>
    <n v="3107.52"/>
    <n v="2268.4895999999999"/>
    <n v="-5731.5104000000001"/>
  </r>
  <r>
    <x v="2"/>
    <s v="LI"/>
    <s v="Bachelor"/>
    <s v="Mortgage"/>
    <n v="1"/>
    <n v="1"/>
    <n v="10884.6396"/>
    <n v="7945.786908"/>
    <n v="-1054.213092"/>
  </r>
  <r>
    <x v="0"/>
    <s v="HI"/>
    <s v="Bachelor"/>
    <s v="Rent"/>
    <n v="1"/>
    <n v="0"/>
    <n v="12575.606399999999"/>
    <n v="9180.1926719999992"/>
    <n v="4180.1926719999992"/>
  </r>
  <r>
    <x v="0"/>
    <s v="MI"/>
    <s v="High School"/>
    <s v="Rent"/>
    <n v="1"/>
    <n v="1"/>
    <n v="696.18359999999996"/>
    <n v="508.21402799999993"/>
    <n v="-3491.7859720000001"/>
  </r>
  <r>
    <x v="0"/>
    <s v="MI"/>
    <s v="College"/>
    <s v="Mortgage"/>
    <n v="0"/>
    <n v="0"/>
    <n v="1421.7168000000001"/>
    <n v="1037.8532640000001"/>
    <n v="-8962.1467360000006"/>
  </r>
  <r>
    <x v="2"/>
    <s v="LI"/>
    <s v="High School"/>
    <s v="Mortgage"/>
    <n v="0"/>
    <n v="1"/>
    <n v="7227.5472"/>
    <n v="5276.1094560000001"/>
    <n v="276.10945600000014"/>
  </r>
  <r>
    <x v="1"/>
    <s v="LI"/>
    <s v="High School"/>
    <s v="Own"/>
    <n v="1"/>
    <n v="0"/>
    <n v="9739.9968000000008"/>
    <n v="7110.1976640000003"/>
    <n v="-889.80233599999974"/>
  </r>
  <r>
    <x v="0"/>
    <s v="LI"/>
    <s v="Bachelor"/>
    <s v="Mortgage"/>
    <n v="0"/>
    <n v="1"/>
    <n v="7524.9023999999999"/>
    <n v="5493.1787519999998"/>
    <n v="3493.1787519999998"/>
  </r>
  <r>
    <x v="2"/>
    <s v="LI"/>
    <s v="High School"/>
    <s v="Mortgage"/>
    <n v="0"/>
    <n v="1"/>
    <n v="7851.6576000000005"/>
    <n v="5731.7100479999999"/>
    <n v="4731.7100479999999"/>
  </r>
  <r>
    <x v="0"/>
    <s v="MI"/>
    <s v="Bachelor"/>
    <s v="Rent"/>
    <n v="0"/>
    <n v="1"/>
    <n v="6977.88"/>
    <n v="5093.8523999999998"/>
    <n v="-906.14760000000024"/>
  </r>
  <r>
    <x v="2"/>
    <s v="LI"/>
    <s v="NA"/>
    <s v="Rent"/>
    <n v="1"/>
    <n v="1"/>
    <n v="2068.1856000000002"/>
    <n v="1509.7754880000002"/>
    <n v="-5490.2245119999998"/>
  </r>
  <r>
    <x v="0"/>
    <s v="LI"/>
    <s v="High School"/>
    <s v="Own"/>
    <n v="0"/>
    <n v="1"/>
    <n v="2408.808"/>
    <n v="1758.42984"/>
    <n v="-7241.5701600000002"/>
  </r>
  <r>
    <x v="0"/>
    <s v="HI"/>
    <s v="College"/>
    <s v="Own"/>
    <n v="0"/>
    <n v="1"/>
    <n v="4508.8692000000001"/>
    <n v="3291.4745159999998"/>
    <n v="-6708.5254839999998"/>
  </r>
  <r>
    <x v="0"/>
    <s v="LI"/>
    <s v="MD"/>
    <s v="Own"/>
    <n v="0"/>
    <n v="1"/>
    <n v="7935.4079999999994"/>
    <n v="5792.8478399999995"/>
    <n v="-4207.1521600000005"/>
  </r>
  <r>
    <x v="0"/>
    <s v="MI"/>
    <s v="Masters"/>
    <s v="Rent"/>
    <n v="0"/>
    <n v="1"/>
    <n v="11904.4944"/>
    <n v="8690.2809120000002"/>
    <n v="-1309.7190879999998"/>
  </r>
  <r>
    <x v="0"/>
    <s v="LI"/>
    <s v="Bachelor"/>
    <s v="Rent"/>
    <n v="0"/>
    <n v="1"/>
    <n v="1328.58"/>
    <n v="969.86339999999996"/>
    <n v="-1030.1366"/>
  </r>
  <r>
    <x v="0"/>
    <s v="MI"/>
    <s v="Bachelor"/>
    <s v="Rent"/>
    <n v="1"/>
    <n v="1"/>
    <n v="12327.36"/>
    <n v="8998.9727999999996"/>
    <n v="-1.0272000000004482"/>
  </r>
  <r>
    <x v="0"/>
    <s v="HI"/>
    <s v="PhD"/>
    <s v="Mortgage"/>
    <n v="1"/>
    <n v="1"/>
    <n v="8358.3000000000011"/>
    <n v="6101.5590000000002"/>
    <n v="-898.4409999999998"/>
  </r>
  <r>
    <x v="0"/>
    <s v="LI"/>
    <s v="Bachelor"/>
    <s v="Mortgage"/>
    <n v="1"/>
    <n v="0"/>
    <n v="3841.5168000000003"/>
    <n v="2804.307264"/>
    <n v="-1195.692736"/>
  </r>
  <r>
    <x v="2"/>
    <s v="MI"/>
    <s v="High School"/>
    <s v="Own"/>
    <n v="0"/>
    <n v="1"/>
    <n v="3299.97"/>
    <n v="2408.9780999999998"/>
    <n v="-6591.0218999999997"/>
  </r>
  <r>
    <x v="1"/>
    <s v="HI"/>
    <s v="High School"/>
    <s v="Mortgage"/>
    <n v="0"/>
    <n v="0"/>
    <n v="2896.74"/>
    <n v="2114.6201999999998"/>
    <n v="-1885.3798000000002"/>
  </r>
  <r>
    <x v="0"/>
    <s v="MI"/>
    <s v="MD"/>
    <s v="Mortgage"/>
    <n v="1"/>
    <n v="1"/>
    <n v="2984.8463999999999"/>
    <n v="2178.937872"/>
    <n v="-5821.0621279999996"/>
  </r>
  <r>
    <x v="2"/>
    <s v="MI"/>
    <s v="Bachelor"/>
    <s v="Mortgage"/>
    <n v="0"/>
    <n v="1"/>
    <n v="3644.7624000000001"/>
    <n v="2660.6765519999999"/>
    <n v="660.6765519999999"/>
  </r>
  <r>
    <x v="0"/>
    <s v="LI"/>
    <s v="MD"/>
    <s v="Own"/>
    <n v="0"/>
    <n v="0"/>
    <n v="7690.1999999999989"/>
    <n v="5613.8459999999986"/>
    <n v="1613.8459999999986"/>
  </r>
  <r>
    <x v="2"/>
    <s v="MI"/>
    <s v="College"/>
    <s v="Own"/>
    <n v="0"/>
    <n v="1"/>
    <n v="7469.8956000000007"/>
    <n v="5453.0237880000004"/>
    <n v="2453.0237880000004"/>
  </r>
  <r>
    <x v="0"/>
    <s v="MI"/>
    <s v="Bachelor"/>
    <s v="Rent"/>
    <n v="1"/>
    <n v="1"/>
    <n v="6541.3392000000003"/>
    <n v="4775.1776159999999"/>
    <n v="775.17761599999994"/>
  </r>
  <r>
    <x v="0"/>
    <s v="MI"/>
    <s v="Bachelor"/>
    <s v="Rent"/>
    <n v="1"/>
    <n v="1"/>
    <n v="6756.96"/>
    <n v="4932.5807999999997"/>
    <n v="1932.5807999999997"/>
  </r>
  <r>
    <x v="2"/>
    <s v="LI"/>
    <s v="College"/>
    <s v="Mortgage"/>
    <n v="1"/>
    <n v="1"/>
    <n v="3967.1460000000002"/>
    <n v="2896.01658"/>
    <n v="-4103.9834200000005"/>
  </r>
  <r>
    <x v="0"/>
    <s v="MI"/>
    <s v="Bachelor"/>
    <s v="Own"/>
    <n v="0"/>
    <n v="1"/>
    <n v="10565.7552"/>
    <n v="7713.0012959999995"/>
    <n v="-1286.9987040000005"/>
  </r>
  <r>
    <x v="1"/>
    <s v="MI"/>
    <s v="Masters"/>
    <s v="Mortgage"/>
    <n v="1"/>
    <n v="1"/>
    <n v="7767.0432000000001"/>
    <n v="5669.9415360000003"/>
    <n v="669.94153600000027"/>
  </r>
  <r>
    <x v="0"/>
    <s v="MI"/>
    <s v="College"/>
    <s v="Rent"/>
    <n v="1"/>
    <n v="1"/>
    <n v="2125.7280000000001"/>
    <n v="1551.78144"/>
    <n v="-448.21856000000002"/>
  </r>
  <r>
    <x v="0"/>
    <s v="LI"/>
    <s v="High School"/>
    <s v="Mortgage"/>
    <n v="0"/>
    <n v="0"/>
    <n v="8699.2440000000006"/>
    <n v="6350.44812"/>
    <n v="5350.44812"/>
  </r>
  <r>
    <x v="0"/>
    <s v="HI"/>
    <s v="Masters"/>
    <s v="Rent"/>
    <n v="1"/>
    <n v="1"/>
    <n v="8674.4448000000011"/>
    <n v="6332.344704000001"/>
    <n v="-1667.655295999999"/>
  </r>
  <r>
    <x v="1"/>
    <s v="HI"/>
    <s v="High School"/>
    <s v="Own"/>
    <n v="1"/>
    <n v="1"/>
    <n v="5374.56"/>
    <n v="3923.4288000000001"/>
    <n v="-76.571199999999862"/>
  </r>
  <r>
    <x v="2"/>
    <s v="MI"/>
    <s v="High School"/>
    <s v="Mortgage"/>
    <n v="0"/>
    <n v="1"/>
    <n v="11599.464"/>
    <n v="8467.6087200000002"/>
    <n v="6467.6087200000002"/>
  </r>
  <r>
    <x v="0"/>
    <s v="HI"/>
    <s v="High School"/>
    <s v="Mortgage"/>
    <n v="1"/>
    <n v="1"/>
    <n v="5953.2096000000001"/>
    <n v="4345.8430079999998"/>
    <n v="1345.8430079999998"/>
  </r>
  <r>
    <x v="0"/>
    <s v="HI"/>
    <s v="Masters"/>
    <s v="Rent"/>
    <n v="1"/>
    <n v="1"/>
    <n v="3153.0491999999999"/>
    <n v="2301.7259159999999"/>
    <n v="-1698.2740840000001"/>
  </r>
  <r>
    <x v="0"/>
    <s v="MI"/>
    <s v="High School"/>
    <s v="Mortgage"/>
    <n v="1"/>
    <n v="1"/>
    <n v="5795.8847999999998"/>
    <n v="4230.9959039999994"/>
    <n v="-2769.0040960000006"/>
  </r>
  <r>
    <x v="2"/>
    <s v="MI"/>
    <s v="MD"/>
    <s v="Own"/>
    <n v="1"/>
    <n v="1"/>
    <n v="7879.68"/>
    <n v="5752.1664000000001"/>
    <n v="5752.1664000000001"/>
  </r>
  <r>
    <x v="2"/>
    <s v="LI"/>
    <s v="College"/>
    <s v="Rent"/>
    <n v="1"/>
    <n v="1"/>
    <n v="12484.800000000001"/>
    <n v="9113.9040000000005"/>
    <n v="-886.09599999999955"/>
  </r>
  <r>
    <x v="0"/>
    <s v="MI"/>
    <s v="MD"/>
    <s v="Rent"/>
    <n v="1"/>
    <n v="1"/>
    <n v="8081.4"/>
    <n v="5899.4219999999996"/>
    <n v="1899.4219999999996"/>
  </r>
  <r>
    <x v="1"/>
    <s v="MI"/>
    <s v="Bachelor"/>
    <s v="Rent"/>
    <n v="1"/>
    <n v="0"/>
    <n v="565.05119999999999"/>
    <n v="412.48737599999998"/>
    <n v="-8587.5126240000009"/>
  </r>
  <r>
    <x v="1"/>
    <s v="HI"/>
    <s v="Bachelor"/>
    <s v="Own"/>
    <n v="1"/>
    <n v="1"/>
    <n v="6330.8063999999995"/>
    <n v="4621.4886719999995"/>
    <n v="-2378.5113280000005"/>
  </r>
  <r>
    <x v="2"/>
    <s v="MI"/>
    <s v="PhD"/>
    <s v="Own"/>
    <n v="1"/>
    <n v="1"/>
    <n v="10367.73"/>
    <n v="7568.4428999999991"/>
    <n v="6568.4428999999991"/>
  </r>
  <r>
    <x v="2"/>
    <s v="MI"/>
    <s v="Bachelor"/>
    <s v="Rent"/>
    <n v="0"/>
    <n v="1"/>
    <n v="4996.7784000000001"/>
    <n v="3647.648232"/>
    <n v="1647.648232"/>
  </r>
  <r>
    <x v="3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5">
  <r>
    <s v="TXN00000008"/>
    <s v="A00004301"/>
    <s v="PLC00002925"/>
    <d v="2018-12-30T00:00:00"/>
    <d v="2020-05-14T00:00:00"/>
    <d v="2020-05-19T00:00:00"/>
    <n v="5"/>
    <n v="83.77"/>
    <n v="1005.24"/>
    <n v="8000"/>
    <s v="A"/>
    <n v="8000"/>
    <n v="8.08"/>
    <s v="Total Loss"/>
    <n v="97"/>
    <n v="35"/>
    <n v="1"/>
    <n v="3"/>
    <s v="L"/>
    <x v="0"/>
    <x v="0"/>
    <s v="Rent"/>
    <n v="0"/>
    <n v="1"/>
    <n v="8122.3392000000003"/>
    <n v="5929.3076160000001"/>
    <n v="-2070.6923839999999"/>
  </r>
  <r>
    <s v="TXN00000009"/>
    <s v="A00004671"/>
    <s v="PLC00006886"/>
    <d v="2019-06-27T00:00:00"/>
    <d v="2020-05-21T00:00:00"/>
    <d v="2020-05-26T00:00:00"/>
    <n v="5"/>
    <n v="82.14"/>
    <n v="985.68"/>
    <n v="5000"/>
    <s v="A"/>
    <n v="5000"/>
    <n v="9.83"/>
    <s v="Major Loss"/>
    <n v="118"/>
    <n v="27"/>
    <n v="0"/>
    <n v="4"/>
    <s v="H"/>
    <x v="0"/>
    <x v="1"/>
    <s v="Mortgage"/>
    <n v="0"/>
    <n v="1"/>
    <n v="9689.2343999999994"/>
    <n v="7073.1411119999993"/>
    <n v="2073.1411119999993"/>
  </r>
  <r>
    <s v="TXN00000012"/>
    <s v="A00006313"/>
    <s v="PLC00002139"/>
    <d v="2016-07-22T00:00:00"/>
    <d v="2020-05-21T00:00:00"/>
    <d v="2020-05-26T00:00:00"/>
    <n v="5"/>
    <n v="101.15"/>
    <n v="1213.8"/>
    <n v="8000"/>
    <s v="D"/>
    <n v="0"/>
    <n v="3.25"/>
    <s v="Major Loss"/>
    <n v="39"/>
    <n v="42"/>
    <n v="1"/>
    <n v="2"/>
    <s v="H"/>
    <x v="1"/>
    <x v="0"/>
    <s v="Own"/>
    <n v="1"/>
    <n v="1"/>
    <n v="3944.85"/>
    <n v="2879.7404999999999"/>
    <n v="2879.7404999999999"/>
  </r>
  <r>
    <s v="TXN00000016"/>
    <s v="A00008033"/>
    <s v="PLC00008152"/>
    <d v="2011-01-25T00:00:00"/>
    <d v="2020-05-12T00:00:00"/>
    <d v="2020-05-17T00:00:00"/>
    <n v="5"/>
    <n v="128.72999999999999"/>
    <n v="1544.76"/>
    <n v="9000"/>
    <s v="A"/>
    <n v="9000"/>
    <n v="4"/>
    <s v="Minor Loss"/>
    <n v="48"/>
    <n v="57"/>
    <n v="1"/>
    <n v="2"/>
    <s v="L"/>
    <x v="2"/>
    <x v="2"/>
    <s v="Rent"/>
    <n v="0"/>
    <n v="1"/>
    <n v="6179.04"/>
    <n v="4510.6992"/>
    <n v="-4489.3008"/>
  </r>
  <r>
    <s v="TXN00000019"/>
    <s v="A00009265"/>
    <s v="PLC00000619"/>
    <d v="2017-11-03T00:00:00"/>
    <d v="2020-05-27T00:00:00"/>
    <d v="2020-05-28T00:00:00"/>
    <n v="1"/>
    <n v="116.55"/>
    <n v="1398.6"/>
    <n v="8000"/>
    <s v="A"/>
    <n v="8000"/>
    <n v="5.75"/>
    <s v="Total Loss"/>
    <n v="69"/>
    <n v="45"/>
    <n v="0"/>
    <n v="4"/>
    <s v="H"/>
    <x v="0"/>
    <x v="0"/>
    <s v="Mortgage"/>
    <n v="0"/>
    <n v="1"/>
    <n v="8041.95"/>
    <n v="5870.6234999999997"/>
    <n v="-2129.3765000000003"/>
  </r>
  <r>
    <s v="TXN00000042"/>
    <s v="A00008902"/>
    <s v="PLC00006704"/>
    <d v="2015-07-06T00:00:00"/>
    <d v="2020-05-20T00:00:00"/>
    <d v="2020-05-25T00:00:00"/>
    <n v="5"/>
    <n v="89.11"/>
    <n v="1069.32"/>
    <n v="2000"/>
    <s v="A"/>
    <n v="2000"/>
    <n v="5.5"/>
    <s v="Minor Loss"/>
    <n v="66"/>
    <n v="62"/>
    <n v="1"/>
    <n v="4"/>
    <s v="H"/>
    <x v="1"/>
    <x v="3"/>
    <s v="Own"/>
    <n v="0"/>
    <n v="1"/>
    <n v="5881.2599999999993"/>
    <n v="4293.3197999999993"/>
    <n v="2293.3197999999993"/>
  </r>
  <r>
    <s v="TXN00000047"/>
    <s v="A00000134"/>
    <s v="PLC00002112"/>
    <d v="2010-12-09T00:00:00"/>
    <d v="2020-05-26T00:00:00"/>
    <d v="2020-05-28T00:00:00"/>
    <n v="2"/>
    <n v="117.72"/>
    <n v="1412.64"/>
    <n v="7000"/>
    <s v="D"/>
    <n v="0"/>
    <n v="3.25"/>
    <s v="Major Loss"/>
    <n v="39"/>
    <n v="31"/>
    <n v="0"/>
    <n v="7"/>
    <s v="L"/>
    <x v="0"/>
    <x v="0"/>
    <s v="Rent"/>
    <n v="0"/>
    <n v="0"/>
    <n v="4591.08"/>
    <n v="3351.4883999999997"/>
    <n v="3351.4883999999997"/>
  </r>
  <r>
    <s v="TXN00000050"/>
    <s v="A00004589"/>
    <s v="PLC00003093"/>
    <d v="2016-05-07T00:00:00"/>
    <d v="2020-05-23T00:00:00"/>
    <d v="2020-05-26T00:00:00"/>
    <n v="3"/>
    <n v="116.99"/>
    <n v="1403.88"/>
    <n v="10000"/>
    <s v="A"/>
    <n v="10000"/>
    <n v="7.33"/>
    <s v="Minor Loss"/>
    <n v="88"/>
    <n v="51"/>
    <n v="0"/>
    <n v="7"/>
    <s v="M"/>
    <x v="0"/>
    <x v="4"/>
    <s v="Own"/>
    <n v="0"/>
    <n v="0"/>
    <n v="10290.440400000001"/>
    <n v="7512.0214920000008"/>
    <n v="-2487.9785079999992"/>
  </r>
  <r>
    <s v="TXN00000053"/>
    <s v="A00009041"/>
    <s v="PLC00009146"/>
    <d v="2013-05-27T00:00:00"/>
    <d v="2020-05-29T00:00:00"/>
    <d v="2020-05-30T00:00:00"/>
    <n v="1"/>
    <n v="82.82"/>
    <n v="993.84"/>
    <n v="9000"/>
    <s v="A"/>
    <n v="9000"/>
    <n v="2.83"/>
    <s v="Major Loss"/>
    <n v="34"/>
    <n v="43"/>
    <n v="0"/>
    <n v="7"/>
    <s v="L"/>
    <x v="0"/>
    <x v="4"/>
    <s v="Mortgage"/>
    <n v="0"/>
    <n v="0"/>
    <n v="2812.5672"/>
    <n v="2053.1740559999998"/>
    <n v="-6946.8259440000002"/>
  </r>
  <r>
    <s v="TXN00000057"/>
    <s v="A00002089"/>
    <s v="PLC00009114"/>
    <d v="2010-07-02T00:00:00"/>
    <d v="2020-05-19T00:00:00"/>
    <d v="2020-05-24T00:00:00"/>
    <n v="5"/>
    <n v="92.71"/>
    <n v="1112.52"/>
    <n v="2000"/>
    <s v="A"/>
    <n v="2000"/>
    <n v="8.5"/>
    <s v="Total Loss"/>
    <n v="102"/>
    <n v="47"/>
    <n v="0"/>
    <n v="2"/>
    <s v="H"/>
    <x v="0"/>
    <x v="0"/>
    <s v="Mortgage"/>
    <n v="1"/>
    <n v="1"/>
    <n v="9456.42"/>
    <n v="6903.1866"/>
    <n v="4903.1866"/>
  </r>
  <r>
    <s v="TXN00000079"/>
    <s v="A00002003"/>
    <s v="PLC00004274"/>
    <d v="2013-08-26T00:00:00"/>
    <d v="2020-05-22T00:00:00"/>
    <d v="2020-05-27T00:00:00"/>
    <n v="5"/>
    <n v="100.14"/>
    <n v="1201.68"/>
    <n v="7000"/>
    <s v="A"/>
    <n v="7000"/>
    <n v="3"/>
    <s v="Major Loss"/>
    <n v="36"/>
    <n v="33"/>
    <n v="1"/>
    <n v="6"/>
    <s v="L"/>
    <x v="0"/>
    <x v="0"/>
    <s v="Mortgage"/>
    <n v="1"/>
    <n v="1"/>
    <n v="3605.04"/>
    <n v="2631.6792"/>
    <n v="-4368.3207999999995"/>
  </r>
  <r>
    <s v="TXN00000085"/>
    <s v="A00002691"/>
    <s v="PLC00000988"/>
    <d v="2016-11-25T00:00:00"/>
    <d v="2020-05-14T00:00:00"/>
    <d v="2020-05-19T00:00:00"/>
    <n v="5"/>
    <n v="109.33"/>
    <n v="1311.96"/>
    <n v="6000"/>
    <s v="A"/>
    <n v="6000"/>
    <n v="5.75"/>
    <s v="Total Loss"/>
    <n v="69"/>
    <n v="50"/>
    <n v="1"/>
    <n v="6"/>
    <s v="L"/>
    <x v="1"/>
    <x v="1"/>
    <s v="Rent"/>
    <n v="1"/>
    <n v="1"/>
    <n v="7543.77"/>
    <n v="5506.9521000000004"/>
    <n v="-493.04789999999957"/>
  </r>
  <r>
    <s v="TXN00000086"/>
    <s v="A00007463"/>
    <s v="PLC00005994"/>
    <d v="2014-07-13T00:00:00"/>
    <d v="2020-05-28T00:00:00"/>
    <d v="2020-05-30T00:00:00"/>
    <n v="2"/>
    <n v="126.63"/>
    <n v="1519.56"/>
    <n v="1000"/>
    <s v="A"/>
    <n v="1000"/>
    <n v="2.92"/>
    <s v="Major Loss"/>
    <n v="35"/>
    <n v="34"/>
    <n v="1"/>
    <n v="4"/>
    <s v="L"/>
    <x v="1"/>
    <x v="1"/>
    <s v="Mortgage"/>
    <n v="0"/>
    <n v="1"/>
    <n v="4437.1152000000002"/>
    <n v="3239.0940960000003"/>
    <n v="2239.0940960000003"/>
  </r>
  <r>
    <s v="TXN00000088"/>
    <s v="A00009910"/>
    <s v="PLC00005185"/>
    <d v="2011-01-31T00:00:00"/>
    <d v="2020-05-21T00:00:00"/>
    <d v="2020-05-26T00:00:00"/>
    <n v="5"/>
    <n v="82"/>
    <n v="984"/>
    <n v="10000"/>
    <s v="A"/>
    <n v="10000"/>
    <n v="1.75"/>
    <s v="Minor Loss"/>
    <n v="21"/>
    <n v="61"/>
    <n v="1"/>
    <n v="5"/>
    <s v="L"/>
    <x v="0"/>
    <x v="4"/>
    <s v="Own"/>
    <n v="0"/>
    <n v="1"/>
    <n v="1722"/>
    <n v="1257.06"/>
    <n v="-8742.94"/>
  </r>
  <r>
    <s v="TXN00000096"/>
    <s v="A00006240"/>
    <s v="PLC00007252"/>
    <d v="2014-07-01T00:00:00"/>
    <d v="2020-05-26T00:00:00"/>
    <d v="2020-05-29T00:00:00"/>
    <n v="3"/>
    <n v="116.8"/>
    <n v="1401.6"/>
    <n v="9000"/>
    <s v="A"/>
    <n v="9000"/>
    <n v="5.33"/>
    <s v="Total Loss"/>
    <n v="64"/>
    <n v="55"/>
    <n v="0"/>
    <n v="5"/>
    <s v="L"/>
    <x v="1"/>
    <x v="5"/>
    <s v="Rent"/>
    <n v="0"/>
    <n v="1"/>
    <n v="7470.5279999999993"/>
    <n v="5453.4854399999995"/>
    <n v="-3546.5145600000005"/>
  </r>
  <r>
    <s v="TXN00000102"/>
    <s v="A00007330"/>
    <s v="PLC00009936"/>
    <d v="2019-03-07T00:00:00"/>
    <d v="2020-05-15T00:00:00"/>
    <d v="2020-05-20T00:00:00"/>
    <n v="5"/>
    <n v="136.47"/>
    <n v="1637.64"/>
    <n v="1000"/>
    <s v="A"/>
    <n v="1000"/>
    <n v="9.5"/>
    <s v="Total Loss"/>
    <n v="114"/>
    <n v="50"/>
    <n v="1"/>
    <n v="3"/>
    <s v="L"/>
    <x v="0"/>
    <x v="1"/>
    <s v="Mortgage"/>
    <n v="0"/>
    <n v="1"/>
    <n v="15557.580000000002"/>
    <n v="11357.0334"/>
    <n v="10357.0334"/>
  </r>
  <r>
    <s v="TXN00000103"/>
    <s v="A00009946"/>
    <s v="PLC00002086"/>
    <d v="2016-10-20T00:00:00"/>
    <d v="2020-05-16T00:00:00"/>
    <d v="2020-05-21T00:00:00"/>
    <n v="5"/>
    <n v="127.87"/>
    <n v="1534.44"/>
    <n v="7000"/>
    <s v="A"/>
    <n v="7000"/>
    <n v="6"/>
    <s v="Total Loss"/>
    <n v="72"/>
    <n v="39"/>
    <n v="0"/>
    <n v="5"/>
    <s v="M"/>
    <x v="0"/>
    <x v="5"/>
    <s v="Own"/>
    <n v="1"/>
    <n v="1"/>
    <n v="9206.64"/>
    <n v="6720.8471999999992"/>
    <n v="-279.15280000000075"/>
  </r>
  <r>
    <s v="TXN00000112"/>
    <s v="A00001480"/>
    <s v="PLC00005653"/>
    <d v="2019-06-16T00:00:00"/>
    <d v="2020-05-20T00:00:00"/>
    <d v="2020-05-25T00:00:00"/>
    <n v="5"/>
    <n v="134.55000000000001"/>
    <n v="1614.6"/>
    <n v="6000"/>
    <s v="A"/>
    <n v="6000"/>
    <n v="4.25"/>
    <s v="Major Loss"/>
    <n v="51"/>
    <n v="57"/>
    <n v="1"/>
    <n v="5"/>
    <s v="L"/>
    <x v="1"/>
    <x v="0"/>
    <s v="Mortgage"/>
    <n v="1"/>
    <n v="1"/>
    <n v="6862.0499999999993"/>
    <n v="5009.2964999999995"/>
    <n v="-990.70350000000053"/>
  </r>
  <r>
    <s v="TXN00000113"/>
    <s v="A00004702"/>
    <s v="PLC00008292"/>
    <d v="2017-04-25T00:00:00"/>
    <d v="2020-05-16T00:00:00"/>
    <d v="2020-05-21T00:00:00"/>
    <n v="5"/>
    <n v="107.72"/>
    <n v="1292.6400000000001"/>
    <n v="3000"/>
    <s v="A"/>
    <n v="3000"/>
    <n v="2.25"/>
    <s v="Total Loss"/>
    <n v="27"/>
    <n v="62"/>
    <n v="0"/>
    <n v="4"/>
    <s v="L"/>
    <x v="1"/>
    <x v="3"/>
    <s v="Own"/>
    <n v="0"/>
    <n v="1"/>
    <n v="2908.44"/>
    <n v="2123.1612"/>
    <n v="-876.83879999999999"/>
  </r>
  <r>
    <s v="TXN00000128"/>
    <s v="A00008198"/>
    <s v="PLC00000862"/>
    <d v="2016-11-13T00:00:00"/>
    <d v="2020-05-26T00:00:00"/>
    <d v="2020-05-29T00:00:00"/>
    <n v="3"/>
    <n v="111.08"/>
    <n v="1332.96"/>
    <n v="5000"/>
    <s v="A"/>
    <n v="5000"/>
    <n v="9.92"/>
    <s v="Minor Loss"/>
    <n v="119"/>
    <n v="41"/>
    <n v="1"/>
    <n v="6"/>
    <s v="L"/>
    <x v="2"/>
    <x v="1"/>
    <s v="Mortgage"/>
    <n v="0"/>
    <n v="0"/>
    <n v="13222.9632"/>
    <n v="9652.7631359999996"/>
    <n v="4652.7631359999996"/>
  </r>
  <r>
    <s v="TXN00000132"/>
    <s v="A00004559"/>
    <s v="PLC00002010"/>
    <d v="2011-08-12T00:00:00"/>
    <d v="2020-05-18T00:00:00"/>
    <d v="2020-05-23T00:00:00"/>
    <n v="5"/>
    <n v="91.56"/>
    <n v="1098.72"/>
    <n v="5000"/>
    <s v="A"/>
    <n v="5000"/>
    <n v="3.42"/>
    <s v="Minor Loss"/>
    <n v="41"/>
    <n v="30"/>
    <n v="1"/>
    <n v="7"/>
    <s v="L"/>
    <x v="0"/>
    <x v="6"/>
    <s v="Rent"/>
    <n v="1"/>
    <n v="1"/>
    <n v="3757.6224000000002"/>
    <n v="2743.0643519999999"/>
    <n v="-2256.9356480000001"/>
  </r>
  <r>
    <s v="TXN00000137"/>
    <s v="A00002413"/>
    <s v="PLC00000244"/>
    <d v="2013-08-07T00:00:00"/>
    <d v="2020-05-31T00:00:00"/>
    <d v="2020-06-01T00:00:00"/>
    <n v="1"/>
    <n v="129.58000000000001"/>
    <n v="1554.96"/>
    <n v="4000"/>
    <s v="A"/>
    <n v="4000"/>
    <n v="7.75"/>
    <s v="Minor Loss"/>
    <n v="93"/>
    <n v="39"/>
    <n v="1"/>
    <n v="2"/>
    <s v="L"/>
    <x v="0"/>
    <x v="0"/>
    <s v="Mortgage"/>
    <n v="1"/>
    <n v="1"/>
    <n v="12050.94"/>
    <n v="8797.1862000000001"/>
    <n v="4797.1862000000001"/>
  </r>
  <r>
    <s v="TXN00000155"/>
    <s v="A00000211"/>
    <s v="PLC00001741"/>
    <d v="2012-11-23T00:00:00"/>
    <d v="2020-06-05T00:00:00"/>
    <d v="2020-06-05T00:00:00"/>
    <n v="0"/>
    <n v="80.73"/>
    <n v="968.76"/>
    <n v="4000"/>
    <s v="A"/>
    <n v="4000"/>
    <n v="0.75"/>
    <s v="Minor Loss"/>
    <n v="9"/>
    <n v="49"/>
    <n v="1"/>
    <n v="4"/>
    <s v="L"/>
    <x v="2"/>
    <x v="1"/>
    <s v="Mortgage"/>
    <n v="0"/>
    <n v="1"/>
    <n v="726.56999999999994"/>
    <n v="530.39609999999993"/>
    <n v="-3469.6039000000001"/>
  </r>
  <r>
    <s v="TXN00000166"/>
    <s v="A00001756"/>
    <s v="PLC00004862"/>
    <d v="2015-12-23T00:00:00"/>
    <d v="2020-05-23T00:00:00"/>
    <d v="2020-05-28T00:00:00"/>
    <n v="5"/>
    <n v="110.4"/>
    <n v="1324.8"/>
    <n v="1000"/>
    <s v="A"/>
    <n v="1000"/>
    <n v="7.33"/>
    <s v="Minor Loss"/>
    <n v="88"/>
    <n v="35"/>
    <n v="0"/>
    <n v="5"/>
    <s v="L"/>
    <x v="1"/>
    <x v="1"/>
    <s v="Own"/>
    <n v="0"/>
    <n v="1"/>
    <n v="9710.7839999999997"/>
    <n v="7088.8723199999995"/>
    <n v="6088.8723199999995"/>
  </r>
  <r>
    <s v="TXN00000180"/>
    <s v="A00000105"/>
    <s v="PLC00007991"/>
    <d v="2019-01-26T00:00:00"/>
    <d v="2020-06-05T00:00:00"/>
    <d v="2020-06-05T00:00:00"/>
    <n v="0"/>
    <n v="112.42"/>
    <n v="1349.04"/>
    <n v="4000"/>
    <s v="A"/>
    <n v="4000"/>
    <n v="1.17"/>
    <s v="Total Loss"/>
    <n v="14"/>
    <n v="33"/>
    <n v="1"/>
    <n v="4"/>
    <s v="M"/>
    <x v="2"/>
    <x v="2"/>
    <s v="Rent"/>
    <n v="0"/>
    <n v="1"/>
    <n v="1578.3767999999998"/>
    <n v="1152.2150639999998"/>
    <n v="-2847.784936"/>
  </r>
  <r>
    <s v="TXN00000206"/>
    <s v="A00003531"/>
    <s v="PLC00008666"/>
    <d v="2014-05-26T00:00:00"/>
    <d v="2020-06-01T00:00:00"/>
    <d v="2020-06-03T00:00:00"/>
    <n v="2"/>
    <n v="71.180000000000007"/>
    <n v="854.16"/>
    <n v="7000"/>
    <s v="A"/>
    <n v="7000"/>
    <n v="1.75"/>
    <s v="Minor Loss"/>
    <n v="21"/>
    <n v="27"/>
    <n v="1"/>
    <n v="2"/>
    <s v="L"/>
    <x v="2"/>
    <x v="2"/>
    <s v="Own"/>
    <n v="1"/>
    <n v="0"/>
    <n v="1494.78"/>
    <n v="1091.1894"/>
    <n v="-5908.8105999999998"/>
  </r>
  <r>
    <s v="TXN00000210"/>
    <s v="A00009990"/>
    <s v="PLC00006419"/>
    <d v="2013-03-09T00:00:00"/>
    <d v="2020-06-07T00:00:00"/>
    <d v="2020-06-07T00:00:00"/>
    <n v="0"/>
    <n v="78.650000000000006"/>
    <n v="943.8"/>
    <n v="3000"/>
    <s v="A"/>
    <n v="3000"/>
    <n v="1.17"/>
    <s v="Total Loss"/>
    <n v="14"/>
    <n v="41"/>
    <n v="0"/>
    <n v="2"/>
    <s v="M"/>
    <x v="2"/>
    <x v="1"/>
    <s v="Rent"/>
    <n v="1"/>
    <n v="0"/>
    <n v="1104.2459999999999"/>
    <n v="806.09957999999983"/>
    <n v="-2193.9004199999999"/>
  </r>
  <r>
    <s v="TXN00000213"/>
    <s v="A00005658"/>
    <s v="PLC00005739"/>
    <d v="2015-06-09T00:00:00"/>
    <d v="2020-05-26T00:00:00"/>
    <d v="2020-05-31T00:00:00"/>
    <n v="5"/>
    <n v="95.58"/>
    <n v="1146.96"/>
    <n v="5000"/>
    <s v="A"/>
    <n v="5000"/>
    <n v="6.42"/>
    <s v="Major Loss"/>
    <n v="77"/>
    <n v="59"/>
    <n v="1"/>
    <n v="4"/>
    <s v="M"/>
    <x v="1"/>
    <x v="5"/>
    <s v="Mortgage"/>
    <n v="0"/>
    <n v="0"/>
    <n v="7363.4832000000006"/>
    <n v="5375.3427360000005"/>
    <n v="375.34273600000051"/>
  </r>
  <r>
    <s v="TXN00000230"/>
    <s v="A00009382"/>
    <s v="PLC00008203"/>
    <d v="2019-02-04T00:00:00"/>
    <d v="2020-05-24T00:00:00"/>
    <d v="2020-05-29T00:00:00"/>
    <n v="5"/>
    <n v="92.14"/>
    <n v="1105.68"/>
    <n v="1000"/>
    <s v="A"/>
    <n v="1000"/>
    <n v="1.83"/>
    <s v="Major Loss"/>
    <n v="22"/>
    <n v="32"/>
    <n v="1"/>
    <n v="6"/>
    <s v="M"/>
    <x v="2"/>
    <x v="5"/>
    <s v="Mortgage"/>
    <n v="1"/>
    <n v="1"/>
    <n v="2023.3944000000001"/>
    <n v="1477.077912"/>
    <n v="477.07791199999997"/>
  </r>
  <r>
    <s v="TXN00000234"/>
    <s v="A00001399"/>
    <s v="PLC00006739"/>
    <d v="2017-06-05T00:00:00"/>
    <d v="2020-05-21T00:00:00"/>
    <d v="2020-05-26T00:00:00"/>
    <n v="5"/>
    <n v="136.01"/>
    <n v="1632.12"/>
    <n v="5000"/>
    <s v="A"/>
    <n v="5000"/>
    <n v="7.33"/>
    <s v="Major Loss"/>
    <n v="88"/>
    <n v="37"/>
    <n v="0"/>
    <n v="6"/>
    <s v="L"/>
    <x v="0"/>
    <x v="6"/>
    <s v="Mortgage"/>
    <n v="0"/>
    <n v="1"/>
    <n v="11963.4396"/>
    <n v="8733.3109079999995"/>
    <n v="3733.3109079999995"/>
  </r>
  <r>
    <s v="TXN00000247"/>
    <s v="A00004413"/>
    <s v="PLC00009585"/>
    <d v="2020-01-18T00:00:00"/>
    <d v="2020-05-20T00:00:00"/>
    <d v="2020-05-25T00:00:00"/>
    <n v="5"/>
    <n v="123.3"/>
    <n v="1479.6"/>
    <n v="1000"/>
    <s v="A"/>
    <n v="1000"/>
    <n v="2.58"/>
    <s v="Total Loss"/>
    <n v="31"/>
    <n v="54"/>
    <n v="0"/>
    <n v="7"/>
    <s v="L"/>
    <x v="2"/>
    <x v="1"/>
    <s v="Rent"/>
    <n v="0"/>
    <n v="1"/>
    <n v="3817.3679999999999"/>
    <n v="2786.6786400000001"/>
    <n v="1786.6786400000001"/>
  </r>
  <r>
    <s v="TXN00000248"/>
    <s v="A00004506"/>
    <s v="PLC00009512"/>
    <d v="2012-05-26T00:00:00"/>
    <d v="2020-06-03T00:00:00"/>
    <d v="2020-06-05T00:00:00"/>
    <n v="2"/>
    <n v="90.32"/>
    <n v="1083.8399999999999"/>
    <n v="5000"/>
    <s v="A"/>
    <n v="5000"/>
    <n v="8.83"/>
    <s v="Total Loss"/>
    <n v="106"/>
    <n v="26"/>
    <n v="1"/>
    <n v="6"/>
    <s v="M"/>
    <x v="1"/>
    <x v="1"/>
    <s v="Mortgage"/>
    <n v="1"/>
    <n v="1"/>
    <n v="9570.3071999999993"/>
    <n v="6986.324255999999"/>
    <n v="1986.324255999999"/>
  </r>
  <r>
    <s v="TXN00000252"/>
    <s v="A00004325"/>
    <s v="PLC00002914"/>
    <d v="2014-02-08T00:00:00"/>
    <d v="2020-06-08T00:00:00"/>
    <d v="2020-06-08T00:00:00"/>
    <n v="0"/>
    <n v="74.819999999999993"/>
    <n v="897.84"/>
    <n v="6000"/>
    <s v="D"/>
    <n v="0"/>
    <n v="4.17"/>
    <s v="Minor Loss"/>
    <n v="50"/>
    <n v="35"/>
    <n v="0"/>
    <n v="5"/>
    <s v="M"/>
    <x v="0"/>
    <x v="1"/>
    <s v="Mortgage"/>
    <n v="0"/>
    <n v="1"/>
    <n v="3743.9928"/>
    <n v="2733.114744"/>
    <n v="2733.114744"/>
  </r>
  <r>
    <s v="TXN00000254"/>
    <s v="A00004524"/>
    <s v="PLC00006537"/>
    <d v="2018-09-28T00:00:00"/>
    <d v="2020-05-28T00:00:00"/>
    <d v="2020-06-02T00:00:00"/>
    <n v="5"/>
    <n v="70.94"/>
    <n v="851.28"/>
    <n v="4000"/>
    <s v="A"/>
    <n v="4000"/>
    <n v="7.92"/>
    <s v="Total Loss"/>
    <n v="95"/>
    <n v="50"/>
    <n v="1"/>
    <n v="4"/>
    <s v="M"/>
    <x v="2"/>
    <x v="6"/>
    <s v="Rent"/>
    <n v="0"/>
    <n v="1"/>
    <n v="6742.1376"/>
    <n v="4921.760448"/>
    <n v="921.760448"/>
  </r>
  <r>
    <s v="TXN00000255"/>
    <s v="A00006293"/>
    <s v="PLC00003619"/>
    <d v="2019-02-02T00:00:00"/>
    <d v="2020-06-02T00:00:00"/>
    <d v="2020-06-05T00:00:00"/>
    <n v="3"/>
    <n v="106.17"/>
    <n v="1274.04"/>
    <n v="2000"/>
    <s v="A"/>
    <n v="2000"/>
    <n v="2.5"/>
    <s v="Minor Loss"/>
    <n v="30"/>
    <n v="29"/>
    <n v="1"/>
    <n v="5"/>
    <s v="M"/>
    <x v="2"/>
    <x v="0"/>
    <s v="Rent"/>
    <n v="1"/>
    <n v="1"/>
    <n v="3185.1"/>
    <n v="2325.123"/>
    <n v="325.12300000000005"/>
  </r>
  <r>
    <s v="TXN00000259"/>
    <s v="A00002757"/>
    <s v="PLC00001961"/>
    <d v="2016-05-12T00:00:00"/>
    <d v="2020-06-05T00:00:00"/>
    <d v="2020-06-06T00:00:00"/>
    <n v="1"/>
    <n v="73.44"/>
    <n v="881.28"/>
    <n v="1000"/>
    <s v="A"/>
    <n v="1000"/>
    <n v="7.92"/>
    <s v="Major Loss"/>
    <n v="95"/>
    <n v="57"/>
    <n v="1"/>
    <n v="2"/>
    <s v="L"/>
    <x v="1"/>
    <x v="1"/>
    <s v="Mortgage"/>
    <n v="1"/>
    <n v="1"/>
    <n v="6979.7375999999995"/>
    <n v="5095.2084479999994"/>
    <n v="4095.2084479999994"/>
  </r>
  <r>
    <s v="TXN00000261"/>
    <s v="A00002818"/>
    <s v="PLC00006148"/>
    <d v="2014-11-27T00:00:00"/>
    <d v="2020-06-02T00:00:00"/>
    <d v="2020-06-05T00:00:00"/>
    <n v="3"/>
    <n v="129.97"/>
    <n v="1559.64"/>
    <n v="4000"/>
    <s v="D"/>
    <n v="0"/>
    <n v="1.42"/>
    <s v="Major Loss"/>
    <n v="17"/>
    <n v="39"/>
    <n v="0"/>
    <n v="7"/>
    <s v="M"/>
    <x v="1"/>
    <x v="0"/>
    <s v="Own"/>
    <n v="0"/>
    <n v="1"/>
    <n v="2214.6887999999999"/>
    <n v="1616.7228239999999"/>
    <n v="1616.7228239999999"/>
  </r>
  <r>
    <s v="TXN00000263"/>
    <s v="A00008702"/>
    <s v="PLC00005071"/>
    <d v="2014-01-22T00:00:00"/>
    <d v="2020-05-25T00:00:00"/>
    <d v="2020-05-30T00:00:00"/>
    <n v="5"/>
    <n v="134.18"/>
    <n v="1610.16"/>
    <n v="4000"/>
    <s v="A"/>
    <n v="4000"/>
    <n v="0.57999999999999996"/>
    <s v="Minor Loss"/>
    <n v="7"/>
    <n v="31"/>
    <n v="1"/>
    <n v="6"/>
    <s v="L"/>
    <x v="1"/>
    <x v="5"/>
    <s v="Mortgage"/>
    <n v="1"/>
    <n v="1"/>
    <n v="933.89279999999997"/>
    <n v="681.74174399999993"/>
    <n v="-3318.2582560000001"/>
  </r>
  <r>
    <s v="TXN00000267"/>
    <s v="A00005752"/>
    <s v="PLC00003511"/>
    <d v="2014-08-11T00:00:00"/>
    <d v="2020-06-07T00:00:00"/>
    <d v="2020-06-07T00:00:00"/>
    <n v="0"/>
    <n v="134.54"/>
    <n v="1614.48"/>
    <n v="6000"/>
    <s v="A"/>
    <n v="6000"/>
    <n v="3.17"/>
    <s v="Total Loss"/>
    <n v="38"/>
    <n v="36"/>
    <n v="0"/>
    <n v="2"/>
    <s v="L"/>
    <x v="0"/>
    <x v="0"/>
    <s v="Rent"/>
    <n v="1"/>
    <n v="0"/>
    <n v="5117.9016000000001"/>
    <n v="3736.0681679999998"/>
    <n v="-2263.9318320000002"/>
  </r>
  <r>
    <s v="TXN00000281"/>
    <s v="A00005861"/>
    <s v="PLC00002849"/>
    <d v="2017-08-29T00:00:00"/>
    <d v="2020-06-02T00:00:00"/>
    <d v="2020-06-05T00:00:00"/>
    <n v="3"/>
    <n v="93.9"/>
    <n v="1126.8"/>
    <n v="2000"/>
    <s v="A"/>
    <n v="2000"/>
    <n v="9.75"/>
    <s v="Major Loss"/>
    <n v="117"/>
    <n v="64"/>
    <n v="0"/>
    <n v="5"/>
    <s v="L"/>
    <x v="0"/>
    <x v="0"/>
    <s v="Rent"/>
    <n v="0"/>
    <n v="1"/>
    <n v="10986.3"/>
    <n v="8019.9989999999989"/>
    <n v="6019.9989999999989"/>
  </r>
  <r>
    <s v="TXN00000286"/>
    <s v="A00003981"/>
    <s v="PLC00007005"/>
    <d v="2012-03-22T00:00:00"/>
    <d v="2020-06-08T00:00:00"/>
    <d v="2020-06-08T00:00:00"/>
    <n v="0"/>
    <n v="115.54"/>
    <n v="1386.48"/>
    <n v="5000"/>
    <s v="A"/>
    <n v="5000"/>
    <n v="9.75"/>
    <s v="Total Loss"/>
    <n v="117"/>
    <n v="29"/>
    <n v="1"/>
    <n v="5"/>
    <s v="H"/>
    <x v="1"/>
    <x v="3"/>
    <s v="Own"/>
    <n v="1"/>
    <n v="0"/>
    <n v="13518.18"/>
    <n v="9868.2713999999996"/>
    <n v="4868.2713999999996"/>
  </r>
  <r>
    <s v="TXN00000304"/>
    <s v="A00000358"/>
    <s v="PLC00009297"/>
    <d v="2015-08-05T00:00:00"/>
    <d v="2020-06-06T00:00:00"/>
    <d v="2020-06-08T00:00:00"/>
    <n v="2"/>
    <n v="103.16"/>
    <n v="1237.92"/>
    <n v="3000"/>
    <s v="A"/>
    <n v="3000"/>
    <n v="9.58"/>
    <s v="Minor Loss"/>
    <n v="115"/>
    <n v="62"/>
    <n v="1"/>
    <n v="7"/>
    <s v="M"/>
    <x v="2"/>
    <x v="0"/>
    <s v="Own"/>
    <n v="0"/>
    <n v="0"/>
    <n v="11859.2736"/>
    <n v="8657.2697279999993"/>
    <n v="5657.2697279999993"/>
  </r>
  <r>
    <s v="TXN00000306"/>
    <s v="A00005032"/>
    <s v="PLC00009762"/>
    <d v="2012-02-07T00:00:00"/>
    <d v="2020-05-23T00:00:00"/>
    <d v="2020-05-28T00:00:00"/>
    <n v="5"/>
    <n v="124.6"/>
    <n v="1495.2"/>
    <n v="5000"/>
    <s v="A"/>
    <n v="5000"/>
    <n v="1.83"/>
    <s v="Total Loss"/>
    <n v="22"/>
    <n v="28"/>
    <n v="1"/>
    <n v="7"/>
    <s v="M"/>
    <x v="0"/>
    <x v="1"/>
    <s v="Own"/>
    <n v="0"/>
    <n v="1"/>
    <n v="2736.2160000000003"/>
    <n v="1997.4376800000002"/>
    <n v="-3002.56232"/>
  </r>
  <r>
    <s v="TXN00000307"/>
    <s v="A00001617"/>
    <s v="PLC00000517"/>
    <d v="2014-11-28T00:00:00"/>
    <d v="2020-06-04T00:00:00"/>
    <d v="2020-06-07T00:00:00"/>
    <n v="3"/>
    <n v="106.34"/>
    <n v="1276.08"/>
    <n v="8000"/>
    <s v="D"/>
    <n v="0"/>
    <n v="6.17"/>
    <s v="Minor Loss"/>
    <n v="74"/>
    <n v="37"/>
    <n v="1"/>
    <n v="6"/>
    <s v="M"/>
    <x v="0"/>
    <x v="1"/>
    <s v="Own"/>
    <n v="0"/>
    <n v="1"/>
    <n v="7873.4135999999999"/>
    <n v="5747.5919279999998"/>
    <n v="5747.5919279999998"/>
  </r>
  <r>
    <s v="TXN00000310"/>
    <s v="A00009043"/>
    <s v="PLC00001784"/>
    <d v="2016-11-09T00:00:00"/>
    <d v="2020-05-30T00:00:00"/>
    <d v="2020-06-04T00:00:00"/>
    <n v="5"/>
    <n v="96.1"/>
    <n v="1153.2"/>
    <n v="6000"/>
    <s v="A"/>
    <n v="6000"/>
    <n v="6.67"/>
    <s v="Minor Loss"/>
    <n v="80"/>
    <n v="28"/>
    <n v="1"/>
    <n v="7"/>
    <s v="M"/>
    <x v="2"/>
    <x v="0"/>
    <s v="Own"/>
    <n v="1"/>
    <n v="0"/>
    <n v="7691.8440000000001"/>
    <n v="5615.04612"/>
    <n v="-384.95388000000003"/>
  </r>
  <r>
    <s v="TXN00000317"/>
    <s v="A00001251"/>
    <s v="PLC00003897"/>
    <d v="2019-05-09T00:00:00"/>
    <d v="2020-06-08T00:00:00"/>
    <d v="2020-06-09T00:00:00"/>
    <n v="1"/>
    <n v="110.44"/>
    <n v="1325.28"/>
    <n v="3000"/>
    <s v="A"/>
    <n v="3000"/>
    <n v="5.58"/>
    <s v="Total Loss"/>
    <n v="67"/>
    <n v="42"/>
    <n v="1"/>
    <n v="7"/>
    <s v="M"/>
    <x v="1"/>
    <x v="1"/>
    <s v="Mortgage"/>
    <n v="1"/>
    <n v="1"/>
    <n v="7395.0623999999998"/>
    <n v="5398.395552"/>
    <n v="2398.395552"/>
  </r>
  <r>
    <s v="TXN00000321"/>
    <s v="A00002955"/>
    <s v="PLC00006819"/>
    <d v="2018-12-18T00:00:00"/>
    <d v="2020-06-01T00:00:00"/>
    <d v="2020-06-06T00:00:00"/>
    <n v="5"/>
    <n v="121.7"/>
    <n v="1460.4"/>
    <n v="4000"/>
    <s v="A"/>
    <n v="4000"/>
    <n v="8.42"/>
    <s v="Major Loss"/>
    <n v="101"/>
    <n v="46"/>
    <n v="0"/>
    <n v="4"/>
    <s v="H"/>
    <x v="0"/>
    <x v="1"/>
    <s v="Mortgage"/>
    <n v="0"/>
    <n v="0"/>
    <n v="12296.568000000001"/>
    <n v="8976.4946400000008"/>
    <n v="4976.4946400000008"/>
  </r>
  <r>
    <s v="TXN00000322"/>
    <s v="A00001742"/>
    <s v="PLC00009888"/>
    <d v="2013-02-19T00:00:00"/>
    <d v="2020-05-24T00:00:00"/>
    <d v="2020-05-29T00:00:00"/>
    <n v="5"/>
    <n v="114.12"/>
    <n v="1369.44"/>
    <n v="5000"/>
    <s v="A"/>
    <n v="5000"/>
    <n v="6.25"/>
    <s v="Total Loss"/>
    <n v="75"/>
    <n v="61"/>
    <n v="0"/>
    <n v="5"/>
    <s v="H"/>
    <x v="1"/>
    <x v="0"/>
    <s v="Rent"/>
    <n v="1"/>
    <n v="0"/>
    <n v="8559"/>
    <n v="6248.07"/>
    <n v="1248.0699999999997"/>
  </r>
  <r>
    <s v="TXN00000324"/>
    <s v="A00002637"/>
    <s v="PLC00005447"/>
    <d v="2016-12-05T00:00:00"/>
    <d v="2020-06-04T00:00:00"/>
    <d v="2020-06-07T00:00:00"/>
    <n v="3"/>
    <n v="104.64"/>
    <n v="1255.68"/>
    <n v="8000"/>
    <s v="A"/>
    <n v="8000"/>
    <n v="1.92"/>
    <s v="Total Loss"/>
    <n v="23"/>
    <n v="56"/>
    <n v="1"/>
    <n v="6"/>
    <s v="L"/>
    <x v="0"/>
    <x v="6"/>
    <s v="Own"/>
    <n v="0"/>
    <n v="0"/>
    <n v="2410.9056"/>
    <n v="1759.961088"/>
    <n v="-6240.038912"/>
  </r>
  <r>
    <s v="TXN00000325"/>
    <s v="A00007698"/>
    <s v="PLC00006394"/>
    <d v="2012-02-10T00:00:00"/>
    <d v="2020-05-27T00:00:00"/>
    <d v="2020-06-01T00:00:00"/>
    <n v="5"/>
    <n v="97.13"/>
    <n v="1165.56"/>
    <n v="6000"/>
    <s v="A"/>
    <n v="6000"/>
    <n v="4.17"/>
    <s v="Major Loss"/>
    <n v="50"/>
    <n v="51"/>
    <n v="1"/>
    <n v="2"/>
    <s v="L"/>
    <x v="2"/>
    <x v="1"/>
    <s v="Mortgage"/>
    <n v="0"/>
    <n v="0"/>
    <n v="4860.3851999999997"/>
    <n v="3548.0811959999996"/>
    <n v="-2451.9188040000004"/>
  </r>
  <r>
    <s v="TXN00000336"/>
    <s v="A00002730"/>
    <s v="PLC00005571"/>
    <d v="2014-12-31T00:00:00"/>
    <d v="2020-06-04T00:00:00"/>
    <d v="2020-06-07T00:00:00"/>
    <n v="3"/>
    <n v="81.75"/>
    <n v="981"/>
    <n v="1000"/>
    <s v="A"/>
    <n v="1000"/>
    <n v="6"/>
    <s v="Major Loss"/>
    <n v="72"/>
    <n v="33"/>
    <n v="1"/>
    <n v="5"/>
    <s v="L"/>
    <x v="1"/>
    <x v="1"/>
    <s v="Rent"/>
    <n v="1"/>
    <n v="0"/>
    <n v="5886"/>
    <n v="4296.78"/>
    <n v="3296.7799999999997"/>
  </r>
  <r>
    <s v="TXN00000342"/>
    <s v="A00009166"/>
    <s v="PLC00007889"/>
    <d v="2010-10-30T00:00:00"/>
    <d v="2020-06-04T00:00:00"/>
    <d v="2020-06-07T00:00:00"/>
    <n v="3"/>
    <n v="90.83"/>
    <n v="1089.96"/>
    <n v="4000"/>
    <s v="A"/>
    <n v="4000"/>
    <n v="9.25"/>
    <s v="Major Loss"/>
    <n v="111"/>
    <n v="44"/>
    <n v="1"/>
    <n v="5"/>
    <s v="H"/>
    <x v="1"/>
    <x v="3"/>
    <s v="Rent"/>
    <n v="1"/>
    <n v="0"/>
    <n v="10082.130000000001"/>
    <n v="7359.9549000000006"/>
    <n v="3359.9549000000006"/>
  </r>
  <r>
    <s v="TXN00000344"/>
    <s v="A00009918"/>
    <s v="PLC00004355"/>
    <d v="2013-11-22T00:00:00"/>
    <d v="2020-06-10T00:00:00"/>
    <d v="2020-06-11T00:00:00"/>
    <n v="1"/>
    <n v="137.71"/>
    <n v="1652.52"/>
    <n v="8000"/>
    <s v="A"/>
    <n v="8000"/>
    <n v="5.33"/>
    <s v="Major Loss"/>
    <n v="64"/>
    <n v="63"/>
    <n v="1"/>
    <n v="7"/>
    <s v="L"/>
    <x v="0"/>
    <x v="2"/>
    <s v="Own"/>
    <n v="1"/>
    <n v="0"/>
    <n v="8807.9315999999999"/>
    <n v="6429.7900679999993"/>
    <n v="-1570.2099320000007"/>
  </r>
  <r>
    <s v="TXN00000345"/>
    <s v="A00002725"/>
    <s v="PLC00001815"/>
    <d v="2011-12-07T00:00:00"/>
    <d v="2020-06-08T00:00:00"/>
    <d v="2020-06-10T00:00:00"/>
    <n v="2"/>
    <n v="87.64"/>
    <n v="1051.68"/>
    <n v="10000"/>
    <s v="A"/>
    <n v="10000"/>
    <n v="8.08"/>
    <s v="Total Loss"/>
    <n v="97"/>
    <n v="53"/>
    <n v="1"/>
    <n v="7"/>
    <s v="M"/>
    <x v="1"/>
    <x v="1"/>
    <s v="Mortgage"/>
    <n v="0"/>
    <n v="1"/>
    <n v="8497.5744000000013"/>
    <n v="6203.2293120000004"/>
    <n v="-3796.7706879999996"/>
  </r>
  <r>
    <s v="TXN00000348"/>
    <s v="A00004408"/>
    <s v="PLC00008517"/>
    <d v="2010-12-16T00:00:00"/>
    <d v="2020-06-13T00:00:00"/>
    <d v="2020-06-13T00:00:00"/>
    <n v="0"/>
    <n v="108.84"/>
    <n v="1306.08"/>
    <n v="4000"/>
    <s v="A"/>
    <n v="4000"/>
    <n v="4.67"/>
    <s v="Minor Loss"/>
    <n v="56"/>
    <n v="57"/>
    <n v="1"/>
    <n v="6"/>
    <s v="M"/>
    <x v="0"/>
    <x v="5"/>
    <s v="Own"/>
    <n v="0"/>
    <n v="1"/>
    <n v="6099.3935999999994"/>
    <n v="4452.5573279999999"/>
    <n v="452.55732799999987"/>
  </r>
  <r>
    <s v="TXN00000355"/>
    <s v="A00001937"/>
    <s v="PLC00006117"/>
    <d v="2017-06-13T00:00:00"/>
    <d v="2020-06-11T00:00:00"/>
    <d v="2020-06-11T00:00:00"/>
    <n v="0"/>
    <n v="104.97"/>
    <n v="1259.6400000000001"/>
    <n v="1000"/>
    <s v="A"/>
    <n v="1000"/>
    <n v="6.08"/>
    <s v="Minor Loss"/>
    <n v="73"/>
    <n v="55"/>
    <n v="0"/>
    <n v="6"/>
    <s v="M"/>
    <x v="1"/>
    <x v="3"/>
    <s v="Mortgage"/>
    <n v="1"/>
    <n v="1"/>
    <n v="7658.6112000000003"/>
    <n v="5590.7861760000005"/>
    <n v="4590.7861760000005"/>
  </r>
  <r>
    <s v="TXN00000359"/>
    <s v="A00003819"/>
    <s v="PLC00004418"/>
    <d v="2016-05-04T00:00:00"/>
    <d v="2020-06-09T00:00:00"/>
    <d v="2020-06-10T00:00:00"/>
    <n v="1"/>
    <n v="101.29"/>
    <n v="1215.48"/>
    <n v="4000"/>
    <s v="A"/>
    <n v="4000"/>
    <n v="2.67"/>
    <s v="Major Loss"/>
    <n v="32"/>
    <n v="40"/>
    <n v="0"/>
    <n v="4"/>
    <s v="H"/>
    <x v="0"/>
    <x v="0"/>
    <s v="Own"/>
    <n v="1"/>
    <n v="1"/>
    <n v="3245.3316"/>
    <n v="2369.0920679999999"/>
    <n v="-1630.9079320000001"/>
  </r>
  <r>
    <s v="TXN00000360"/>
    <s v="A00002171"/>
    <s v="PLC00003975"/>
    <d v="2012-11-26T00:00:00"/>
    <d v="2020-05-26T00:00:00"/>
    <d v="2020-05-31T00:00:00"/>
    <n v="5"/>
    <n v="121.21"/>
    <n v="1454.52"/>
    <n v="7000"/>
    <s v="A"/>
    <n v="7000"/>
    <n v="5.92"/>
    <s v="Minor Loss"/>
    <n v="71"/>
    <n v="29"/>
    <n v="1"/>
    <n v="3"/>
    <s v="L"/>
    <x v="0"/>
    <x v="3"/>
    <s v="Rent"/>
    <n v="1"/>
    <n v="1"/>
    <n v="8610.7584000000006"/>
    <n v="6285.8536320000003"/>
    <n v="-714.14636799999971"/>
  </r>
  <r>
    <s v="TXN00000363"/>
    <s v="A00000361"/>
    <s v="PLC00006086"/>
    <d v="2013-07-07T00:00:00"/>
    <d v="2020-06-11T00:00:00"/>
    <d v="2020-06-11T00:00:00"/>
    <n v="0"/>
    <n v="126.97"/>
    <n v="1523.64"/>
    <n v="5000"/>
    <s v="A"/>
    <n v="5000"/>
    <n v="3.42"/>
    <s v="Major Loss"/>
    <n v="41"/>
    <n v="47"/>
    <n v="1"/>
    <n v="6"/>
    <s v="H"/>
    <x v="1"/>
    <x v="3"/>
    <s v="Mortgage"/>
    <n v="1"/>
    <n v="0"/>
    <n v="5210.8488000000007"/>
    <n v="3803.9196240000006"/>
    <n v="-1196.0803759999994"/>
  </r>
  <r>
    <s v="TXN00000367"/>
    <s v="A00000595"/>
    <s v="PLC00007959"/>
    <d v="2012-08-15T00:00:00"/>
    <d v="2020-06-10T00:00:00"/>
    <d v="2020-06-11T00:00:00"/>
    <n v="1"/>
    <n v="104.23"/>
    <n v="1250.76"/>
    <n v="1000"/>
    <s v="A"/>
    <n v="1000"/>
    <n v="8.08"/>
    <s v="Total Loss"/>
    <n v="97"/>
    <n v="61"/>
    <n v="0"/>
    <n v="2"/>
    <s v="L"/>
    <x v="0"/>
    <x v="3"/>
    <s v="Mortgage"/>
    <n v="1"/>
    <n v="1"/>
    <n v="10106.140799999999"/>
    <n v="7377.4827839999989"/>
    <n v="6377.4827839999989"/>
  </r>
  <r>
    <s v="TXN00000370"/>
    <s v="A00001993"/>
    <s v="PLC00005842"/>
    <d v="2014-11-01T00:00:00"/>
    <d v="2020-06-13T00:00:00"/>
    <d v="2020-06-13T00:00:00"/>
    <n v="0"/>
    <n v="104.1"/>
    <n v="1249.2"/>
    <n v="6000"/>
    <s v="A"/>
    <n v="6000"/>
    <n v="8.42"/>
    <s v="Minor Loss"/>
    <n v="101"/>
    <n v="47"/>
    <n v="1"/>
    <n v="4"/>
    <s v="L"/>
    <x v="2"/>
    <x v="3"/>
    <s v="Own"/>
    <n v="0"/>
    <n v="1"/>
    <n v="10518.264000000001"/>
    <n v="7678.3327200000003"/>
    <n v="1678.3327200000003"/>
  </r>
  <r>
    <s v="TXN00000377"/>
    <s v="A00004912"/>
    <s v="PLC00005411"/>
    <d v="2014-07-17T00:00:00"/>
    <d v="2020-05-31T00:00:00"/>
    <d v="2020-06-05T00:00:00"/>
    <n v="5"/>
    <n v="139.24"/>
    <n v="1670.88"/>
    <n v="4000"/>
    <s v="A"/>
    <n v="4000"/>
    <n v="3.25"/>
    <s v="Minor Loss"/>
    <n v="39"/>
    <n v="47"/>
    <n v="0"/>
    <n v="3"/>
    <s v="L"/>
    <x v="0"/>
    <x v="1"/>
    <s v="Own"/>
    <n v="1"/>
    <n v="1"/>
    <n v="5430.3600000000006"/>
    <n v="3964.1628000000005"/>
    <n v="-35.837199999999484"/>
  </r>
  <r>
    <s v="TXN00000390"/>
    <s v="A00005419"/>
    <s v="PLC00001083"/>
    <d v="2019-03-28T00:00:00"/>
    <d v="2020-05-28T00:00:00"/>
    <d v="2020-06-02T00:00:00"/>
    <n v="5"/>
    <n v="112.53"/>
    <n v="1350.36"/>
    <n v="8000"/>
    <s v="A"/>
    <n v="8000"/>
    <n v="1.42"/>
    <s v="Total Loss"/>
    <n v="17"/>
    <n v="28"/>
    <n v="1"/>
    <n v="3"/>
    <s v="L"/>
    <x v="1"/>
    <x v="0"/>
    <s v="Rent"/>
    <n v="1"/>
    <n v="0"/>
    <n v="1917.5111999999997"/>
    <n v="1399.7831759999997"/>
    <n v="-6600.2168240000001"/>
  </r>
  <r>
    <s v="TXN00000394"/>
    <s v="A00001168"/>
    <s v="PLC00001674"/>
    <d v="2015-09-26T00:00:00"/>
    <d v="2020-06-09T00:00:00"/>
    <d v="2020-06-11T00:00:00"/>
    <n v="2"/>
    <n v="113.33"/>
    <n v="1359.96"/>
    <n v="2000"/>
    <s v="A"/>
    <n v="2000"/>
    <n v="0.5"/>
    <s v="Major Loss"/>
    <n v="6"/>
    <n v="58"/>
    <n v="0"/>
    <n v="5"/>
    <s v="L"/>
    <x v="0"/>
    <x v="0"/>
    <s v="Mortgage"/>
    <n v="1"/>
    <n v="1"/>
    <n v="679.98"/>
    <n v="496.3854"/>
    <n v="-1503.6145999999999"/>
  </r>
  <r>
    <s v="TXN00000397"/>
    <s v="A00001361"/>
    <s v="PLC00002947"/>
    <d v="2015-05-11T00:00:00"/>
    <d v="2020-06-13T00:00:00"/>
    <d v="2020-06-13T00:00:00"/>
    <n v="0"/>
    <n v="78.64"/>
    <n v="943.68"/>
    <n v="9000"/>
    <s v="A"/>
    <n v="9000"/>
    <n v="1.92"/>
    <s v="Major Loss"/>
    <n v="23"/>
    <n v="46"/>
    <n v="1"/>
    <n v="4"/>
    <s v="M"/>
    <x v="0"/>
    <x v="1"/>
    <s v="Mortgage"/>
    <n v="1"/>
    <n v="0"/>
    <n v="1811.8655999999999"/>
    <n v="1322.6618879999999"/>
    <n v="-7677.3381120000004"/>
  </r>
  <r>
    <s v="TXN00000411"/>
    <s v="A00008554"/>
    <s v="PLC00005893"/>
    <d v="2010-09-13T00:00:00"/>
    <d v="2020-06-07T00:00:00"/>
    <d v="2020-06-10T00:00:00"/>
    <n v="3"/>
    <n v="91.97"/>
    <n v="1103.6400000000001"/>
    <n v="2000"/>
    <s v="A"/>
    <n v="2000"/>
    <n v="3.17"/>
    <s v="Total Loss"/>
    <n v="38"/>
    <n v="61"/>
    <n v="0"/>
    <n v="3"/>
    <s v="M"/>
    <x v="0"/>
    <x v="1"/>
    <s v="Own"/>
    <n v="0"/>
    <n v="1"/>
    <n v="3498.5388000000003"/>
    <n v="2553.9333240000001"/>
    <n v="553.93332400000008"/>
  </r>
  <r>
    <s v="TXN00000415"/>
    <s v="A00003620"/>
    <s v="PLC00006226"/>
    <d v="2019-11-16T00:00:00"/>
    <d v="2020-06-15T00:00:00"/>
    <d v="2020-06-15T00:00:00"/>
    <n v="0"/>
    <n v="133.72"/>
    <n v="1604.64"/>
    <n v="9000"/>
    <s v="A"/>
    <n v="9000"/>
    <n v="7.42"/>
    <s v="Major Loss"/>
    <n v="89"/>
    <n v="54"/>
    <n v="0"/>
    <n v="6"/>
    <s v="M"/>
    <x v="0"/>
    <x v="0"/>
    <s v="Mortgage"/>
    <n v="1"/>
    <n v="1"/>
    <n v="11906.428800000002"/>
    <n v="8691.6930240000002"/>
    <n v="-308.30697599999985"/>
  </r>
  <r>
    <s v="TXN00000420"/>
    <s v="A00008078"/>
    <s v="PLC00009482"/>
    <d v="2012-09-05T00:00:00"/>
    <d v="2020-05-30T00:00:00"/>
    <d v="2020-06-04T00:00:00"/>
    <n v="5"/>
    <n v="91.89"/>
    <n v="1102.68"/>
    <n v="6000"/>
    <s v="A"/>
    <n v="6000"/>
    <n v="9.83"/>
    <s v="Total Loss"/>
    <n v="118"/>
    <n v="33"/>
    <n v="0"/>
    <n v="7"/>
    <s v="M"/>
    <x v="0"/>
    <x v="1"/>
    <s v="Mortgage"/>
    <n v="0"/>
    <n v="1"/>
    <n v="10839.3444"/>
    <n v="7912.7214119999999"/>
    <n v="1912.7214119999999"/>
  </r>
  <r>
    <s v="TXN00000426"/>
    <s v="A00009851"/>
    <s v="PLC00005491"/>
    <d v="2017-09-19T00:00:00"/>
    <d v="2020-06-07T00:00:00"/>
    <d v="2020-06-10T00:00:00"/>
    <n v="3"/>
    <n v="116.49"/>
    <n v="1397.88"/>
    <n v="8000"/>
    <s v="A"/>
    <n v="8000"/>
    <n v="3.08"/>
    <s v="Major Loss"/>
    <n v="37"/>
    <n v="54"/>
    <n v="1"/>
    <n v="2"/>
    <s v="M"/>
    <x v="2"/>
    <x v="1"/>
    <s v="Own"/>
    <n v="1"/>
    <n v="1"/>
    <n v="4305.4704000000002"/>
    <n v="3142.9933919999999"/>
    <n v="-4857.0066079999997"/>
  </r>
  <r>
    <s v="TXN00000435"/>
    <s v="A00000274"/>
    <s v="PLC00009030"/>
    <d v="2014-07-02T00:00:00"/>
    <d v="2020-06-16T00:00:00"/>
    <d v="2020-06-16T00:00:00"/>
    <n v="0"/>
    <n v="77.08"/>
    <n v="924.96"/>
    <n v="7000"/>
    <s v="A"/>
    <n v="7000"/>
    <n v="4.33"/>
    <s v="Minor Loss"/>
    <n v="52"/>
    <n v="58"/>
    <n v="0"/>
    <n v="2"/>
    <s v="M"/>
    <x v="1"/>
    <x v="1"/>
    <s v="Rent"/>
    <n v="1"/>
    <n v="1"/>
    <n v="4005.0768000000003"/>
    <n v="2923.706064"/>
    <n v="-4076.293936"/>
  </r>
  <r>
    <s v="TXN00000443"/>
    <s v="A00000160"/>
    <s v="PLC00000700"/>
    <d v="2019-03-26T00:00:00"/>
    <d v="2020-05-28T00:00:00"/>
    <d v="2020-06-02T00:00:00"/>
    <n v="5"/>
    <n v="130.07"/>
    <n v="1560.84"/>
    <n v="5000"/>
    <s v="A"/>
    <n v="5000"/>
    <n v="4.17"/>
    <s v="Minor Loss"/>
    <n v="50"/>
    <n v="54"/>
    <n v="1"/>
    <n v="3"/>
    <s v="L"/>
    <x v="0"/>
    <x v="3"/>
    <s v="Mortgage"/>
    <n v="1"/>
    <n v="0"/>
    <n v="6508.7027999999991"/>
    <n v="4751.3530439999995"/>
    <n v="-248.6469560000005"/>
  </r>
  <r>
    <s v="TXN00000452"/>
    <s v="A00000545"/>
    <s v="PLC00002749"/>
    <d v="2015-12-07T00:00:00"/>
    <d v="2020-06-03T00:00:00"/>
    <d v="2020-06-08T00:00:00"/>
    <n v="5"/>
    <n v="99.6"/>
    <n v="1195.2"/>
    <n v="4000"/>
    <s v="D"/>
    <n v="0"/>
    <n v="3"/>
    <s v="Total Loss"/>
    <n v="36"/>
    <n v="35"/>
    <n v="0"/>
    <n v="2"/>
    <s v="L"/>
    <x v="0"/>
    <x v="1"/>
    <s v="Own"/>
    <n v="0"/>
    <n v="0"/>
    <n v="3585.6000000000004"/>
    <n v="2617.4880000000003"/>
    <n v="2617.4880000000003"/>
  </r>
  <r>
    <s v="TXN00000456"/>
    <s v="A00001467"/>
    <s v="PLC00004347"/>
    <d v="2012-06-10T00:00:00"/>
    <d v="2020-05-29T00:00:00"/>
    <d v="2020-06-03T00:00:00"/>
    <n v="5"/>
    <n v="120.59"/>
    <n v="1447.08"/>
    <n v="8000"/>
    <s v="A"/>
    <n v="8000"/>
    <n v="5.5"/>
    <s v="Total Loss"/>
    <n v="66"/>
    <n v="62"/>
    <n v="1"/>
    <n v="2"/>
    <s v="L"/>
    <x v="1"/>
    <x v="1"/>
    <s v="Mortgage"/>
    <n v="1"/>
    <n v="1"/>
    <n v="7958.94"/>
    <n v="5810.0261999999993"/>
    <n v="-2189.9738000000007"/>
  </r>
  <r>
    <s v="TXN00000463"/>
    <s v="A00007415"/>
    <s v="PLC00009619"/>
    <d v="2018-01-14T00:00:00"/>
    <d v="2020-06-11T00:00:00"/>
    <d v="2020-06-13T00:00:00"/>
    <n v="2"/>
    <n v="135.75"/>
    <n v="1629"/>
    <n v="8000"/>
    <s v="A"/>
    <n v="8000"/>
    <n v="6.58"/>
    <s v="Major Loss"/>
    <n v="79"/>
    <n v="61"/>
    <n v="1"/>
    <n v="2"/>
    <s v="M"/>
    <x v="0"/>
    <x v="1"/>
    <s v="Own"/>
    <n v="1"/>
    <n v="1"/>
    <n v="10718.82"/>
    <n v="7824.7385999999997"/>
    <n v="-175.26140000000032"/>
  </r>
  <r>
    <s v="TXN00000468"/>
    <s v="A00008191"/>
    <s v="PLC00000172"/>
    <d v="2014-08-10T00:00:00"/>
    <d v="2020-06-17T00:00:00"/>
    <d v="2020-06-17T00:00:00"/>
    <n v="0"/>
    <n v="132.19"/>
    <n v="1586.28"/>
    <n v="4000"/>
    <s v="A"/>
    <n v="4000"/>
    <n v="0.5"/>
    <s v="Total Loss"/>
    <n v="6"/>
    <n v="45"/>
    <n v="1"/>
    <n v="3"/>
    <s v="H"/>
    <x v="1"/>
    <x v="5"/>
    <s v="Own"/>
    <n v="1"/>
    <n v="1"/>
    <n v="793.14"/>
    <n v="578.99220000000003"/>
    <n v="-3421.0077999999999"/>
  </r>
  <r>
    <s v="TXN00000469"/>
    <s v="A00008983"/>
    <s v="PLC00004799"/>
    <d v="2015-09-20T00:00:00"/>
    <d v="2020-05-31T00:00:00"/>
    <d v="2020-06-05T00:00:00"/>
    <n v="5"/>
    <n v="122.41"/>
    <n v="1468.92"/>
    <n v="2000"/>
    <s v="A"/>
    <n v="2000"/>
    <n v="9.67"/>
    <s v="Minor Loss"/>
    <n v="116"/>
    <n v="59"/>
    <n v="1"/>
    <n v="2"/>
    <s v="L"/>
    <x v="2"/>
    <x v="1"/>
    <s v="Rent"/>
    <n v="1"/>
    <n v="1"/>
    <n v="14204.456400000001"/>
    <n v="10369.253172000001"/>
    <n v="8369.2531720000006"/>
  </r>
  <r>
    <s v="TXN00000472"/>
    <s v="A00001023"/>
    <s v="PLC00007554"/>
    <d v="2016-02-20T00:00:00"/>
    <d v="2020-06-15T00:00:00"/>
    <d v="2020-06-15T00:00:00"/>
    <n v="0"/>
    <n v="80.180000000000007"/>
    <n v="962.16"/>
    <n v="10000"/>
    <s v="A"/>
    <n v="10000"/>
    <n v="5.17"/>
    <s v="Total Loss"/>
    <n v="62"/>
    <n v="63"/>
    <n v="1"/>
    <n v="4"/>
    <s v="L"/>
    <x v="0"/>
    <x v="1"/>
    <s v="Rent"/>
    <n v="1"/>
    <n v="0"/>
    <n v="4974.3671999999997"/>
    <n v="3631.2880559999999"/>
    <n v="-6368.7119440000006"/>
  </r>
  <r>
    <s v="TXN00000476"/>
    <s v="A00007778"/>
    <s v="PLC00009926"/>
    <d v="2011-08-27T00:00:00"/>
    <d v="2020-06-11T00:00:00"/>
    <d v="2020-06-13T00:00:00"/>
    <n v="2"/>
    <n v="138.38999999999999"/>
    <n v="1660.68"/>
    <n v="8000"/>
    <s v="A"/>
    <n v="8000"/>
    <n v="6.08"/>
    <s v="Minor Loss"/>
    <n v="73"/>
    <n v="35"/>
    <n v="0"/>
    <n v="2"/>
    <s v="M"/>
    <x v="2"/>
    <x v="0"/>
    <s v="Mortgage"/>
    <n v="1"/>
    <n v="1"/>
    <n v="10096.9344"/>
    <n v="7370.7621120000003"/>
    <n v="-629.23788799999966"/>
  </r>
  <r>
    <s v="TXN00000477"/>
    <s v="A00002528"/>
    <s v="PLC00004774"/>
    <d v="2010-09-12T00:00:00"/>
    <d v="2020-06-17T00:00:00"/>
    <d v="2020-06-17T00:00:00"/>
    <n v="0"/>
    <n v="80.2"/>
    <n v="962.4"/>
    <n v="4000"/>
    <s v="A"/>
    <n v="4000"/>
    <n v="3.17"/>
    <s v="Major Loss"/>
    <n v="38"/>
    <n v="57"/>
    <n v="1"/>
    <n v="5"/>
    <s v="H"/>
    <x v="2"/>
    <x v="3"/>
    <s v="Mortgage"/>
    <n v="1"/>
    <n v="1"/>
    <n v="3050.808"/>
    <n v="2227.0898400000001"/>
    <n v="-1772.9101599999999"/>
  </r>
  <r>
    <s v="TXN00000478"/>
    <s v="A00001799"/>
    <s v="PLC00002320"/>
    <d v="2015-01-26T00:00:00"/>
    <d v="2020-06-05T00:00:00"/>
    <d v="2020-06-10T00:00:00"/>
    <n v="5"/>
    <n v="76.06"/>
    <n v="912.72"/>
    <n v="2000"/>
    <s v="A"/>
    <n v="2000"/>
    <n v="3.5"/>
    <s v="Total Loss"/>
    <n v="42"/>
    <n v="61"/>
    <n v="1"/>
    <n v="7"/>
    <s v="L"/>
    <x v="0"/>
    <x v="5"/>
    <s v="Rent"/>
    <n v="1"/>
    <n v="1"/>
    <n v="3194.52"/>
    <n v="2331.9996000000001"/>
    <n v="331.9996000000001"/>
  </r>
  <r>
    <s v="TXN00000479"/>
    <s v="A00003263"/>
    <s v="PLC00009140"/>
    <d v="2013-09-26T00:00:00"/>
    <d v="2020-05-30T00:00:00"/>
    <d v="2020-06-04T00:00:00"/>
    <n v="5"/>
    <n v="134.71"/>
    <n v="1616.52"/>
    <n v="6000"/>
    <s v="A"/>
    <n v="6000"/>
    <n v="8.33"/>
    <s v="Total Loss"/>
    <n v="100"/>
    <n v="45"/>
    <n v="1"/>
    <n v="7"/>
    <s v="M"/>
    <x v="0"/>
    <x v="1"/>
    <s v="Rent"/>
    <n v="1"/>
    <n v="0"/>
    <n v="13465.6116"/>
    <n v="9829.896467999999"/>
    <n v="3829.896467999999"/>
  </r>
  <r>
    <s v="TXN00000484"/>
    <s v="A00001026"/>
    <s v="PLC00005766"/>
    <d v="2014-12-24T00:00:00"/>
    <d v="2020-06-18T00:00:00"/>
    <d v="2020-06-18T00:00:00"/>
    <n v="0"/>
    <n v="98.63"/>
    <n v="1183.56"/>
    <n v="8000"/>
    <s v="A"/>
    <n v="8000"/>
    <n v="5.67"/>
    <s v="Total Loss"/>
    <n v="68"/>
    <n v="38"/>
    <n v="1"/>
    <n v="7"/>
    <s v="M"/>
    <x v="0"/>
    <x v="1"/>
    <s v="Own"/>
    <n v="0"/>
    <n v="1"/>
    <n v="6710.7851999999993"/>
    <n v="4898.8731959999996"/>
    <n v="-3101.1268040000004"/>
  </r>
  <r>
    <s v="TXN00000489"/>
    <s v="A00000666"/>
    <s v="PLC00007109"/>
    <d v="2011-12-15T00:00:00"/>
    <d v="2020-06-02T00:00:00"/>
    <d v="2020-06-07T00:00:00"/>
    <n v="5"/>
    <n v="123.56"/>
    <n v="1482.72"/>
    <n v="1000"/>
    <s v="D"/>
    <n v="0"/>
    <n v="5.58"/>
    <s v="Major Loss"/>
    <n v="67"/>
    <n v="37"/>
    <n v="1"/>
    <n v="2"/>
    <s v="H"/>
    <x v="0"/>
    <x v="4"/>
    <s v="Mortgage"/>
    <n v="0"/>
    <n v="0"/>
    <n v="8273.5776000000005"/>
    <n v="6039.7116480000004"/>
    <n v="6039.7116480000004"/>
  </r>
  <r>
    <s v="TXN00000490"/>
    <s v="A00007897"/>
    <s v="PLC00004751"/>
    <d v="2010-10-14T00:00:00"/>
    <d v="2020-06-08T00:00:00"/>
    <d v="2020-06-13T00:00:00"/>
    <n v="5"/>
    <n v="128.58000000000001"/>
    <n v="1542.96"/>
    <n v="9000"/>
    <s v="A"/>
    <n v="9000"/>
    <n v="9"/>
    <s v="Major Loss"/>
    <n v="108"/>
    <n v="38"/>
    <n v="0"/>
    <n v="4"/>
    <s v="H"/>
    <x v="1"/>
    <x v="1"/>
    <s v="Own"/>
    <n v="0"/>
    <n v="1"/>
    <n v="13886.64"/>
    <n v="10137.2472"/>
    <n v="1137.2471999999998"/>
  </r>
  <r>
    <s v="TXN00000498"/>
    <s v="A00001456"/>
    <s v="PLC00006280"/>
    <d v="2014-12-10T00:00:00"/>
    <d v="2020-05-31T00:00:00"/>
    <d v="2020-06-05T00:00:00"/>
    <n v="5"/>
    <n v="133.61000000000001"/>
    <n v="1603.32"/>
    <n v="3000"/>
    <s v="D"/>
    <n v="0"/>
    <n v="5.25"/>
    <s v="Minor Loss"/>
    <n v="63"/>
    <n v="63"/>
    <n v="0"/>
    <n v="2"/>
    <s v="L"/>
    <x v="0"/>
    <x v="3"/>
    <s v="Mortgage"/>
    <n v="1"/>
    <n v="1"/>
    <n v="8417.43"/>
    <n v="6144.7239"/>
    <n v="6144.7239"/>
  </r>
  <r>
    <s v="TXN00000501"/>
    <s v="A00009449"/>
    <s v="PLC00006895"/>
    <d v="2012-02-14T00:00:00"/>
    <d v="2020-06-11T00:00:00"/>
    <d v="2020-06-14T00:00:00"/>
    <n v="3"/>
    <n v="73.34"/>
    <n v="880.08"/>
    <n v="1000"/>
    <s v="A"/>
    <n v="1000"/>
    <n v="6.92"/>
    <s v="Minor Loss"/>
    <n v="83"/>
    <n v="49"/>
    <n v="1"/>
    <n v="2"/>
    <s v="M"/>
    <x v="0"/>
    <x v="4"/>
    <s v="Own"/>
    <n v="1"/>
    <n v="0"/>
    <n v="6090.1536000000006"/>
    <n v="4445.8121280000005"/>
    <n v="3445.8121280000005"/>
  </r>
  <r>
    <s v="TXN00000509"/>
    <s v="A00006320"/>
    <s v="PLC00000500"/>
    <d v="2011-09-26T00:00:00"/>
    <d v="2020-06-01T00:00:00"/>
    <d v="2020-06-06T00:00:00"/>
    <n v="5"/>
    <n v="129.38"/>
    <n v="1552.56"/>
    <n v="2000"/>
    <s v="A"/>
    <n v="2000"/>
    <n v="6.67"/>
    <s v="Major Loss"/>
    <n v="80"/>
    <n v="53"/>
    <n v="1"/>
    <n v="6"/>
    <s v="L"/>
    <x v="0"/>
    <x v="6"/>
    <s v="Own"/>
    <n v="1"/>
    <n v="1"/>
    <n v="10355.575199999999"/>
    <n v="7559.5698959999991"/>
    <n v="5559.5698959999991"/>
  </r>
  <r>
    <s v="TXN00000512"/>
    <s v="A00008672"/>
    <s v="PLC00000076"/>
    <d v="2011-11-11T00:00:00"/>
    <d v="2020-06-08T00:00:00"/>
    <d v="2020-06-13T00:00:00"/>
    <n v="5"/>
    <n v="131.11000000000001"/>
    <n v="1573.32"/>
    <n v="5000"/>
    <s v="A"/>
    <n v="5000"/>
    <n v="3.92"/>
    <s v="Total Loss"/>
    <n v="47"/>
    <n v="26"/>
    <n v="1"/>
    <n v="7"/>
    <s v="M"/>
    <x v="0"/>
    <x v="1"/>
    <s v="Rent"/>
    <n v="1"/>
    <n v="1"/>
    <n v="6167.4143999999997"/>
    <n v="4502.2125120000001"/>
    <n v="-497.78748799999994"/>
  </r>
  <r>
    <s v="TXN00000522"/>
    <s v="A00009349"/>
    <s v="PLC00007278"/>
    <d v="2017-01-18T00:00:00"/>
    <d v="2020-06-14T00:00:00"/>
    <d v="2020-06-16T00:00:00"/>
    <n v="2"/>
    <n v="132.66"/>
    <n v="1591.92"/>
    <n v="9000"/>
    <s v="A"/>
    <n v="9000"/>
    <n v="1.92"/>
    <s v="Total Loss"/>
    <n v="23"/>
    <n v="55"/>
    <n v="0"/>
    <n v="7"/>
    <s v="M"/>
    <x v="0"/>
    <x v="0"/>
    <s v="Own"/>
    <n v="1"/>
    <n v="1"/>
    <n v="3056.4864000000002"/>
    <n v="2231.2350719999999"/>
    <n v="-6768.7649280000005"/>
  </r>
  <r>
    <s v="TXN00000528"/>
    <s v="A00004135"/>
    <s v="PLC00004698"/>
    <d v="2012-08-27T00:00:00"/>
    <d v="2020-06-06T00:00:00"/>
    <d v="2020-06-11T00:00:00"/>
    <n v="5"/>
    <n v="81.459999999999994"/>
    <n v="977.52"/>
    <n v="8000"/>
    <s v="A"/>
    <n v="8000"/>
    <n v="6.5"/>
    <s v="Major Loss"/>
    <n v="78"/>
    <n v="64"/>
    <n v="0"/>
    <n v="6"/>
    <s v="L"/>
    <x v="0"/>
    <x v="0"/>
    <s v="Mortgage"/>
    <n v="1"/>
    <n v="1"/>
    <n v="6353.88"/>
    <n v="4638.3324000000002"/>
    <n v="-3361.6675999999998"/>
  </r>
  <r>
    <s v="TXN00000556"/>
    <s v="A00000337"/>
    <s v="PLC00004791"/>
    <d v="2013-04-14T00:00:00"/>
    <d v="2020-06-16T00:00:00"/>
    <d v="2020-06-17T00:00:00"/>
    <n v="1"/>
    <n v="92.87"/>
    <n v="1114.44"/>
    <n v="7000"/>
    <s v="A"/>
    <n v="7000"/>
    <n v="2.5"/>
    <s v="Minor Loss"/>
    <n v="30"/>
    <n v="50"/>
    <n v="1"/>
    <n v="3"/>
    <s v="L"/>
    <x v="2"/>
    <x v="1"/>
    <s v="Own"/>
    <n v="1"/>
    <n v="1"/>
    <n v="2786.1000000000004"/>
    <n v="2033.8530000000003"/>
    <n v="-4966.1469999999999"/>
  </r>
  <r>
    <s v="TXN00000562"/>
    <s v="A00000438"/>
    <s v="PLC00008018"/>
    <d v="2013-07-01T00:00:00"/>
    <d v="2020-06-16T00:00:00"/>
    <d v="2020-06-17T00:00:00"/>
    <n v="1"/>
    <n v="130.13"/>
    <n v="1561.56"/>
    <n v="10000"/>
    <s v="A"/>
    <n v="10000"/>
    <n v="8.08"/>
    <s v="Minor Loss"/>
    <n v="97"/>
    <n v="28"/>
    <n v="1"/>
    <n v="6"/>
    <s v="M"/>
    <x v="2"/>
    <x v="0"/>
    <s v="Own"/>
    <n v="1"/>
    <n v="1"/>
    <n v="12617.4048"/>
    <n v="9210.7055039999996"/>
    <n v="-789.29449600000044"/>
  </r>
  <r>
    <s v="TXN00000564"/>
    <s v="A00005870"/>
    <s v="PLC00007774"/>
    <d v="2010-07-24T00:00:00"/>
    <d v="2020-06-20T00:00:00"/>
    <d v="2020-06-20T00:00:00"/>
    <n v="0"/>
    <n v="121.35"/>
    <n v="1456.2"/>
    <n v="2000"/>
    <s v="A"/>
    <n v="2000"/>
    <n v="2.08"/>
    <s v="Major Loss"/>
    <n v="25"/>
    <n v="31"/>
    <n v="0"/>
    <n v="6"/>
    <s v="M"/>
    <x v="2"/>
    <x v="1"/>
    <s v="Rent"/>
    <n v="0"/>
    <n v="1"/>
    <n v="3028.8960000000002"/>
    <n v="2211.0940800000003"/>
    <n v="211.0940800000003"/>
  </r>
  <r>
    <s v="TXN00000568"/>
    <s v="A00002301"/>
    <s v="PLC00007142"/>
    <d v="2017-03-09T00:00:00"/>
    <d v="2020-06-09T00:00:00"/>
    <d v="2020-06-14T00:00:00"/>
    <n v="5"/>
    <n v="73.930000000000007"/>
    <n v="887.16"/>
    <n v="5000"/>
    <s v="A"/>
    <n v="5000"/>
    <n v="9.67"/>
    <s v="Minor Loss"/>
    <n v="116"/>
    <n v="60"/>
    <n v="1"/>
    <n v="4"/>
    <s v="M"/>
    <x v="2"/>
    <x v="1"/>
    <s v="Own"/>
    <n v="1"/>
    <n v="1"/>
    <n v="8578.8371999999999"/>
    <n v="6262.5511559999995"/>
    <n v="1262.5511559999995"/>
  </r>
  <r>
    <s v="TXN00000570"/>
    <s v="A00007489"/>
    <s v="PLC00003240"/>
    <d v="2014-03-23T00:00:00"/>
    <d v="2020-06-17T00:00:00"/>
    <d v="2020-06-18T00:00:00"/>
    <n v="1"/>
    <n v="102.16"/>
    <n v="1225.92"/>
    <n v="7000"/>
    <s v="A"/>
    <n v="7000"/>
    <n v="9.58"/>
    <s v="Major Loss"/>
    <n v="115"/>
    <n v="61"/>
    <n v="1"/>
    <n v="5"/>
    <s v="M"/>
    <x v="2"/>
    <x v="1"/>
    <s v="Rent"/>
    <n v="1"/>
    <n v="1"/>
    <n v="11744.313600000001"/>
    <n v="8573.3489280000013"/>
    <n v="1573.3489280000013"/>
  </r>
  <r>
    <s v="TXN00000578"/>
    <s v="A00000228"/>
    <s v="PLC00008897"/>
    <d v="2015-05-02T00:00:00"/>
    <d v="2020-06-16T00:00:00"/>
    <d v="2020-06-18T00:00:00"/>
    <n v="2"/>
    <n v="80.5"/>
    <n v="966"/>
    <n v="3000"/>
    <s v="A"/>
    <n v="3000"/>
    <n v="7.17"/>
    <s v="Minor Loss"/>
    <n v="86"/>
    <n v="53"/>
    <n v="1"/>
    <n v="4"/>
    <s v="M"/>
    <x v="2"/>
    <x v="4"/>
    <s v="Rent"/>
    <n v="0"/>
    <n v="1"/>
    <n v="6926.22"/>
    <n v="5056.1405999999997"/>
    <n v="2056.1405999999997"/>
  </r>
  <r>
    <s v="TXN00000587"/>
    <s v="A00002335"/>
    <s v="PLC00007057"/>
    <d v="2013-05-17T00:00:00"/>
    <d v="2020-06-16T00:00:00"/>
    <d v="2020-06-18T00:00:00"/>
    <n v="2"/>
    <n v="110.63"/>
    <n v="1327.56"/>
    <n v="2000"/>
    <s v="A"/>
    <n v="2000"/>
    <n v="2.58"/>
    <s v="Minor Loss"/>
    <n v="31"/>
    <n v="43"/>
    <n v="1"/>
    <n v="5"/>
    <s v="L"/>
    <x v="0"/>
    <x v="1"/>
    <s v="Rent"/>
    <n v="1"/>
    <n v="1"/>
    <n v="3425.1048000000001"/>
    <n v="2500.3265040000001"/>
    <n v="500.32650400000011"/>
  </r>
  <r>
    <s v="TXN00000597"/>
    <s v="A00007864"/>
    <s v="PLC00005176"/>
    <d v="2015-10-04T00:00:00"/>
    <d v="2020-06-09T00:00:00"/>
    <d v="2020-06-14T00:00:00"/>
    <n v="5"/>
    <n v="73.78"/>
    <n v="885.36"/>
    <n v="1000"/>
    <s v="A"/>
    <n v="1000"/>
    <n v="5.58"/>
    <s v="Minor Loss"/>
    <n v="67"/>
    <n v="52"/>
    <n v="1"/>
    <n v="7"/>
    <s v="L"/>
    <x v="1"/>
    <x v="1"/>
    <s v="Mortgage"/>
    <n v="1"/>
    <n v="1"/>
    <n v="4940.3087999999998"/>
    <n v="3606.4254239999996"/>
    <n v="2606.4254239999996"/>
  </r>
  <r>
    <s v="TXN00000600"/>
    <s v="A00001115"/>
    <s v="PLC00008679"/>
    <d v="2011-07-15T00:00:00"/>
    <d v="2020-06-13T00:00:00"/>
    <d v="2020-06-16T00:00:00"/>
    <n v="3"/>
    <n v="85.44"/>
    <n v="1025.28"/>
    <n v="6000"/>
    <s v="A"/>
    <n v="6000"/>
    <n v="2.92"/>
    <s v="Minor Loss"/>
    <n v="35"/>
    <n v="55"/>
    <n v="1"/>
    <n v="5"/>
    <s v="M"/>
    <x v="2"/>
    <x v="0"/>
    <s v="Own"/>
    <n v="1"/>
    <n v="1"/>
    <n v="2993.8175999999999"/>
    <n v="2185.486848"/>
    <n v="-3814.513152"/>
  </r>
  <r>
    <s v="TXN00000604"/>
    <s v="A00007259"/>
    <s v="PLC00009795"/>
    <d v="2015-07-18T00:00:00"/>
    <d v="2020-06-08T00:00:00"/>
    <d v="2020-06-13T00:00:00"/>
    <n v="5"/>
    <n v="129.99"/>
    <n v="1559.88"/>
    <n v="2000"/>
    <s v="A"/>
    <n v="2000"/>
    <n v="5"/>
    <s v="Total Loss"/>
    <n v="60"/>
    <n v="63"/>
    <n v="0"/>
    <n v="3"/>
    <s v="L"/>
    <x v="1"/>
    <x v="1"/>
    <s v="Mortgage"/>
    <n v="1"/>
    <n v="1"/>
    <n v="7799.4000000000005"/>
    <n v="5693.5619999999999"/>
    <n v="3693.5619999999999"/>
  </r>
  <r>
    <s v="TXN00000608"/>
    <s v="A00001945"/>
    <s v="PLC00004394"/>
    <d v="2010-08-16T00:00:00"/>
    <d v="2020-06-10T00:00:00"/>
    <d v="2020-06-15T00:00:00"/>
    <n v="5"/>
    <n v="105.45"/>
    <n v="1265.4000000000001"/>
    <n v="4000"/>
    <s v="D"/>
    <n v="0"/>
    <n v="8.25"/>
    <s v="Minor Loss"/>
    <n v="99"/>
    <n v="45"/>
    <n v="1"/>
    <n v="7"/>
    <s v="M"/>
    <x v="1"/>
    <x v="2"/>
    <s v="Mortgage"/>
    <n v="1"/>
    <n v="1"/>
    <n v="10439.550000000001"/>
    <n v="7620.8715000000002"/>
    <n v="7620.8715000000002"/>
  </r>
  <r>
    <s v="TXN00000609"/>
    <s v="A00000852"/>
    <s v="PLC00005194"/>
    <d v="2016-01-16T00:00:00"/>
    <d v="2020-06-20T00:00:00"/>
    <d v="2020-06-20T00:00:00"/>
    <n v="0"/>
    <n v="132.84"/>
    <n v="1594.08"/>
    <n v="6000"/>
    <s v="A"/>
    <n v="6000"/>
    <n v="3.5"/>
    <s v="Minor Loss"/>
    <n v="42"/>
    <n v="61"/>
    <n v="1"/>
    <n v="3"/>
    <s v="L"/>
    <x v="2"/>
    <x v="1"/>
    <s v="Own"/>
    <n v="1"/>
    <n v="1"/>
    <n v="5579.28"/>
    <n v="4072.8743999999997"/>
    <n v="-1927.1256000000003"/>
  </r>
  <r>
    <s v="TXN00000611"/>
    <s v="A00002487"/>
    <s v="PLC00009311"/>
    <d v="2014-01-12T00:00:00"/>
    <d v="2020-06-07T00:00:00"/>
    <d v="2020-06-12T00:00:00"/>
    <n v="5"/>
    <n v="133.58000000000001"/>
    <n v="1602.96"/>
    <n v="5000"/>
    <s v="A"/>
    <n v="5000"/>
    <n v="4.33"/>
    <s v="Minor Loss"/>
    <n v="52"/>
    <n v="28"/>
    <n v="1"/>
    <n v="3"/>
    <s v="L"/>
    <x v="0"/>
    <x v="1"/>
    <s v="Rent"/>
    <n v="0"/>
    <n v="0"/>
    <n v="6940.8168000000005"/>
    <n v="5066.7962640000005"/>
    <n v="66.796264000000519"/>
  </r>
  <r>
    <s v="TXN00000622"/>
    <s v="A00008234"/>
    <s v="PLC00008574"/>
    <d v="2019-06-23T00:00:00"/>
    <d v="2020-06-14T00:00:00"/>
    <d v="2020-06-17T00:00:00"/>
    <n v="3"/>
    <n v="84.79"/>
    <n v="1017.48"/>
    <n v="2000"/>
    <s v="A"/>
    <n v="2000"/>
    <n v="7.83"/>
    <s v="Total Loss"/>
    <n v="94"/>
    <n v="40"/>
    <n v="1"/>
    <n v="7"/>
    <s v="H"/>
    <x v="0"/>
    <x v="0"/>
    <s v="Mortgage"/>
    <n v="1"/>
    <n v="0"/>
    <n v="7966.8684000000003"/>
    <n v="5815.813932"/>
    <n v="3815.813932"/>
  </r>
  <r>
    <s v="TXN00000637"/>
    <s v="A00004690"/>
    <s v="PLC00009543"/>
    <d v="2017-10-22T00:00:00"/>
    <d v="2020-06-07T00:00:00"/>
    <d v="2020-06-12T00:00:00"/>
    <n v="5"/>
    <n v="98.44"/>
    <n v="1181.28"/>
    <n v="10000"/>
    <s v="A"/>
    <n v="10000"/>
    <n v="6.92"/>
    <s v="Major Loss"/>
    <n v="83"/>
    <n v="47"/>
    <n v="0"/>
    <n v="6"/>
    <s v="L"/>
    <x v="2"/>
    <x v="0"/>
    <s v="Mortgage"/>
    <n v="1"/>
    <n v="1"/>
    <n v="8174.4575999999997"/>
    <n v="5967.3540479999992"/>
    <n v="-4032.6459520000008"/>
  </r>
  <r>
    <s v="TXN00000650"/>
    <s v="A00007120"/>
    <s v="PLC00009672"/>
    <d v="2014-05-15T00:00:00"/>
    <d v="2020-06-24T00:00:00"/>
    <d v="2020-06-24T00:00:00"/>
    <n v="0"/>
    <n v="132.57"/>
    <n v="1590.84"/>
    <n v="10000"/>
    <s v="A"/>
    <n v="10000"/>
    <n v="9.08"/>
    <s v="Total Loss"/>
    <n v="109"/>
    <n v="40"/>
    <n v="0"/>
    <n v="2"/>
    <s v="H"/>
    <x v="0"/>
    <x v="3"/>
    <s v="Mortgage"/>
    <n v="1"/>
    <n v="1"/>
    <n v="14444.8272"/>
    <n v="10544.723855999999"/>
    <n v="544.7238559999987"/>
  </r>
  <r>
    <s v="TXN00000653"/>
    <s v="A00001656"/>
    <s v="PLC00003005"/>
    <d v="2013-05-08T00:00:00"/>
    <d v="2020-06-14T00:00:00"/>
    <d v="2020-06-19T00:00:00"/>
    <n v="5"/>
    <n v="90.73"/>
    <n v="1088.76"/>
    <n v="10000"/>
    <s v="A"/>
    <n v="10000"/>
    <n v="6"/>
    <s v="Total Loss"/>
    <n v="72"/>
    <n v="64"/>
    <n v="1"/>
    <n v="7"/>
    <s v="M"/>
    <x v="0"/>
    <x v="6"/>
    <s v="Rent"/>
    <n v="1"/>
    <n v="1"/>
    <n v="6532.5599999999995"/>
    <n v="4768.7687999999998"/>
    <n v="-5231.2312000000002"/>
  </r>
  <r>
    <s v="TXN00000662"/>
    <s v="A00002959"/>
    <s v="PLC00005123"/>
    <d v="2019-02-25T00:00:00"/>
    <d v="2020-06-15T00:00:00"/>
    <d v="2020-06-20T00:00:00"/>
    <n v="5"/>
    <n v="78.099999999999994"/>
    <n v="937.2"/>
    <n v="2000"/>
    <s v="A"/>
    <n v="2000"/>
    <n v="1.5"/>
    <s v="Major Loss"/>
    <n v="18"/>
    <n v="28"/>
    <n v="0"/>
    <n v="5"/>
    <s v="L"/>
    <x v="2"/>
    <x v="1"/>
    <s v="Mortgage"/>
    <n v="1"/>
    <n v="1"/>
    <n v="1405.8000000000002"/>
    <n v="1026.2340000000002"/>
    <n v="-973.76599999999985"/>
  </r>
  <r>
    <s v="TXN00000666"/>
    <s v="A00007542"/>
    <s v="PLC00001933"/>
    <d v="2012-09-06T00:00:00"/>
    <d v="2020-06-20T00:00:00"/>
    <d v="2020-06-22T00:00:00"/>
    <n v="2"/>
    <n v="134.59"/>
    <n v="1615.08"/>
    <n v="1000"/>
    <s v="D"/>
    <n v="0"/>
    <n v="7.92"/>
    <s v="Major Loss"/>
    <n v="95"/>
    <n v="42"/>
    <n v="0"/>
    <n v="3"/>
    <s v="H"/>
    <x v="1"/>
    <x v="5"/>
    <s v="Mortgage"/>
    <n v="1"/>
    <n v="1"/>
    <n v="12791.433599999998"/>
    <n v="9337.7465279999979"/>
    <n v="9337.7465279999979"/>
  </r>
  <r>
    <s v="TXN00000678"/>
    <s v="A00009900"/>
    <s v="PLC00009950"/>
    <d v="2019-03-23T00:00:00"/>
    <d v="2020-06-10T00:00:00"/>
    <d v="2020-06-15T00:00:00"/>
    <n v="5"/>
    <n v="71.989999999999995"/>
    <n v="863.88"/>
    <n v="3000"/>
    <s v="D"/>
    <n v="0"/>
    <n v="6.83"/>
    <s v="Minor Loss"/>
    <n v="82"/>
    <n v="31"/>
    <n v="1"/>
    <n v="4"/>
    <s v="L"/>
    <x v="0"/>
    <x v="1"/>
    <s v="Mortgage"/>
    <n v="1"/>
    <n v="1"/>
    <n v="5900.3004000000001"/>
    <n v="4307.2192919999998"/>
    <n v="4307.2192919999998"/>
  </r>
  <r>
    <s v="TXN00000682"/>
    <s v="A00009642"/>
    <s v="PLC00000630"/>
    <d v="2017-05-30T00:00:00"/>
    <d v="2020-06-15T00:00:00"/>
    <d v="2020-06-20T00:00:00"/>
    <n v="5"/>
    <n v="76.06"/>
    <n v="912.72"/>
    <n v="3000"/>
    <s v="A"/>
    <n v="3000"/>
    <n v="2.58"/>
    <s v="Total Loss"/>
    <n v="31"/>
    <n v="28"/>
    <n v="1"/>
    <n v="6"/>
    <s v="L"/>
    <x v="0"/>
    <x v="1"/>
    <s v="Rent"/>
    <n v="1"/>
    <n v="1"/>
    <n v="2354.8176000000003"/>
    <n v="1719.0168480000002"/>
    <n v="-1280.9831519999998"/>
  </r>
  <r>
    <s v="TXN00000688"/>
    <s v="A00004998"/>
    <s v="PLC00001772"/>
    <d v="2014-08-31T00:00:00"/>
    <d v="2020-06-26T00:00:00"/>
    <d v="2020-06-26T00:00:00"/>
    <n v="0"/>
    <n v="91.03"/>
    <n v="1092.3599999999999"/>
    <n v="10000"/>
    <s v="A"/>
    <n v="10000"/>
    <n v="9.67"/>
    <s v="Major Loss"/>
    <n v="116"/>
    <n v="38"/>
    <n v="1"/>
    <n v="5"/>
    <s v="L"/>
    <x v="0"/>
    <x v="1"/>
    <s v="Own"/>
    <n v="1"/>
    <n v="0"/>
    <n v="10563.1212"/>
    <n v="7711.0784759999997"/>
    <n v="-2288.9215240000003"/>
  </r>
  <r>
    <s v="TXN00000698"/>
    <s v="A00002708"/>
    <s v="PLC00003500"/>
    <d v="2017-11-29T00:00:00"/>
    <d v="2020-06-17T00:00:00"/>
    <d v="2020-06-20T00:00:00"/>
    <n v="3"/>
    <n v="127.92"/>
    <n v="1535.04"/>
    <n v="10000"/>
    <s v="A"/>
    <n v="10000"/>
    <n v="2.17"/>
    <s v="Total Loss"/>
    <n v="26"/>
    <n v="49"/>
    <n v="1"/>
    <n v="4"/>
    <s v="L"/>
    <x v="0"/>
    <x v="2"/>
    <s v="Rent"/>
    <n v="0"/>
    <n v="1"/>
    <n v="3331.0367999999999"/>
    <n v="2431.656864"/>
    <n v="-7568.3431359999995"/>
  </r>
  <r>
    <s v="TXN00000791"/>
    <s v="A00006049"/>
    <s v="PLC00004589"/>
    <d v="2011-03-08T00:00:00"/>
    <d v="2020-06-15T00:00:00"/>
    <d v="2020-06-20T00:00:00"/>
    <n v="5"/>
    <n v="78.08"/>
    <n v="936.96"/>
    <n v="9000"/>
    <s v="A"/>
    <n v="9000"/>
    <n v="5.58"/>
    <s v="Minor Loss"/>
    <n v="67"/>
    <n v="30"/>
    <n v="1"/>
    <n v="3"/>
    <s v="L"/>
    <x v="2"/>
    <x v="5"/>
    <s v="Rent"/>
    <n v="1"/>
    <n v="0"/>
    <n v="5228.2368000000006"/>
    <n v="3816.6128640000002"/>
    <n v="-5183.3871359999994"/>
  </r>
  <r>
    <s v="TXN00000703"/>
    <s v="A00007375"/>
    <s v="PLC00001415"/>
    <d v="2018-04-07T00:00:00"/>
    <d v="2020-06-07T00:00:00"/>
    <d v="2020-06-12T00:00:00"/>
    <n v="5"/>
    <n v="133.83000000000001"/>
    <n v="1605.96"/>
    <n v="3000"/>
    <s v="A"/>
    <n v="3000"/>
    <n v="7.83"/>
    <s v="Minor Loss"/>
    <n v="94"/>
    <n v="46"/>
    <n v="1"/>
    <n v="4"/>
    <s v="M"/>
    <x v="2"/>
    <x v="6"/>
    <s v="Own"/>
    <n v="0"/>
    <n v="1"/>
    <n v="12574.666800000001"/>
    <n v="9179.5067639999997"/>
    <n v="6179.5067639999997"/>
  </r>
  <r>
    <s v="TXN00000715"/>
    <s v="A00000312"/>
    <s v="PLC00008512"/>
    <d v="2015-04-20T00:00:00"/>
    <d v="2020-06-08T00:00:00"/>
    <d v="2020-06-13T00:00:00"/>
    <n v="5"/>
    <n v="72.260000000000005"/>
    <n v="867.12"/>
    <n v="9000"/>
    <s v="A"/>
    <n v="9000"/>
    <n v="1.58"/>
    <s v="Major Loss"/>
    <n v="19"/>
    <n v="37"/>
    <n v="1"/>
    <n v="6"/>
    <s v="H"/>
    <x v="2"/>
    <x v="1"/>
    <s v="Rent"/>
    <n v="0"/>
    <n v="1"/>
    <n v="1370.0496000000001"/>
    <n v="1000.136208"/>
    <n v="-7999.8637920000001"/>
  </r>
  <r>
    <s v="TXN00000719"/>
    <s v="A00001874"/>
    <s v="PLC00004707"/>
    <d v="2019-02-13T00:00:00"/>
    <d v="2020-06-27T00:00:00"/>
    <d v="2020-06-27T00:00:00"/>
    <n v="0"/>
    <n v="80.48"/>
    <n v="965.76"/>
    <n v="2000"/>
    <s v="A"/>
    <n v="2000"/>
    <n v="5.33"/>
    <s v="Major Loss"/>
    <n v="64"/>
    <n v="43"/>
    <n v="1"/>
    <n v="7"/>
    <s v="H"/>
    <x v="0"/>
    <x v="4"/>
    <s v="Rent"/>
    <n v="1"/>
    <n v="0"/>
    <n v="5147.5007999999998"/>
    <n v="3757.6755839999996"/>
    <n v="1757.6755839999996"/>
  </r>
  <r>
    <s v="TXN00000724"/>
    <s v="A00009125"/>
    <s v="PLC00003443"/>
    <d v="2012-03-22T00:00:00"/>
    <d v="2020-06-27T00:00:00"/>
    <d v="2020-06-27T00:00:00"/>
    <n v="0"/>
    <n v="94.8"/>
    <n v="1137.5999999999999"/>
    <n v="6000"/>
    <s v="A"/>
    <n v="6000"/>
    <n v="8.67"/>
    <s v="Total Loss"/>
    <n v="104"/>
    <n v="59"/>
    <n v="1"/>
    <n v="3"/>
    <s v="M"/>
    <x v="2"/>
    <x v="3"/>
    <s v="Own"/>
    <n v="1"/>
    <n v="0"/>
    <n v="9862.9919999999984"/>
    <n v="7199.9841599999991"/>
    <n v="1199.9841599999991"/>
  </r>
  <r>
    <s v="TXN00000725"/>
    <s v="A00003190"/>
    <s v="PLC00005336"/>
    <d v="2013-10-16T00:00:00"/>
    <d v="2020-06-11T00:00:00"/>
    <d v="2020-06-16T00:00:00"/>
    <n v="5"/>
    <n v="82.03"/>
    <n v="984.36"/>
    <n v="6000"/>
    <s v="A"/>
    <n v="6000"/>
    <n v="8.33"/>
    <s v="Major Loss"/>
    <n v="100"/>
    <n v="49"/>
    <n v="1"/>
    <n v="5"/>
    <s v="H"/>
    <x v="2"/>
    <x v="1"/>
    <s v="Mortgage"/>
    <n v="1"/>
    <n v="1"/>
    <n v="8199.7188000000006"/>
    <n v="5985.7947240000003"/>
    <n v="-14.205275999999685"/>
  </r>
  <r>
    <s v="TXN00000735"/>
    <s v="A00008548"/>
    <s v="PLC00008967"/>
    <d v="2012-06-25T00:00:00"/>
    <d v="2020-06-20T00:00:00"/>
    <d v="2020-06-23T00:00:00"/>
    <n v="3"/>
    <n v="110.87"/>
    <n v="1330.44"/>
    <n v="5000"/>
    <s v="A"/>
    <n v="5000"/>
    <n v="5.42"/>
    <s v="Major Loss"/>
    <n v="65"/>
    <n v="51"/>
    <n v="1"/>
    <n v="7"/>
    <s v="M"/>
    <x v="0"/>
    <x v="0"/>
    <s v="Mortgage"/>
    <n v="1"/>
    <n v="1"/>
    <n v="7210.9848000000002"/>
    <n v="5264.0189039999996"/>
    <n v="264.01890399999957"/>
  </r>
  <r>
    <s v="TXN00000741"/>
    <s v="A00008088"/>
    <s v="PLC00005530"/>
    <d v="2015-07-16T00:00:00"/>
    <d v="2020-06-25T00:00:00"/>
    <d v="2020-06-26T00:00:00"/>
    <n v="1"/>
    <n v="112.49"/>
    <n v="1349.88"/>
    <n v="1000"/>
    <s v="A"/>
    <n v="1000"/>
    <n v="9.08"/>
    <s v="Total Loss"/>
    <n v="109"/>
    <n v="38"/>
    <n v="1"/>
    <n v="2"/>
    <s v="L"/>
    <x v="0"/>
    <x v="2"/>
    <s v="Mortgage"/>
    <n v="1"/>
    <n v="1"/>
    <n v="12256.910400000001"/>
    <n v="8947.5445920000002"/>
    <n v="7947.5445920000002"/>
  </r>
  <r>
    <s v="TXN00000748"/>
    <s v="A00003854"/>
    <s v="PLC00003676"/>
    <d v="2017-03-28T00:00:00"/>
    <d v="2020-06-28T00:00:00"/>
    <d v="2020-06-28T00:00:00"/>
    <n v="0"/>
    <n v="82.4"/>
    <n v="988.8"/>
    <n v="10000"/>
    <s v="A"/>
    <n v="10000"/>
    <n v="1.83"/>
    <s v="Minor Loss"/>
    <n v="22"/>
    <n v="56"/>
    <n v="1"/>
    <n v="3"/>
    <s v="M"/>
    <x v="0"/>
    <x v="0"/>
    <s v="Own"/>
    <n v="1"/>
    <n v="1"/>
    <n v="1809.5039999999999"/>
    <n v="1320.9379199999998"/>
    <n v="-8679.0620799999997"/>
  </r>
  <r>
    <s v="TXN00000749"/>
    <s v="A00007302"/>
    <s v="PLC00003013"/>
    <d v="2011-07-04T00:00:00"/>
    <d v="2020-06-12T00:00:00"/>
    <d v="2020-06-17T00:00:00"/>
    <n v="5"/>
    <n v="84.81"/>
    <n v="1017.72"/>
    <n v="8000"/>
    <s v="A"/>
    <n v="8000"/>
    <n v="4.83"/>
    <s v="Minor Loss"/>
    <n v="58"/>
    <n v="35"/>
    <n v="0"/>
    <n v="6"/>
    <s v="L"/>
    <x v="0"/>
    <x v="1"/>
    <s v="Rent"/>
    <n v="0"/>
    <n v="1"/>
    <n v="4915.5875999999998"/>
    <n v="3588.3789479999996"/>
    <n v="-4411.6210520000004"/>
  </r>
  <r>
    <s v="TXN00000756"/>
    <s v="A00006467"/>
    <s v="PLC00007462"/>
    <d v="2019-07-03T00:00:00"/>
    <d v="2020-06-25T00:00:00"/>
    <d v="2020-06-26T00:00:00"/>
    <n v="1"/>
    <n v="92.74"/>
    <n v="1112.8800000000001"/>
    <n v="10000"/>
    <s v="A"/>
    <n v="10000"/>
    <n v="7.25"/>
    <s v="Major Loss"/>
    <n v="87"/>
    <n v="63"/>
    <n v="1"/>
    <n v="7"/>
    <s v="L"/>
    <x v="1"/>
    <x v="0"/>
    <s v="Own"/>
    <n v="1"/>
    <n v="0"/>
    <n v="8068.380000000001"/>
    <n v="5889.9174000000003"/>
    <n v="-4110.0825999999997"/>
  </r>
  <r>
    <s v="TXN00000763"/>
    <s v="A00008232"/>
    <s v="PLC00000364"/>
    <d v="2019-07-22T00:00:00"/>
    <d v="2020-06-12T00:00:00"/>
    <d v="2020-06-17T00:00:00"/>
    <n v="5"/>
    <n v="134.61000000000001"/>
    <n v="1615.32"/>
    <n v="2000"/>
    <s v="A"/>
    <n v="2000"/>
    <n v="9.58"/>
    <s v="Major Loss"/>
    <n v="115"/>
    <n v="44"/>
    <n v="1"/>
    <n v="3"/>
    <s v="H"/>
    <x v="0"/>
    <x v="1"/>
    <s v="Own"/>
    <n v="1"/>
    <n v="1"/>
    <n v="15474.765599999999"/>
    <n v="11296.578887999998"/>
    <n v="9296.5788879999982"/>
  </r>
  <r>
    <s v="TXN00000767"/>
    <s v="A00003481"/>
    <s v="PLC00003381"/>
    <d v="2018-01-22T00:00:00"/>
    <d v="2020-06-12T00:00:00"/>
    <d v="2020-06-17T00:00:00"/>
    <n v="5"/>
    <n v="127.69"/>
    <n v="1532.28"/>
    <n v="1000"/>
    <s v="A"/>
    <n v="1000"/>
    <n v="2.42"/>
    <s v="Total Loss"/>
    <n v="29"/>
    <n v="34"/>
    <n v="1"/>
    <n v="5"/>
    <s v="M"/>
    <x v="0"/>
    <x v="1"/>
    <s v="Mortgage"/>
    <n v="0"/>
    <n v="1"/>
    <n v="3708.1176"/>
    <n v="2706.9258479999999"/>
    <n v="1706.9258479999999"/>
  </r>
  <r>
    <s v="TXN00000768"/>
    <s v="A00004551"/>
    <s v="PLC00002004"/>
    <d v="2011-06-21T00:00:00"/>
    <d v="2020-06-26T00:00:00"/>
    <d v="2020-06-27T00:00:00"/>
    <n v="1"/>
    <n v="80.540000000000006"/>
    <n v="966.48"/>
    <n v="8000"/>
    <s v="A"/>
    <n v="8000"/>
    <n v="7.83"/>
    <s v="Major Loss"/>
    <n v="94"/>
    <n v="43"/>
    <n v="0"/>
    <n v="4"/>
    <s v="M"/>
    <x v="0"/>
    <x v="1"/>
    <s v="Mortgage"/>
    <n v="1"/>
    <n v="0"/>
    <n v="7567.5384000000004"/>
    <n v="5524.3030319999998"/>
    <n v="-2475.6969680000002"/>
  </r>
  <r>
    <s v="TXN00000781"/>
    <s v="A00007395"/>
    <s v="PLC00001959"/>
    <d v="2018-06-08T00:00:00"/>
    <d v="2020-06-15T00:00:00"/>
    <d v="2020-06-20T00:00:00"/>
    <n v="5"/>
    <n v="123.91"/>
    <n v="1486.92"/>
    <n v="5000"/>
    <s v="A"/>
    <n v="5000"/>
    <n v="4"/>
    <s v="Total Loss"/>
    <n v="48"/>
    <n v="39"/>
    <n v="0"/>
    <n v="4"/>
    <s v="L"/>
    <x v="2"/>
    <x v="4"/>
    <s v="Mortgage"/>
    <n v="1"/>
    <n v="0"/>
    <n v="5947.68"/>
    <n v="4341.8064000000004"/>
    <n v="-658.19359999999961"/>
  </r>
  <r>
    <s v="TXN00000788"/>
    <s v="A00003700"/>
    <s v="PLC00003455"/>
    <d v="2015-02-01T00:00:00"/>
    <d v="2020-06-29T00:00:00"/>
    <d v="2020-06-29T00:00:00"/>
    <n v="0"/>
    <n v="124.35"/>
    <n v="1492.2"/>
    <n v="1000"/>
    <s v="A"/>
    <n v="1000"/>
    <n v="1.58"/>
    <s v="Total Loss"/>
    <n v="19"/>
    <n v="53"/>
    <n v="0"/>
    <n v="3"/>
    <s v="L"/>
    <x v="1"/>
    <x v="1"/>
    <s v="Rent"/>
    <n v="1"/>
    <n v="1"/>
    <n v="2357.6760000000004"/>
    <n v="1721.1034800000002"/>
    <n v="721.10348000000022"/>
  </r>
  <r>
    <s v="TXN00000795"/>
    <s v="A00008555"/>
    <s v="PLC00003869"/>
    <d v="2019-05-20T00:00:00"/>
    <d v="2020-06-24T00:00:00"/>
    <d v="2020-06-27T00:00:00"/>
    <n v="3"/>
    <n v="110.77"/>
    <n v="1329.24"/>
    <n v="10000"/>
    <s v="A"/>
    <n v="10000"/>
    <n v="9.08"/>
    <s v="Minor Loss"/>
    <n v="109"/>
    <n v="47"/>
    <n v="1"/>
    <n v="3"/>
    <s v="H"/>
    <x v="2"/>
    <x v="1"/>
    <s v="Rent"/>
    <n v="1"/>
    <n v="1"/>
    <n v="12069.4992"/>
    <n v="8810.7344159999993"/>
    <n v="-1189.2655840000007"/>
  </r>
  <r>
    <s v="TXN00000799"/>
    <s v="A00000115"/>
    <s v="PLC00002194"/>
    <d v="2010-10-23T00:00:00"/>
    <d v="2020-06-30T00:00:00"/>
    <d v="2020-06-30T00:00:00"/>
    <n v="0"/>
    <n v="114.85"/>
    <n v="1378.2"/>
    <n v="10000"/>
    <s v="A"/>
    <n v="10000"/>
    <n v="4.08"/>
    <s v="Minor Loss"/>
    <n v="49"/>
    <n v="52"/>
    <n v="1"/>
    <n v="2"/>
    <s v="M"/>
    <x v="2"/>
    <x v="0"/>
    <s v="Own"/>
    <n v="0"/>
    <n v="1"/>
    <n v="5623.0560000000005"/>
    <n v="4104.8308800000004"/>
    <n v="-5895.1691199999996"/>
  </r>
  <r>
    <s v="TXN00000806"/>
    <s v="A00009509"/>
    <s v="PLC00004341"/>
    <d v="2015-11-27T00:00:00"/>
    <d v="2020-06-22T00:00:00"/>
    <d v="2020-06-25T00:00:00"/>
    <n v="3"/>
    <n v="79.81"/>
    <n v="957.72"/>
    <n v="7000"/>
    <s v="A"/>
    <n v="7000"/>
    <n v="2.5"/>
    <s v="Major Loss"/>
    <n v="30"/>
    <n v="41"/>
    <n v="1"/>
    <n v="6"/>
    <s v="M"/>
    <x v="1"/>
    <x v="0"/>
    <s v="Rent"/>
    <n v="1"/>
    <n v="1"/>
    <n v="2394.3000000000002"/>
    <n v="1747.8390000000002"/>
    <n v="-5252.1610000000001"/>
  </r>
  <r>
    <s v="TXN00000807"/>
    <s v="A00000572"/>
    <s v="PLC00006297"/>
    <d v="2017-03-27T00:00:00"/>
    <d v="2020-06-18T00:00:00"/>
    <d v="2020-06-23T00:00:00"/>
    <n v="5"/>
    <n v="118.59"/>
    <n v="1423.08"/>
    <n v="4000"/>
    <s v="A"/>
    <n v="4000"/>
    <n v="1.83"/>
    <s v="Total Loss"/>
    <n v="22"/>
    <n v="35"/>
    <n v="1"/>
    <n v="4"/>
    <s v="L"/>
    <x v="0"/>
    <x v="0"/>
    <s v="Own"/>
    <n v="0"/>
    <n v="1"/>
    <n v="2604.2363999999998"/>
    <n v="1901.0925719999998"/>
    <n v="-2098.9074280000004"/>
  </r>
  <r>
    <s v="TXN00000814"/>
    <s v="A00003220"/>
    <s v="PLC00004901"/>
    <d v="2016-07-16T00:00:00"/>
    <d v="2020-06-28T00:00:00"/>
    <d v="2020-06-29T00:00:00"/>
    <n v="1"/>
    <n v="111.52"/>
    <n v="1338.24"/>
    <n v="2000"/>
    <s v="A"/>
    <n v="2000"/>
    <n v="4.67"/>
    <s v="Total Loss"/>
    <n v="56"/>
    <n v="55"/>
    <n v="0"/>
    <n v="7"/>
    <s v="L"/>
    <x v="1"/>
    <x v="0"/>
    <s v="Own"/>
    <n v="1"/>
    <n v="1"/>
    <n v="6249.5807999999997"/>
    <n v="4562.1939839999995"/>
    <n v="2562.1939839999995"/>
  </r>
  <r>
    <s v="TXN00000817"/>
    <s v="A00005096"/>
    <s v="PLC00005856"/>
    <d v="2019-10-11T00:00:00"/>
    <d v="2020-06-18T00:00:00"/>
    <d v="2020-06-23T00:00:00"/>
    <n v="5"/>
    <n v="90.26"/>
    <n v="1083.1199999999999"/>
    <n v="2000"/>
    <s v="A"/>
    <n v="2000"/>
    <n v="4.25"/>
    <s v="Major Loss"/>
    <n v="51"/>
    <n v="27"/>
    <n v="1"/>
    <n v="5"/>
    <s v="H"/>
    <x v="1"/>
    <x v="0"/>
    <s v="Own"/>
    <n v="1"/>
    <n v="0"/>
    <n v="4603.2599999999993"/>
    <n v="3360.3797999999992"/>
    <n v="1360.3797999999992"/>
  </r>
  <r>
    <s v="TXN00000822"/>
    <s v="A00003163"/>
    <s v="PLC00006114"/>
    <d v="2015-06-22T00:00:00"/>
    <d v="2020-06-28T00:00:00"/>
    <d v="2020-06-29T00:00:00"/>
    <n v="1"/>
    <n v="101.39"/>
    <n v="1216.68"/>
    <n v="6000"/>
    <s v="A"/>
    <n v="6000"/>
    <n v="6.5"/>
    <s v="Total Loss"/>
    <n v="78"/>
    <n v="30"/>
    <n v="0"/>
    <n v="4"/>
    <s v="L"/>
    <x v="2"/>
    <x v="5"/>
    <s v="Own"/>
    <n v="1"/>
    <n v="1"/>
    <n v="7908.42"/>
    <n v="5773.1466"/>
    <n v="-226.85339999999997"/>
  </r>
  <r>
    <s v="TXN00000837"/>
    <s v="A00002765"/>
    <s v="PLC00002752"/>
    <d v="2012-07-30T00:00:00"/>
    <d v="2020-06-19T00:00:00"/>
    <d v="2020-06-24T00:00:00"/>
    <n v="5"/>
    <n v="110.79"/>
    <n v="1329.48"/>
    <n v="8000"/>
    <s v="A"/>
    <n v="8000"/>
    <n v="5.83"/>
    <s v="Total Loss"/>
    <n v="70"/>
    <n v="25"/>
    <n v="1"/>
    <n v="3"/>
    <s v="M"/>
    <x v="0"/>
    <x v="6"/>
    <s v="Mortgage"/>
    <n v="1"/>
    <n v="1"/>
    <n v="7750.8684000000003"/>
    <n v="5658.1339319999997"/>
    <n v="-2341.8660680000003"/>
  </r>
  <r>
    <s v="TXN00000838"/>
    <s v="A00002014"/>
    <s v="PLC00001575"/>
    <d v="2016-12-25T00:00:00"/>
    <d v="2020-06-21T00:00:00"/>
    <d v="2020-06-26T00:00:00"/>
    <n v="5"/>
    <n v="123.86"/>
    <n v="1486.32"/>
    <n v="2000"/>
    <s v="A"/>
    <n v="2000"/>
    <n v="3.5"/>
    <s v="Minor Loss"/>
    <n v="42"/>
    <n v="62"/>
    <n v="1"/>
    <n v="5"/>
    <s v="M"/>
    <x v="2"/>
    <x v="1"/>
    <s v="Mortgage"/>
    <n v="1"/>
    <n v="1"/>
    <n v="5202.12"/>
    <n v="3797.5475999999999"/>
    <n v="1797.5475999999999"/>
  </r>
  <r>
    <s v="TXN00000852"/>
    <s v="A00006579"/>
    <s v="PLC00001377"/>
    <d v="2015-02-16T00:00:00"/>
    <d v="2020-07-01T00:00:00"/>
    <d v="2020-07-01T00:00:00"/>
    <n v="0"/>
    <n v="105.28"/>
    <n v="1263.3599999999999"/>
    <n v="7000"/>
    <s v="A"/>
    <n v="7000"/>
    <n v="7.67"/>
    <s v="Minor Loss"/>
    <n v="92"/>
    <n v="63"/>
    <n v="1"/>
    <n v="5"/>
    <s v="H"/>
    <x v="0"/>
    <x v="1"/>
    <s v="Mortgage"/>
    <n v="0"/>
    <n v="0"/>
    <n v="9689.9712"/>
    <n v="7073.6789760000001"/>
    <n v="73.678976000000148"/>
  </r>
  <r>
    <s v="TXN00000853"/>
    <s v="A00002587"/>
    <s v="PLC00005148"/>
    <d v="2012-08-07T00:00:00"/>
    <d v="2020-06-15T00:00:00"/>
    <d v="2020-06-20T00:00:00"/>
    <n v="5"/>
    <n v="87.21"/>
    <n v="1046.52"/>
    <n v="2000"/>
    <s v="A"/>
    <n v="2000"/>
    <n v="5.08"/>
    <s v="Minor Loss"/>
    <n v="61"/>
    <n v="44"/>
    <n v="1"/>
    <n v="3"/>
    <s v="L"/>
    <x v="0"/>
    <x v="1"/>
    <s v="Own"/>
    <n v="1"/>
    <n v="1"/>
    <n v="5316.3216000000002"/>
    <n v="3880.9147680000001"/>
    <n v="1880.9147680000001"/>
  </r>
  <r>
    <s v="TXN00000869"/>
    <s v="A00009654"/>
    <s v="PLC00000300"/>
    <d v="2019-04-17T00:00:00"/>
    <d v="2020-06-15T00:00:00"/>
    <d v="2020-06-20T00:00:00"/>
    <n v="5"/>
    <n v="86.55"/>
    <n v="1038.5999999999999"/>
    <n v="8000"/>
    <s v="A"/>
    <n v="8000"/>
    <n v="6.08"/>
    <s v="Minor Loss"/>
    <n v="73"/>
    <n v="31"/>
    <n v="0"/>
    <n v="7"/>
    <s v="L"/>
    <x v="0"/>
    <x v="2"/>
    <s v="Mortgage"/>
    <n v="1"/>
    <n v="0"/>
    <n v="6314.6879999999992"/>
    <n v="4609.7222399999991"/>
    <n v="-3390.2777600000009"/>
  </r>
  <r>
    <s v="TXN00000871"/>
    <s v="A00003272"/>
    <s v="PLC00000764"/>
    <d v="2016-03-29T00:00:00"/>
    <d v="2020-06-25T00:00:00"/>
    <d v="2020-06-28T00:00:00"/>
    <n v="3"/>
    <n v="95.24"/>
    <n v="1142.8800000000001"/>
    <n v="9000"/>
    <s v="A"/>
    <n v="9000"/>
    <n v="0.75"/>
    <s v="Major Loss"/>
    <n v="9"/>
    <n v="58"/>
    <n v="0"/>
    <n v="6"/>
    <s v="H"/>
    <x v="0"/>
    <x v="1"/>
    <s v="Rent"/>
    <n v="0"/>
    <n v="0"/>
    <n v="857.16000000000008"/>
    <n v="625.72680000000003"/>
    <n v="-8374.2731999999996"/>
  </r>
  <r>
    <s v="TXN00000877"/>
    <s v="A00004546"/>
    <s v="PLC00005762"/>
    <d v="2010-07-15T00:00:00"/>
    <d v="2020-06-19T00:00:00"/>
    <d v="2020-06-24T00:00:00"/>
    <n v="5"/>
    <n v="71.489999999999995"/>
    <n v="857.88"/>
    <n v="10000"/>
    <s v="A"/>
    <n v="10000"/>
    <n v="8.75"/>
    <s v="Major Loss"/>
    <n v="105"/>
    <n v="31"/>
    <n v="1"/>
    <n v="5"/>
    <s v="M"/>
    <x v="0"/>
    <x v="0"/>
    <s v="Mortgage"/>
    <n v="1"/>
    <n v="0"/>
    <n v="7506.45"/>
    <n v="5479.7084999999997"/>
    <n v="-4520.2915000000003"/>
  </r>
  <r>
    <s v="TXN00000889"/>
    <s v="A00009972"/>
    <s v="PLC00003603"/>
    <d v="2016-03-23T00:00:00"/>
    <d v="2020-07-02T00:00:00"/>
    <d v="2020-07-03T00:00:00"/>
    <n v="1"/>
    <n v="116.98"/>
    <n v="1403.76"/>
    <n v="9000"/>
    <s v="A"/>
    <n v="9000"/>
    <n v="6.67"/>
    <s v="Major Loss"/>
    <n v="80"/>
    <n v="59"/>
    <n v="1"/>
    <n v="2"/>
    <s v="L"/>
    <x v="1"/>
    <x v="1"/>
    <s v="Rent"/>
    <n v="1"/>
    <n v="1"/>
    <n v="9363.0792000000001"/>
    <n v="6835.0478160000002"/>
    <n v="-2164.9521839999998"/>
  </r>
  <r>
    <s v="TXN00000904"/>
    <s v="A00000979"/>
    <s v="PLC00009111"/>
    <d v="2016-03-16T00:00:00"/>
    <d v="2020-07-05T00:00:00"/>
    <d v="2020-07-05T00:00:00"/>
    <n v="0"/>
    <n v="116.63"/>
    <n v="1399.56"/>
    <n v="6000"/>
    <s v="A"/>
    <n v="6000"/>
    <n v="2.67"/>
    <s v="Minor Loss"/>
    <n v="32"/>
    <n v="60"/>
    <n v="1"/>
    <n v="5"/>
    <s v="H"/>
    <x v="0"/>
    <x v="1"/>
    <s v="Own"/>
    <n v="1"/>
    <n v="1"/>
    <n v="3736.8251999999998"/>
    <n v="2727.882396"/>
    <n v="-3272.117604"/>
  </r>
  <r>
    <s v="TXN00000906"/>
    <s v="A00008386"/>
    <s v="PLC00000022"/>
    <d v="2017-04-05T00:00:00"/>
    <d v="2020-06-26T00:00:00"/>
    <d v="2020-07-01T00:00:00"/>
    <n v="5"/>
    <n v="105.82"/>
    <n v="1269.8399999999999"/>
    <n v="2000"/>
    <s v="D"/>
    <n v="0"/>
    <n v="9"/>
    <s v="Minor Loss"/>
    <n v="108"/>
    <n v="26"/>
    <n v="0"/>
    <n v="6"/>
    <s v="L"/>
    <x v="2"/>
    <x v="1"/>
    <s v="Mortgage"/>
    <n v="0"/>
    <n v="0"/>
    <n v="11428.56"/>
    <n v="8342.8487999999998"/>
    <n v="8342.8487999999998"/>
  </r>
  <r>
    <s v="TXN00000909"/>
    <s v="A00005646"/>
    <s v="PLC00004252"/>
    <d v="2019-06-09T00:00:00"/>
    <d v="2020-06-17T00:00:00"/>
    <d v="2020-06-22T00:00:00"/>
    <n v="5"/>
    <n v="99.57"/>
    <n v="1194.8399999999999"/>
    <n v="2000"/>
    <s v="A"/>
    <n v="2000"/>
    <n v="2.58"/>
    <s v="Major Loss"/>
    <n v="31"/>
    <n v="44"/>
    <n v="1"/>
    <n v="7"/>
    <s v="M"/>
    <x v="0"/>
    <x v="6"/>
    <s v="Own"/>
    <n v="1"/>
    <n v="1"/>
    <n v="3082.6871999999998"/>
    <n v="2250.361656"/>
    <n v="250.36165600000004"/>
  </r>
  <r>
    <s v="TXN00000919"/>
    <s v="A00008654"/>
    <s v="PLC00009673"/>
    <d v="2016-03-17T00:00:00"/>
    <d v="2020-06-19T00:00:00"/>
    <d v="2020-06-24T00:00:00"/>
    <n v="5"/>
    <n v="117.6"/>
    <n v="1411.2"/>
    <n v="4000"/>
    <s v="A"/>
    <n v="4000"/>
    <n v="2.75"/>
    <s v="Total Loss"/>
    <n v="33"/>
    <n v="49"/>
    <n v="1"/>
    <n v="7"/>
    <s v="L"/>
    <x v="2"/>
    <x v="3"/>
    <s v="Mortgage"/>
    <n v="0"/>
    <n v="1"/>
    <n v="3880.8"/>
    <n v="2832.9839999999999"/>
    <n v="-1167.0160000000001"/>
  </r>
  <r>
    <s v="TXN00000920"/>
    <s v="A00007031"/>
    <s v="PLC00006349"/>
    <d v="2017-01-01T00:00:00"/>
    <d v="2020-06-29T00:00:00"/>
    <d v="2020-07-02T00:00:00"/>
    <n v="3"/>
    <n v="108.7"/>
    <n v="1304.4000000000001"/>
    <n v="8000"/>
    <s v="A"/>
    <n v="8000"/>
    <n v="5.5"/>
    <s v="Minor Loss"/>
    <n v="66"/>
    <n v="59"/>
    <n v="1"/>
    <n v="5"/>
    <s v="L"/>
    <x v="2"/>
    <x v="5"/>
    <s v="Mortgage"/>
    <n v="1"/>
    <n v="1"/>
    <n v="7174.2000000000007"/>
    <n v="5237.1660000000002"/>
    <n v="-2762.8339999999998"/>
  </r>
  <r>
    <s v="TXN00000928"/>
    <s v="A00006578"/>
    <s v="PLC00007691"/>
    <d v="2013-05-01T00:00:00"/>
    <d v="2020-06-27T00:00:00"/>
    <d v="2020-07-02T00:00:00"/>
    <n v="5"/>
    <n v="131.94"/>
    <n v="1583.28"/>
    <n v="7000"/>
    <s v="A"/>
    <n v="7000"/>
    <n v="0.83"/>
    <s v="Minor Loss"/>
    <n v="10"/>
    <n v="52"/>
    <n v="1"/>
    <n v="6"/>
    <s v="H"/>
    <x v="2"/>
    <x v="0"/>
    <s v="Mortgage"/>
    <n v="1"/>
    <n v="1"/>
    <n v="1314.1224"/>
    <n v="959.30935199999999"/>
    <n v="-6040.6906479999998"/>
  </r>
  <r>
    <s v="TXN00000931"/>
    <s v="A00009146"/>
    <s v="PLC00002063"/>
    <d v="2010-10-16T00:00:00"/>
    <d v="2020-06-19T00:00:00"/>
    <d v="2020-06-24T00:00:00"/>
    <n v="5"/>
    <n v="127.6"/>
    <n v="1531.2"/>
    <n v="3000"/>
    <s v="A"/>
    <n v="3000"/>
    <n v="7.67"/>
    <s v="Minor Loss"/>
    <n v="92"/>
    <n v="40"/>
    <n v="1"/>
    <n v="2"/>
    <s v="L"/>
    <x v="2"/>
    <x v="3"/>
    <s v="Mortgage"/>
    <n v="0"/>
    <n v="1"/>
    <n v="11744.304"/>
    <n v="8573.3419200000008"/>
    <n v="5573.3419200000008"/>
  </r>
  <r>
    <s v="TXN00000942"/>
    <s v="A00000374"/>
    <s v="PLC00005252"/>
    <d v="2013-07-07T00:00:00"/>
    <d v="2020-07-06T00:00:00"/>
    <d v="2020-07-06T00:00:00"/>
    <n v="0"/>
    <n v="111.68"/>
    <n v="1340.16"/>
    <n v="6000"/>
    <s v="A"/>
    <n v="6000"/>
    <n v="5.75"/>
    <s v="Minor Loss"/>
    <n v="69"/>
    <n v="32"/>
    <n v="1"/>
    <n v="6"/>
    <s v="M"/>
    <x v="2"/>
    <x v="1"/>
    <s v="Mortgage"/>
    <n v="1"/>
    <n v="1"/>
    <n v="7705.92"/>
    <n v="5625.3216000000002"/>
    <n v="-374.67839999999978"/>
  </r>
  <r>
    <s v="TXN00000944"/>
    <s v="A00002098"/>
    <s v="PLC00006184"/>
    <d v="2012-11-21T00:00:00"/>
    <d v="2020-06-25T00:00:00"/>
    <d v="2020-06-30T00:00:00"/>
    <n v="5"/>
    <n v="139.05000000000001"/>
    <n v="1668.6"/>
    <n v="9000"/>
    <s v="A"/>
    <n v="9000"/>
    <n v="5.5"/>
    <s v="Major Loss"/>
    <n v="66"/>
    <n v="44"/>
    <n v="1"/>
    <n v="7"/>
    <s v="M"/>
    <x v="2"/>
    <x v="0"/>
    <s v="Own"/>
    <n v="1"/>
    <n v="1"/>
    <n v="9177.2999999999993"/>
    <n v="6699.4289999999992"/>
    <n v="-2300.5710000000008"/>
  </r>
  <r>
    <s v="TXN00000950"/>
    <s v="A00006354"/>
    <s v="PLC00001945"/>
    <d v="2011-02-28T00:00:00"/>
    <d v="2020-07-04T00:00:00"/>
    <d v="2020-07-05T00:00:00"/>
    <n v="1"/>
    <n v="82.24"/>
    <n v="986.88"/>
    <n v="10000"/>
    <s v="A"/>
    <n v="10000"/>
    <n v="6.67"/>
    <s v="Minor Loss"/>
    <n v="80"/>
    <n v="53"/>
    <n v="0"/>
    <n v="5"/>
    <s v="M"/>
    <x v="0"/>
    <x v="1"/>
    <s v="Mortgage"/>
    <n v="1"/>
    <n v="0"/>
    <n v="6582.4895999999999"/>
    <n v="4805.2174079999995"/>
    <n v="-5194.7825920000005"/>
  </r>
  <r>
    <s v="TXN00000956"/>
    <s v="A00005356"/>
    <s v="PLC00005171"/>
    <d v="2015-02-21T00:00:00"/>
    <d v="2020-06-25T00:00:00"/>
    <d v="2020-06-30T00:00:00"/>
    <n v="5"/>
    <n v="91.32"/>
    <n v="1095.8399999999999"/>
    <n v="8000"/>
    <s v="A"/>
    <n v="8000"/>
    <n v="2.42"/>
    <s v="Total Loss"/>
    <n v="29"/>
    <n v="28"/>
    <n v="0"/>
    <n v="2"/>
    <s v="M"/>
    <x v="0"/>
    <x v="1"/>
    <s v="Mortgage"/>
    <n v="1"/>
    <n v="1"/>
    <n v="2651.9327999999996"/>
    <n v="1935.9109439999997"/>
    <n v="-6064.0890560000007"/>
  </r>
  <r>
    <s v="TXN00000957"/>
    <s v="A00003067"/>
    <s v="PLC00007511"/>
    <d v="2018-10-28T00:00:00"/>
    <d v="2020-07-05T00:00:00"/>
    <d v="2020-07-06T00:00:00"/>
    <n v="1"/>
    <n v="81.83"/>
    <n v="981.96"/>
    <n v="2000"/>
    <s v="A"/>
    <n v="2000"/>
    <n v="2.5"/>
    <s v="Minor Loss"/>
    <n v="30"/>
    <n v="55"/>
    <n v="1"/>
    <n v="6"/>
    <s v="H"/>
    <x v="0"/>
    <x v="0"/>
    <s v="Mortgage"/>
    <n v="1"/>
    <n v="0"/>
    <n v="2454.9"/>
    <n v="1792.077"/>
    <n v="-207.923"/>
  </r>
  <r>
    <s v="TXN00000961"/>
    <s v="A00003931"/>
    <s v="PLC00001834"/>
    <d v="2017-03-11T00:00:00"/>
    <d v="2020-06-21T00:00:00"/>
    <d v="2020-06-26T00:00:00"/>
    <n v="5"/>
    <n v="100.93"/>
    <n v="1211.1600000000001"/>
    <n v="3000"/>
    <s v="A"/>
    <n v="3000"/>
    <n v="6.5"/>
    <s v="Major Loss"/>
    <n v="78"/>
    <n v="25"/>
    <n v="1"/>
    <n v="5"/>
    <s v="M"/>
    <x v="0"/>
    <x v="0"/>
    <s v="Rent"/>
    <n v="1"/>
    <n v="1"/>
    <n v="7872.5400000000009"/>
    <n v="5746.9542000000001"/>
    <n v="2746.9542000000001"/>
  </r>
  <r>
    <s v="TXN00000966"/>
    <s v="A00001335"/>
    <s v="PLC00006049"/>
    <d v="2010-11-14T00:00:00"/>
    <d v="2020-07-04T00:00:00"/>
    <d v="2020-07-05T00:00:00"/>
    <n v="1"/>
    <n v="105.1"/>
    <n v="1261.2"/>
    <n v="6000"/>
    <s v="A"/>
    <n v="6000"/>
    <n v="3.5"/>
    <s v="Major Loss"/>
    <n v="42"/>
    <n v="28"/>
    <n v="0"/>
    <n v="6"/>
    <s v="L"/>
    <x v="2"/>
    <x v="1"/>
    <s v="Rent"/>
    <n v="1"/>
    <n v="0"/>
    <n v="4414.2"/>
    <n v="3222.366"/>
    <n v="-2777.634"/>
  </r>
  <r>
    <s v="TXN00000986"/>
    <s v="A00007199"/>
    <s v="PLC00009425"/>
    <d v="2015-08-16T00:00:00"/>
    <d v="2020-06-23T00:00:00"/>
    <d v="2020-06-28T00:00:00"/>
    <n v="5"/>
    <n v="110.57"/>
    <n v="1326.84"/>
    <n v="8000"/>
    <s v="A"/>
    <n v="8000"/>
    <n v="4.33"/>
    <s v="Major Loss"/>
    <n v="52"/>
    <n v="42"/>
    <n v="1"/>
    <n v="7"/>
    <s v="M"/>
    <x v="1"/>
    <x v="6"/>
    <s v="Own"/>
    <n v="0"/>
    <n v="1"/>
    <n v="5745.2172"/>
    <n v="4194.0085559999998"/>
    <n v="-3805.9914440000002"/>
  </r>
  <r>
    <s v="TXN00000990"/>
    <s v="A00002893"/>
    <s v="PLC00005368"/>
    <d v="2013-07-26T00:00:00"/>
    <d v="2020-07-06T00:00:00"/>
    <d v="2020-07-07T00:00:00"/>
    <n v="1"/>
    <n v="80.13"/>
    <n v="961.56"/>
    <n v="7000"/>
    <s v="A"/>
    <n v="7000"/>
    <n v="8.75"/>
    <s v="Total Loss"/>
    <n v="105"/>
    <n v="42"/>
    <n v="1"/>
    <n v="2"/>
    <s v="L"/>
    <x v="0"/>
    <x v="1"/>
    <s v="Mortgage"/>
    <n v="0"/>
    <n v="1"/>
    <n v="8413.65"/>
    <n v="6141.9644999999991"/>
    <n v="-858.03550000000087"/>
  </r>
  <r>
    <s v="TXN00000994"/>
    <s v="A00004849"/>
    <s v="PLC00004241"/>
    <d v="2018-04-26T00:00:00"/>
    <d v="2020-07-04T00:00:00"/>
    <d v="2020-07-06T00:00:00"/>
    <n v="2"/>
    <n v="125.61"/>
    <n v="1507.32"/>
    <n v="7000"/>
    <s v="A"/>
    <n v="7000"/>
    <n v="7.17"/>
    <s v="Total Loss"/>
    <n v="86"/>
    <n v="39"/>
    <n v="0"/>
    <n v="6"/>
    <s v="M"/>
    <x v="1"/>
    <x v="1"/>
    <s v="Own"/>
    <n v="1"/>
    <n v="0"/>
    <n v="10807.484399999999"/>
    <n v="7889.4636119999996"/>
    <n v="889.46361199999956"/>
  </r>
  <r>
    <s v="TXN00002031"/>
    <s v="A00000664"/>
    <s v="PLC00003653"/>
    <d v="2013-12-16T00:00:00"/>
    <d v="2020-08-13T00:00:00"/>
    <d v="2020-08-16T00:00:00"/>
    <n v="3"/>
    <n v="107.14"/>
    <n v="1285.68"/>
    <n v="7000"/>
    <s v="A"/>
    <n v="7000"/>
    <n v="1"/>
    <s v="Major Loss"/>
    <n v="12"/>
    <n v="32"/>
    <n v="0"/>
    <n v="7"/>
    <s v="M"/>
    <x v="1"/>
    <x v="3"/>
    <s v="Rent"/>
    <n v="0"/>
    <n v="1"/>
    <n v="1285.68"/>
    <n v="938.54640000000006"/>
    <n v="-6061.4535999999998"/>
  </r>
  <r>
    <s v="TXN00001013"/>
    <s v="A00006885"/>
    <s v="PLC00007885"/>
    <d v="2014-05-02T00:00:00"/>
    <d v="2020-06-20T00:00:00"/>
    <d v="2020-06-25T00:00:00"/>
    <n v="5"/>
    <n v="98.48"/>
    <n v="1181.76"/>
    <n v="5000"/>
    <s v="A"/>
    <n v="5000"/>
    <n v="4.58"/>
    <s v="Minor Loss"/>
    <n v="55"/>
    <n v="43"/>
    <n v="1"/>
    <n v="5"/>
    <s v="M"/>
    <x v="0"/>
    <x v="1"/>
    <s v="Own"/>
    <n v="0"/>
    <n v="1"/>
    <n v="5412.4607999999998"/>
    <n v="3951.0963839999999"/>
    <n v="-1048.9036160000001"/>
  </r>
  <r>
    <s v="TXN00001034"/>
    <s v="A00009129"/>
    <s v="PLC00002571"/>
    <d v="2011-03-02T00:00:00"/>
    <d v="2020-07-10T00:00:00"/>
    <d v="2020-07-10T00:00:00"/>
    <n v="0"/>
    <n v="119.42"/>
    <n v="1433.04"/>
    <n v="10000"/>
    <s v="A"/>
    <n v="10000"/>
    <n v="9"/>
    <s v="Total Loss"/>
    <n v="108"/>
    <n v="61"/>
    <n v="0"/>
    <n v="7"/>
    <s v="H"/>
    <x v="0"/>
    <x v="2"/>
    <s v="Own"/>
    <n v="1"/>
    <n v="1"/>
    <n v="12897.36"/>
    <n v="9415.0727999999999"/>
    <n v="-584.92720000000008"/>
  </r>
  <r>
    <s v="TXN00001035"/>
    <s v="A00001605"/>
    <s v="PLC00000909"/>
    <d v="2013-03-02T00:00:00"/>
    <d v="2020-06-28T00:00:00"/>
    <d v="2020-07-03T00:00:00"/>
    <n v="5"/>
    <n v="70.39"/>
    <n v="844.68"/>
    <n v="6000"/>
    <s v="A"/>
    <n v="6000"/>
    <n v="5.33"/>
    <s v="Total Loss"/>
    <n v="64"/>
    <n v="25"/>
    <n v="1"/>
    <n v="7"/>
    <s v="L"/>
    <x v="2"/>
    <x v="4"/>
    <s v="Mortgage"/>
    <n v="1"/>
    <n v="1"/>
    <n v="4502.1444000000001"/>
    <n v="3286.5654119999999"/>
    <n v="-2713.4345880000001"/>
  </r>
  <r>
    <s v="TXN00001042"/>
    <s v="A00009272"/>
    <s v="PLC00002471"/>
    <d v="2019-12-12T00:00:00"/>
    <d v="2020-07-04T00:00:00"/>
    <d v="2020-07-07T00:00:00"/>
    <n v="3"/>
    <n v="90.48"/>
    <n v="1085.76"/>
    <n v="2000"/>
    <s v="A"/>
    <n v="2000"/>
    <n v="2.33"/>
    <s v="Total Loss"/>
    <n v="28"/>
    <n v="44"/>
    <n v="0"/>
    <n v="6"/>
    <s v="L"/>
    <x v="2"/>
    <x v="0"/>
    <s v="Mortgage"/>
    <n v="0"/>
    <n v="1"/>
    <n v="2529.8208"/>
    <n v="1846.769184"/>
    <n v="-153.230816"/>
  </r>
  <r>
    <s v="TXN00001046"/>
    <s v="A00005561"/>
    <s v="PLC00000675"/>
    <d v="2019-12-19T00:00:00"/>
    <d v="2020-06-27T00:00:00"/>
    <d v="2020-07-02T00:00:00"/>
    <n v="5"/>
    <n v="75.06"/>
    <n v="900.72"/>
    <n v="4000"/>
    <s v="A"/>
    <n v="4000"/>
    <n v="0.92"/>
    <s v="Total Loss"/>
    <n v="11"/>
    <n v="45"/>
    <n v="0"/>
    <n v="6"/>
    <s v="H"/>
    <x v="0"/>
    <x v="1"/>
    <s v="Mortgage"/>
    <n v="1"/>
    <n v="1"/>
    <n v="828.66240000000005"/>
    <n v="604.92355199999997"/>
    <n v="-3395.0764479999998"/>
  </r>
  <r>
    <s v="TXN00001047"/>
    <s v="A00007484"/>
    <s v="PLC00008039"/>
    <d v="2018-01-19T00:00:00"/>
    <d v="2020-07-11T00:00:00"/>
    <d v="2020-07-11T00:00:00"/>
    <n v="0"/>
    <n v="105.16"/>
    <n v="1261.92"/>
    <n v="1000"/>
    <s v="A"/>
    <n v="1000"/>
    <n v="1.58"/>
    <s v="Major Loss"/>
    <n v="19"/>
    <n v="38"/>
    <n v="0"/>
    <n v="2"/>
    <s v="H"/>
    <x v="2"/>
    <x v="3"/>
    <s v="Mortgage"/>
    <n v="1"/>
    <n v="1"/>
    <n v="1993.8336000000002"/>
    <n v="1455.4985280000001"/>
    <n v="455.49852800000008"/>
  </r>
  <r>
    <s v="TXN00001062"/>
    <s v="A00004440"/>
    <s v="PLC00005234"/>
    <d v="2019-04-04T00:00:00"/>
    <d v="2020-07-10T00:00:00"/>
    <d v="2020-07-10T00:00:00"/>
    <n v="0"/>
    <n v="137.91"/>
    <n v="1654.92"/>
    <n v="1000"/>
    <s v="A"/>
    <n v="1000"/>
    <n v="7.67"/>
    <s v="Minor Loss"/>
    <n v="92"/>
    <n v="58"/>
    <n v="1"/>
    <n v="5"/>
    <s v="M"/>
    <x v="1"/>
    <x v="0"/>
    <s v="Mortgage"/>
    <n v="1"/>
    <n v="1"/>
    <n v="12693.2364"/>
    <n v="9266.0625719999989"/>
    <n v="8266.0625719999989"/>
  </r>
  <r>
    <s v="TXN00001071"/>
    <s v="A00001040"/>
    <s v="PLC00005278"/>
    <d v="2012-05-17T00:00:00"/>
    <d v="2020-06-24T00:00:00"/>
    <d v="2020-06-29T00:00:00"/>
    <n v="5"/>
    <n v="93.27"/>
    <n v="1119.24"/>
    <n v="2000"/>
    <s v="A"/>
    <n v="2000"/>
    <n v="9.25"/>
    <s v="Major Loss"/>
    <n v="111"/>
    <n v="48"/>
    <n v="1"/>
    <n v="7"/>
    <s v="H"/>
    <x v="1"/>
    <x v="0"/>
    <s v="Mortgage"/>
    <n v="1"/>
    <n v="1"/>
    <n v="10352.969999999999"/>
    <n v="7557.668099999999"/>
    <n v="5557.668099999999"/>
  </r>
  <r>
    <s v="TXN00001076"/>
    <s v="A00006657"/>
    <s v="PLC00007614"/>
    <d v="2017-02-24T00:00:00"/>
    <d v="2020-07-04T00:00:00"/>
    <d v="2020-07-07T00:00:00"/>
    <n v="3"/>
    <n v="74.2"/>
    <n v="890.4"/>
    <n v="1000"/>
    <s v="A"/>
    <n v="1000"/>
    <n v="5.67"/>
    <s v="Major Loss"/>
    <n v="68"/>
    <n v="29"/>
    <n v="1"/>
    <n v="7"/>
    <s v="H"/>
    <x v="0"/>
    <x v="5"/>
    <s v="Own"/>
    <n v="0"/>
    <n v="1"/>
    <n v="5048.5680000000002"/>
    <n v="3685.4546399999999"/>
    <n v="2685.4546399999999"/>
  </r>
  <r>
    <s v="TXN00001080"/>
    <s v="A00005877"/>
    <s v="PLC00001174"/>
    <d v="2011-10-14T00:00:00"/>
    <d v="2020-07-01T00:00:00"/>
    <d v="2020-07-06T00:00:00"/>
    <n v="5"/>
    <n v="137.32"/>
    <n v="1647.84"/>
    <n v="8000"/>
    <s v="A"/>
    <n v="8000"/>
    <n v="3.08"/>
    <s v="Major Loss"/>
    <n v="37"/>
    <n v="56"/>
    <n v="1"/>
    <n v="3"/>
    <s v="L"/>
    <x v="2"/>
    <x v="0"/>
    <s v="Mortgage"/>
    <n v="1"/>
    <n v="1"/>
    <n v="5075.3472000000002"/>
    <n v="3705.0034559999999"/>
    <n v="-4294.9965439999996"/>
  </r>
  <r>
    <s v="TXN00001082"/>
    <s v="A00003321"/>
    <s v="PLC00001277"/>
    <d v="2018-11-20T00:00:00"/>
    <d v="2020-06-28T00:00:00"/>
    <d v="2020-07-03T00:00:00"/>
    <n v="5"/>
    <n v="93.67"/>
    <n v="1124.04"/>
    <n v="3000"/>
    <s v="A"/>
    <n v="3000"/>
    <n v="5.92"/>
    <s v="Minor Loss"/>
    <n v="71"/>
    <n v="38"/>
    <n v="0"/>
    <n v="3"/>
    <s v="L"/>
    <x v="1"/>
    <x v="6"/>
    <s v="Mortgage"/>
    <n v="1"/>
    <n v="1"/>
    <n v="6654.3167999999996"/>
    <n v="4857.6512639999992"/>
    <n v="1857.6512639999992"/>
  </r>
  <r>
    <s v="TXN00001103"/>
    <s v="A00001364"/>
    <s v="PLC00002131"/>
    <d v="2015-04-23T00:00:00"/>
    <d v="2020-07-11T00:00:00"/>
    <d v="2020-07-11T00:00:00"/>
    <n v="0"/>
    <n v="138.36000000000001"/>
    <n v="1660.32"/>
    <n v="9000"/>
    <s v="A"/>
    <n v="9000"/>
    <n v="7.17"/>
    <s v="Major Loss"/>
    <n v="86"/>
    <n v="55"/>
    <n v="1"/>
    <n v="5"/>
    <s v="M"/>
    <x v="0"/>
    <x v="1"/>
    <s v="Mortgage"/>
    <n v="0"/>
    <n v="1"/>
    <n v="11904.4944"/>
    <n v="8690.2809120000002"/>
    <n v="-309.71908799999983"/>
  </r>
  <r>
    <s v="TXN00001104"/>
    <s v="A00005690"/>
    <s v="PLC00006145"/>
    <d v="2019-07-28T00:00:00"/>
    <d v="2020-07-01T00:00:00"/>
    <d v="2020-07-06T00:00:00"/>
    <n v="5"/>
    <n v="103.56"/>
    <n v="1242.72"/>
    <n v="7000"/>
    <s v="A"/>
    <n v="7000"/>
    <n v="9.92"/>
    <s v="Total Loss"/>
    <n v="119"/>
    <n v="57"/>
    <n v="1"/>
    <n v="6"/>
    <s v="M"/>
    <x v="0"/>
    <x v="1"/>
    <s v="Mortgage"/>
    <n v="1"/>
    <n v="0"/>
    <n v="12327.7824"/>
    <n v="8999.2811519999996"/>
    <n v="1999.2811519999996"/>
  </r>
  <r>
    <s v="TXN00001114"/>
    <s v="A00009355"/>
    <s v="PLC00004204"/>
    <d v="2015-10-17T00:00:00"/>
    <d v="2020-06-24T00:00:00"/>
    <d v="2020-06-29T00:00:00"/>
    <n v="5"/>
    <n v="71.2"/>
    <n v="854.4"/>
    <n v="2000"/>
    <s v="A"/>
    <n v="2000"/>
    <n v="3.17"/>
    <s v="Major Loss"/>
    <n v="38"/>
    <n v="49"/>
    <n v="1"/>
    <n v="4"/>
    <s v="M"/>
    <x v="0"/>
    <x v="0"/>
    <s v="Own"/>
    <n v="1"/>
    <n v="1"/>
    <n v="2708.4479999999999"/>
    <n v="1977.1670399999998"/>
    <n v="-22.832960000000185"/>
  </r>
  <r>
    <s v="TXN00001119"/>
    <s v="A00000281"/>
    <s v="PLC00006959"/>
    <d v="2012-02-22T00:00:00"/>
    <d v="2020-07-13T00:00:00"/>
    <d v="2020-07-13T00:00:00"/>
    <n v="0"/>
    <n v="85.09"/>
    <n v="1021.08"/>
    <n v="5000"/>
    <s v="A"/>
    <n v="5000"/>
    <n v="0.67"/>
    <s v="Minor Loss"/>
    <n v="8"/>
    <n v="51"/>
    <n v="0"/>
    <n v="7"/>
    <s v="L"/>
    <x v="1"/>
    <x v="3"/>
    <s v="Mortgage"/>
    <n v="0"/>
    <n v="1"/>
    <n v="684.12360000000012"/>
    <n v="499.41022800000007"/>
    <n v="-4500.5897720000003"/>
  </r>
  <r>
    <s v="TXN00001128"/>
    <s v="A00008487"/>
    <s v="PLC00000271"/>
    <d v="2010-07-10T00:00:00"/>
    <d v="2020-06-27T00:00:00"/>
    <d v="2020-07-02T00:00:00"/>
    <n v="5"/>
    <n v="127.86"/>
    <n v="1534.32"/>
    <n v="5000"/>
    <s v="A"/>
    <n v="5000"/>
    <n v="2.42"/>
    <s v="Major Loss"/>
    <n v="29"/>
    <n v="27"/>
    <n v="1"/>
    <n v="5"/>
    <s v="L"/>
    <x v="2"/>
    <x v="5"/>
    <s v="Own"/>
    <n v="0"/>
    <n v="0"/>
    <n v="3713.0543999999995"/>
    <n v="2710.5297119999996"/>
    <n v="-2289.4702880000004"/>
  </r>
  <r>
    <s v="TXN00001136"/>
    <s v="A00009484"/>
    <s v="PLC00004994"/>
    <d v="2010-12-14T00:00:00"/>
    <d v="2020-06-26T00:00:00"/>
    <d v="2020-07-01T00:00:00"/>
    <n v="5"/>
    <n v="134.41999999999999"/>
    <n v="1613.04"/>
    <n v="10000"/>
    <s v="A"/>
    <n v="10000"/>
    <n v="9.08"/>
    <s v="Minor Loss"/>
    <n v="109"/>
    <n v="63"/>
    <n v="0"/>
    <n v="2"/>
    <s v="L"/>
    <x v="0"/>
    <x v="1"/>
    <s v="Own"/>
    <n v="1"/>
    <n v="0"/>
    <n v="14646.403200000001"/>
    <n v="10691.874336000001"/>
    <n v="691.87433600000077"/>
  </r>
  <r>
    <s v="TXN00001139"/>
    <s v="A00002847"/>
    <s v="PLC00007752"/>
    <d v="2010-06-02T00:00:00"/>
    <d v="2020-06-30T00:00:00"/>
    <d v="2020-07-05T00:00:00"/>
    <n v="5"/>
    <n v="103.97"/>
    <n v="1247.6400000000001"/>
    <n v="9000"/>
    <s v="A"/>
    <n v="9000"/>
    <n v="1.67"/>
    <s v="Major Loss"/>
    <n v="20"/>
    <n v="50"/>
    <n v="0"/>
    <n v="3"/>
    <s v="L"/>
    <x v="0"/>
    <x v="1"/>
    <s v="Mortgage"/>
    <n v="1"/>
    <n v="1"/>
    <n v="2083.5588000000002"/>
    <n v="1520.9979240000002"/>
    <n v="-7479.0020759999998"/>
  </r>
  <r>
    <s v="TXN00001147"/>
    <s v="A00001725"/>
    <s v="PLC00004468"/>
    <d v="2011-06-22T00:00:00"/>
    <d v="2020-07-09T00:00:00"/>
    <d v="2020-07-11T00:00:00"/>
    <n v="2"/>
    <n v="114.16"/>
    <n v="1369.92"/>
    <n v="8000"/>
    <s v="A"/>
    <n v="8000"/>
    <n v="9.67"/>
    <s v="Minor Loss"/>
    <n v="116"/>
    <n v="61"/>
    <n v="0"/>
    <n v="2"/>
    <s v="M"/>
    <x v="0"/>
    <x v="1"/>
    <s v="Rent"/>
    <n v="0"/>
    <n v="0"/>
    <n v="13247.126400000001"/>
    <n v="9670.4022720000012"/>
    <n v="1670.4022720000012"/>
  </r>
  <r>
    <s v="TXN00001149"/>
    <s v="A00002751"/>
    <s v="PLC00003084"/>
    <d v="2012-07-25T00:00:00"/>
    <d v="2020-06-28T00:00:00"/>
    <d v="2020-07-03T00:00:00"/>
    <n v="5"/>
    <n v="138.08000000000001"/>
    <n v="1656.96"/>
    <n v="2000"/>
    <s v="A"/>
    <n v="2000"/>
    <n v="6.83"/>
    <s v="Major Loss"/>
    <n v="82"/>
    <n v="35"/>
    <n v="1"/>
    <n v="2"/>
    <s v="L"/>
    <x v="1"/>
    <x v="1"/>
    <s v="Rent"/>
    <n v="1"/>
    <n v="1"/>
    <n v="11317.0368"/>
    <n v="8261.4368639999993"/>
    <n v="6261.4368639999993"/>
  </r>
  <r>
    <s v="TXN00001154"/>
    <s v="A00006871"/>
    <s v="PLC00001901"/>
    <d v="2016-09-14T00:00:00"/>
    <d v="2020-07-14T00:00:00"/>
    <d v="2020-07-14T00:00:00"/>
    <n v="0"/>
    <n v="113.54"/>
    <n v="1362.48"/>
    <n v="10000"/>
    <s v="A"/>
    <n v="10000"/>
    <n v="0.67"/>
    <s v="Major Loss"/>
    <n v="8"/>
    <n v="60"/>
    <n v="1"/>
    <n v="7"/>
    <s v="M"/>
    <x v="1"/>
    <x v="1"/>
    <s v="Rent"/>
    <n v="1"/>
    <n v="1"/>
    <n v="912.86160000000007"/>
    <n v="666.38896799999998"/>
    <n v="-9333.6110320000007"/>
  </r>
  <r>
    <s v="TXN00001155"/>
    <s v="A00007364"/>
    <s v="PLC00003643"/>
    <d v="2016-05-02T00:00:00"/>
    <d v="2020-07-11T00:00:00"/>
    <d v="2020-07-12T00:00:00"/>
    <n v="1"/>
    <n v="137.78"/>
    <n v="1653.36"/>
    <n v="2000"/>
    <s v="D"/>
    <n v="0"/>
    <n v="8.75"/>
    <s v="Total Loss"/>
    <n v="105"/>
    <n v="55"/>
    <n v="1"/>
    <n v="3"/>
    <s v="M"/>
    <x v="1"/>
    <x v="1"/>
    <s v="Own"/>
    <n v="0"/>
    <n v="0"/>
    <n v="14466.9"/>
    <n v="10560.837"/>
    <n v="10560.837"/>
  </r>
  <r>
    <s v="TXN00001158"/>
    <s v="A00006400"/>
    <s v="PLC00004275"/>
    <d v="2017-05-01T00:00:00"/>
    <d v="2020-06-26T00:00:00"/>
    <d v="2020-07-01T00:00:00"/>
    <n v="5"/>
    <n v="129.6"/>
    <n v="1555.2"/>
    <n v="6000"/>
    <s v="A"/>
    <n v="6000"/>
    <n v="1.17"/>
    <s v="Minor Loss"/>
    <n v="14"/>
    <n v="36"/>
    <n v="1"/>
    <n v="2"/>
    <s v="L"/>
    <x v="0"/>
    <x v="0"/>
    <s v="Own"/>
    <n v="1"/>
    <n v="1"/>
    <n v="1819.5839999999998"/>
    <n v="1328.2963199999999"/>
    <n v="-4671.7036800000005"/>
  </r>
  <r>
    <s v="TXN00001159"/>
    <s v="A00001687"/>
    <s v="PLC00003968"/>
    <d v="2014-07-27T00:00:00"/>
    <d v="2020-07-11T00:00:00"/>
    <d v="2020-07-12T00:00:00"/>
    <n v="1"/>
    <n v="98.91"/>
    <n v="1186.92"/>
    <n v="1000"/>
    <s v="A"/>
    <n v="1000"/>
    <n v="6.5"/>
    <s v="Total Loss"/>
    <n v="78"/>
    <n v="43"/>
    <n v="1"/>
    <n v="3"/>
    <s v="L"/>
    <x v="2"/>
    <x v="3"/>
    <s v="Own"/>
    <n v="1"/>
    <n v="0"/>
    <n v="7714.9800000000005"/>
    <n v="5631.9354000000003"/>
    <n v="4631.9354000000003"/>
  </r>
  <r>
    <s v="TXN00001160"/>
    <s v="A00001015"/>
    <s v="PLC00009833"/>
    <d v="2013-02-10T00:00:00"/>
    <d v="2020-06-30T00:00:00"/>
    <d v="2020-07-05T00:00:00"/>
    <n v="5"/>
    <n v="88.6"/>
    <n v="1063.2"/>
    <n v="5000"/>
    <s v="A"/>
    <n v="5000"/>
    <n v="8.58"/>
    <s v="Minor Loss"/>
    <n v="103"/>
    <n v="54"/>
    <n v="1"/>
    <n v="5"/>
    <s v="M"/>
    <x v="0"/>
    <x v="1"/>
    <s v="Rent"/>
    <n v="1"/>
    <n v="1"/>
    <n v="9122.2560000000012"/>
    <n v="6659.2468800000006"/>
    <n v="1659.2468800000006"/>
  </r>
  <r>
    <s v="TXN00001161"/>
    <s v="A00003142"/>
    <s v="PLC00002337"/>
    <d v="2019-04-09T00:00:00"/>
    <d v="2020-07-02T00:00:00"/>
    <d v="2020-07-07T00:00:00"/>
    <n v="5"/>
    <n v="138.63999999999999"/>
    <n v="1663.68"/>
    <n v="9000"/>
    <s v="A"/>
    <n v="9000"/>
    <n v="0.57999999999999996"/>
    <s v="Minor Loss"/>
    <n v="7"/>
    <n v="50"/>
    <n v="0"/>
    <n v="6"/>
    <s v="M"/>
    <x v="1"/>
    <x v="2"/>
    <s v="Mortgage"/>
    <n v="1"/>
    <n v="1"/>
    <n v="964.93439999999998"/>
    <n v="704.40211199999999"/>
    <n v="-8295.5978880000002"/>
  </r>
  <r>
    <s v="TXN00001168"/>
    <s v="A00009732"/>
    <s v="PLC00009606"/>
    <d v="2018-05-18T00:00:00"/>
    <d v="2020-06-28T00:00:00"/>
    <d v="2020-07-03T00:00:00"/>
    <n v="5"/>
    <n v="75.09"/>
    <n v="901.08"/>
    <n v="4000"/>
    <s v="A"/>
    <n v="4000"/>
    <n v="3.17"/>
    <s v="Major Loss"/>
    <n v="38"/>
    <n v="31"/>
    <n v="1"/>
    <n v="3"/>
    <s v="M"/>
    <x v="2"/>
    <x v="0"/>
    <s v="Mortgage"/>
    <n v="1"/>
    <n v="0"/>
    <n v="2856.4236000000001"/>
    <n v="2085.1892280000002"/>
    <n v="-1914.8107719999998"/>
  </r>
  <r>
    <s v="TXN00001179"/>
    <s v="A00001014"/>
    <s v="PLC00000823"/>
    <d v="2011-06-27T00:00:00"/>
    <d v="2020-07-06T00:00:00"/>
    <d v="2020-07-11T00:00:00"/>
    <n v="5"/>
    <n v="137.49"/>
    <n v="1649.88"/>
    <n v="9000"/>
    <s v="A"/>
    <n v="9000"/>
    <n v="8.08"/>
    <s v="Major Loss"/>
    <n v="97"/>
    <n v="53"/>
    <n v="1"/>
    <n v="2"/>
    <s v="L"/>
    <x v="1"/>
    <x v="0"/>
    <s v="Mortgage"/>
    <n v="1"/>
    <n v="1"/>
    <n v="13331.030400000001"/>
    <n v="9731.6521920000014"/>
    <n v="731.65219200000138"/>
  </r>
  <r>
    <s v="TXN00001185"/>
    <s v="A00000029"/>
    <s v="PLC00008738"/>
    <d v="2016-07-29T00:00:00"/>
    <d v="2020-07-02T00:00:00"/>
    <d v="2020-07-07T00:00:00"/>
    <n v="5"/>
    <n v="119.98"/>
    <n v="1439.76"/>
    <n v="3000"/>
    <s v="A"/>
    <n v="3000"/>
    <n v="6.17"/>
    <s v="Minor Loss"/>
    <n v="74"/>
    <n v="60"/>
    <n v="1"/>
    <n v="2"/>
    <s v="M"/>
    <x v="0"/>
    <x v="1"/>
    <s v="Mortgage"/>
    <n v="1"/>
    <n v="1"/>
    <n v="8883.3191999999999"/>
    <n v="6484.8230159999994"/>
    <n v="3484.8230159999994"/>
  </r>
  <r>
    <s v="TXN00001186"/>
    <s v="A00005799"/>
    <s v="PLC00004151"/>
    <d v="2011-10-06T00:00:00"/>
    <d v="2020-07-04T00:00:00"/>
    <d v="2020-07-09T00:00:00"/>
    <n v="5"/>
    <n v="124.12"/>
    <n v="1489.44"/>
    <n v="5000"/>
    <s v="A"/>
    <n v="5000"/>
    <n v="4.58"/>
    <s v="Major Loss"/>
    <n v="55"/>
    <n v="43"/>
    <n v="1"/>
    <n v="3"/>
    <s v="H"/>
    <x v="2"/>
    <x v="6"/>
    <s v="Own"/>
    <n v="1"/>
    <n v="1"/>
    <n v="6821.6352000000006"/>
    <n v="4979.7936960000006"/>
    <n v="-20.206303999999363"/>
  </r>
  <r>
    <s v="TXN00001189"/>
    <s v="A00006926"/>
    <s v="PLC00004605"/>
    <d v="2014-06-17T00:00:00"/>
    <d v="2020-06-29T00:00:00"/>
    <d v="2020-07-04T00:00:00"/>
    <n v="5"/>
    <n v="134.02000000000001"/>
    <n v="1608.24"/>
    <n v="8000"/>
    <s v="A"/>
    <n v="8000"/>
    <n v="5.17"/>
    <s v="Minor Loss"/>
    <n v="62"/>
    <n v="39"/>
    <n v="0"/>
    <n v="5"/>
    <s v="L"/>
    <x v="0"/>
    <x v="1"/>
    <s v="Mortgage"/>
    <n v="1"/>
    <n v="0"/>
    <n v="8314.6008000000002"/>
    <n v="6069.6585839999998"/>
    <n v="-1930.3414160000002"/>
  </r>
  <r>
    <s v="TXN00001190"/>
    <s v="A00006186"/>
    <s v="PLC00006294"/>
    <d v="2016-03-20T00:00:00"/>
    <d v="2020-07-05T00:00:00"/>
    <d v="2020-07-10T00:00:00"/>
    <n v="5"/>
    <n v="107.65"/>
    <n v="1291.8"/>
    <n v="6000"/>
    <s v="A"/>
    <n v="6000"/>
    <n v="6.08"/>
    <s v="Minor Loss"/>
    <n v="73"/>
    <n v="51"/>
    <n v="0"/>
    <n v="5"/>
    <s v="M"/>
    <x v="1"/>
    <x v="6"/>
    <s v="Rent"/>
    <n v="0"/>
    <n v="1"/>
    <n v="7854.1440000000002"/>
    <n v="5733.5251200000002"/>
    <n v="-266.47487999999976"/>
  </r>
  <r>
    <s v="TXN00001195"/>
    <s v="A00009071"/>
    <s v="PLC00002513"/>
    <d v="2015-11-24T00:00:00"/>
    <d v="2020-07-15T00:00:00"/>
    <d v="2020-07-15T00:00:00"/>
    <n v="0"/>
    <n v="87.5"/>
    <n v="1050"/>
    <n v="9000"/>
    <s v="A"/>
    <n v="9000"/>
    <n v="3.58"/>
    <s v="Major Loss"/>
    <n v="43"/>
    <n v="64"/>
    <n v="0"/>
    <n v="6"/>
    <s v="M"/>
    <x v="2"/>
    <x v="1"/>
    <s v="Own"/>
    <n v="0"/>
    <n v="1"/>
    <n v="3759"/>
    <n v="2744.0699999999997"/>
    <n v="-6255.93"/>
  </r>
  <r>
    <s v="TXN00001196"/>
    <s v="A00007646"/>
    <s v="PLC00009461"/>
    <d v="2019-03-27T00:00:00"/>
    <d v="2020-07-10T00:00:00"/>
    <d v="2020-07-12T00:00:00"/>
    <n v="2"/>
    <n v="99.2"/>
    <n v="1190.4000000000001"/>
    <n v="8000"/>
    <s v="A"/>
    <n v="8000"/>
    <n v="2.58"/>
    <s v="Major Loss"/>
    <n v="31"/>
    <n v="61"/>
    <n v="0"/>
    <n v="4"/>
    <s v="L"/>
    <x v="0"/>
    <x v="1"/>
    <s v="Rent"/>
    <n v="1"/>
    <n v="1"/>
    <n v="3071.2320000000004"/>
    <n v="2241.9993600000003"/>
    <n v="-5758.0006400000002"/>
  </r>
  <r>
    <s v="TXN00001205"/>
    <s v="A00006192"/>
    <s v="PLC00006865"/>
    <d v="2011-11-25T00:00:00"/>
    <d v="2020-07-17T00:00:00"/>
    <d v="2020-07-17T00:00:00"/>
    <n v="0"/>
    <n v="132.93"/>
    <n v="1595.16"/>
    <n v="6000"/>
    <s v="A"/>
    <n v="6000"/>
    <n v="4.83"/>
    <s v="Major Loss"/>
    <n v="58"/>
    <n v="28"/>
    <n v="1"/>
    <n v="4"/>
    <s v="L"/>
    <x v="2"/>
    <x v="3"/>
    <s v="Mortgage"/>
    <n v="0"/>
    <n v="0"/>
    <n v="7704.6228000000001"/>
    <n v="5624.3746439999995"/>
    <n v="-375.62535600000047"/>
  </r>
  <r>
    <s v="TXN00001211"/>
    <s v="A00003678"/>
    <s v="PLC00004635"/>
    <d v="2018-02-24T00:00:00"/>
    <d v="2020-07-07T00:00:00"/>
    <d v="2020-07-12T00:00:00"/>
    <n v="5"/>
    <n v="135.74"/>
    <n v="1628.88"/>
    <n v="3000"/>
    <s v="A"/>
    <n v="3000"/>
    <n v="9.25"/>
    <s v="Minor Loss"/>
    <n v="111"/>
    <n v="63"/>
    <n v="1"/>
    <n v="4"/>
    <s v="L"/>
    <x v="0"/>
    <x v="1"/>
    <s v="Mortgage"/>
    <n v="0"/>
    <n v="1"/>
    <n v="15067.140000000001"/>
    <n v="10999.012200000001"/>
    <n v="7999.012200000001"/>
  </r>
  <r>
    <s v="TXN00001217"/>
    <s v="A00003752"/>
    <s v="PLC00004795"/>
    <d v="2013-11-19T00:00:00"/>
    <d v="2020-07-10T00:00:00"/>
    <d v="2020-07-13T00:00:00"/>
    <n v="3"/>
    <n v="117.2"/>
    <n v="1406.4"/>
    <n v="9000"/>
    <s v="A"/>
    <n v="9000"/>
    <n v="8.58"/>
    <s v="Minor Loss"/>
    <n v="103"/>
    <n v="35"/>
    <n v="1"/>
    <n v="4"/>
    <s v="L"/>
    <x v="0"/>
    <x v="4"/>
    <s v="Own"/>
    <n v="1"/>
    <n v="0"/>
    <n v="12066.912"/>
    <n v="8808.8457600000002"/>
    <n v="-191.15423999999985"/>
  </r>
  <r>
    <s v="TXN00001218"/>
    <s v="A00005817"/>
    <s v="PLC00003162"/>
    <d v="2018-12-09T00:00:00"/>
    <d v="2020-07-17T00:00:00"/>
    <d v="2020-07-17T00:00:00"/>
    <n v="0"/>
    <n v="77.900000000000006"/>
    <n v="934.8"/>
    <n v="2000"/>
    <s v="A"/>
    <n v="2000"/>
    <n v="0.57999999999999996"/>
    <s v="Major Loss"/>
    <n v="7"/>
    <n v="54"/>
    <n v="1"/>
    <n v="6"/>
    <s v="M"/>
    <x v="0"/>
    <x v="1"/>
    <s v="Rent"/>
    <n v="1"/>
    <n v="1"/>
    <n v="542.18399999999997"/>
    <n v="395.79431999999997"/>
    <n v="-1604.20568"/>
  </r>
  <r>
    <s v="TXN00001227"/>
    <s v="A00004878"/>
    <s v="PLC00003255"/>
    <d v="2012-05-23T00:00:00"/>
    <d v="2020-07-06T00:00:00"/>
    <d v="2020-07-11T00:00:00"/>
    <n v="5"/>
    <n v="84.24"/>
    <n v="1010.88"/>
    <n v="1000"/>
    <s v="A"/>
    <n v="1000"/>
    <n v="4.5"/>
    <s v="Minor Loss"/>
    <n v="54"/>
    <n v="43"/>
    <n v="0"/>
    <n v="2"/>
    <s v="L"/>
    <x v="0"/>
    <x v="0"/>
    <s v="Rent"/>
    <n v="0"/>
    <n v="0"/>
    <n v="4548.96"/>
    <n v="3320.7408"/>
    <n v="2320.7408"/>
  </r>
  <r>
    <s v="TXN00001230"/>
    <s v="A00002062"/>
    <s v="PLC00006725"/>
    <d v="2011-08-22T00:00:00"/>
    <d v="2020-07-14T00:00:00"/>
    <d v="2020-07-15T00:00:00"/>
    <n v="1"/>
    <n v="137.35"/>
    <n v="1648.2"/>
    <n v="9000"/>
    <s v="A"/>
    <n v="9000"/>
    <n v="3.92"/>
    <s v="Minor Loss"/>
    <n v="47"/>
    <n v="27"/>
    <n v="0"/>
    <n v="2"/>
    <s v="L"/>
    <x v="1"/>
    <x v="1"/>
    <s v="Own"/>
    <n v="0"/>
    <n v="1"/>
    <n v="6460.9440000000004"/>
    <n v="4716.4891200000002"/>
    <n v="-4283.5108799999998"/>
  </r>
  <r>
    <s v="TXN00001236"/>
    <s v="A00000056"/>
    <s v="PLC00004497"/>
    <d v="2019-12-07T00:00:00"/>
    <d v="2020-07-16T00:00:00"/>
    <d v="2020-07-16T00:00:00"/>
    <n v="0"/>
    <n v="103.95"/>
    <n v="1247.4000000000001"/>
    <n v="6000"/>
    <s v="A"/>
    <n v="6000"/>
    <n v="1.67"/>
    <s v="Minor Loss"/>
    <n v="20"/>
    <n v="35"/>
    <n v="0"/>
    <n v="4"/>
    <s v="L"/>
    <x v="1"/>
    <x v="1"/>
    <s v="Mortgage"/>
    <n v="1"/>
    <n v="0"/>
    <n v="2083.1579999999999"/>
    <n v="1520.70534"/>
    <n v="-4479.2946599999996"/>
  </r>
  <r>
    <s v="TXN00001237"/>
    <s v="A00004909"/>
    <s v="PLC00005642"/>
    <d v="2020-01-18T00:00:00"/>
    <d v="2020-06-30T00:00:00"/>
    <d v="2020-07-05T00:00:00"/>
    <n v="5"/>
    <n v="80.819999999999993"/>
    <n v="969.84"/>
    <n v="7000"/>
    <s v="A"/>
    <n v="7000"/>
    <n v="9.25"/>
    <s v="Major Loss"/>
    <n v="111"/>
    <n v="36"/>
    <n v="1"/>
    <n v="6"/>
    <s v="H"/>
    <x v="0"/>
    <x v="0"/>
    <s v="Rent"/>
    <n v="0"/>
    <n v="1"/>
    <n v="8971.02"/>
    <n v="6548.8446000000004"/>
    <n v="-451.15539999999964"/>
  </r>
  <r>
    <s v="TXN00001239"/>
    <s v="A00000373"/>
    <s v="PLC00004738"/>
    <d v="2015-02-07T00:00:00"/>
    <d v="2020-07-15T00:00:00"/>
    <d v="2020-07-16T00:00:00"/>
    <n v="1"/>
    <n v="107.99"/>
    <n v="1295.8800000000001"/>
    <n v="7000"/>
    <s v="A"/>
    <n v="7000"/>
    <n v="3.08"/>
    <s v="Total Loss"/>
    <n v="37"/>
    <n v="33"/>
    <n v="0"/>
    <n v="6"/>
    <s v="H"/>
    <x v="0"/>
    <x v="1"/>
    <s v="Own"/>
    <n v="0"/>
    <n v="0"/>
    <n v="3991.3104000000003"/>
    <n v="2913.6565920000003"/>
    <n v="-4086.3434079999997"/>
  </r>
  <r>
    <s v="TXN00001242"/>
    <s v="A00001136"/>
    <s v="PLC00009638"/>
    <d v="2012-05-21T00:00:00"/>
    <d v="2020-07-15T00:00:00"/>
    <d v="2020-07-16T00:00:00"/>
    <n v="1"/>
    <n v="103.07"/>
    <n v="1236.8399999999999"/>
    <n v="4000"/>
    <s v="A"/>
    <n v="4000"/>
    <n v="6"/>
    <s v="Major Loss"/>
    <n v="72"/>
    <n v="50"/>
    <n v="1"/>
    <n v="7"/>
    <s v="M"/>
    <x v="0"/>
    <x v="1"/>
    <s v="Mortgage"/>
    <n v="1"/>
    <n v="1"/>
    <n v="7421.0399999999991"/>
    <n v="5417.359199999999"/>
    <n v="1417.359199999999"/>
  </r>
  <r>
    <s v="TXN00001244"/>
    <s v="A00008328"/>
    <s v="PLC00008568"/>
    <d v="2015-09-24T00:00:00"/>
    <d v="2020-07-01T00:00:00"/>
    <d v="2020-07-06T00:00:00"/>
    <n v="5"/>
    <n v="74.09"/>
    <n v="889.08"/>
    <n v="9000"/>
    <s v="A"/>
    <n v="9000"/>
    <n v="7.5"/>
    <s v="Major Loss"/>
    <n v="90"/>
    <n v="25"/>
    <n v="1"/>
    <n v="5"/>
    <s v="M"/>
    <x v="1"/>
    <x v="1"/>
    <s v="Own"/>
    <n v="1"/>
    <n v="1"/>
    <n v="6668.1"/>
    <n v="4867.7129999999997"/>
    <n v="-4132.2870000000003"/>
  </r>
  <r>
    <s v="TXN00001249"/>
    <s v="A00008830"/>
    <s v="PLC00002003"/>
    <d v="2014-01-01T00:00:00"/>
    <d v="2020-07-03T00:00:00"/>
    <d v="2020-07-08T00:00:00"/>
    <n v="5"/>
    <n v="139.68"/>
    <n v="1676.16"/>
    <n v="1000"/>
    <s v="A"/>
    <n v="1000"/>
    <n v="9.67"/>
    <s v="Minor Loss"/>
    <n v="116"/>
    <n v="49"/>
    <n v="1"/>
    <n v="7"/>
    <s v="L"/>
    <x v="0"/>
    <x v="1"/>
    <s v="Own"/>
    <n v="1"/>
    <n v="0"/>
    <n v="16208.467200000001"/>
    <n v="11832.181056000001"/>
    <n v="10832.181056000001"/>
  </r>
  <r>
    <s v="TXN00001250"/>
    <s v="A00005537"/>
    <s v="PLC00005049"/>
    <d v="2015-07-27T00:00:00"/>
    <d v="2020-07-03T00:00:00"/>
    <d v="2020-07-08T00:00:00"/>
    <n v="5"/>
    <n v="101.73"/>
    <n v="1220.76"/>
    <n v="2000"/>
    <s v="A"/>
    <n v="2000"/>
    <n v="6.58"/>
    <s v="Major Loss"/>
    <n v="79"/>
    <n v="44"/>
    <n v="0"/>
    <n v="5"/>
    <s v="L"/>
    <x v="2"/>
    <x v="1"/>
    <s v="Rent"/>
    <n v="0"/>
    <n v="1"/>
    <n v="8032.6008000000002"/>
    <n v="5863.7985840000001"/>
    <n v="3863.7985840000001"/>
  </r>
  <r>
    <s v="TXN00001255"/>
    <s v="A00000200"/>
    <s v="PLC00006617"/>
    <d v="2016-05-30T00:00:00"/>
    <d v="2020-07-03T00:00:00"/>
    <d v="2020-07-08T00:00:00"/>
    <n v="5"/>
    <n v="92.39"/>
    <n v="1108.68"/>
    <n v="7000"/>
    <s v="A"/>
    <n v="7000"/>
    <n v="5.58"/>
    <s v="Major Loss"/>
    <n v="67"/>
    <n v="39"/>
    <n v="1"/>
    <n v="5"/>
    <s v="L"/>
    <x v="0"/>
    <x v="1"/>
    <s v="Rent"/>
    <n v="1"/>
    <n v="1"/>
    <n v="6186.4344000000001"/>
    <n v="4516.0971120000004"/>
    <n v="-2483.9028879999996"/>
  </r>
  <r>
    <s v="TXN00001256"/>
    <s v="A00005700"/>
    <s v="PLC00008638"/>
    <d v="2019-11-26T00:00:00"/>
    <d v="2020-07-04T00:00:00"/>
    <d v="2020-07-09T00:00:00"/>
    <n v="5"/>
    <n v="112.59"/>
    <n v="1351.08"/>
    <n v="10000"/>
    <s v="A"/>
    <n v="10000"/>
    <n v="7.42"/>
    <s v="Major Loss"/>
    <n v="89"/>
    <n v="48"/>
    <n v="1"/>
    <n v="7"/>
    <s v="L"/>
    <x v="2"/>
    <x v="0"/>
    <s v="Mortgage"/>
    <n v="1"/>
    <n v="0"/>
    <n v="10025.0136"/>
    <n v="7318.2599280000004"/>
    <n v="-2681.7400719999996"/>
  </r>
  <r>
    <s v="TXN00001260"/>
    <s v="A00008512"/>
    <s v="PLC00008390"/>
    <d v="2017-12-10T00:00:00"/>
    <d v="2020-07-02T00:00:00"/>
    <d v="2020-07-07T00:00:00"/>
    <n v="5"/>
    <n v="74.92"/>
    <n v="899.04"/>
    <n v="1000"/>
    <s v="A"/>
    <n v="1000"/>
    <n v="7.42"/>
    <s v="Minor Loss"/>
    <n v="89"/>
    <n v="37"/>
    <n v="1"/>
    <n v="6"/>
    <s v="H"/>
    <x v="0"/>
    <x v="1"/>
    <s v="Mortgage"/>
    <n v="1"/>
    <n v="1"/>
    <n v="6670.8768"/>
    <n v="4869.7400639999996"/>
    <n v="3869.7400639999996"/>
  </r>
  <r>
    <s v="TXN00001272"/>
    <s v="A00000763"/>
    <s v="PLC00001703"/>
    <d v="2010-11-04T00:00:00"/>
    <d v="2020-07-14T00:00:00"/>
    <d v="2020-07-16T00:00:00"/>
    <n v="2"/>
    <n v="75.430000000000007"/>
    <n v="905.16"/>
    <n v="6000"/>
    <s v="A"/>
    <n v="6000"/>
    <n v="3.08"/>
    <s v="Minor Loss"/>
    <n v="37"/>
    <n v="49"/>
    <n v="1"/>
    <n v="6"/>
    <s v="L"/>
    <x v="2"/>
    <x v="4"/>
    <s v="Own"/>
    <n v="1"/>
    <n v="0"/>
    <n v="2787.8928000000001"/>
    <n v="2035.161744"/>
    <n v="-3964.838256"/>
  </r>
  <r>
    <s v="TXN00001276"/>
    <s v="A00003464"/>
    <s v="PLC00005102"/>
    <d v="2016-02-08T00:00:00"/>
    <d v="2020-07-14T00:00:00"/>
    <d v="2020-07-16T00:00:00"/>
    <n v="2"/>
    <n v="87.03"/>
    <n v="1044.3599999999999"/>
    <n v="9000"/>
    <s v="A"/>
    <n v="9000"/>
    <n v="2.33"/>
    <s v="Minor Loss"/>
    <n v="28"/>
    <n v="38"/>
    <n v="0"/>
    <n v="2"/>
    <s v="L"/>
    <x v="0"/>
    <x v="1"/>
    <s v="Own"/>
    <n v="1"/>
    <n v="1"/>
    <n v="2433.3588"/>
    <n v="1776.3519239999998"/>
    <n v="-7223.6480760000004"/>
  </r>
  <r>
    <s v="TXN00001279"/>
    <s v="A00003869"/>
    <s v="PLC00008177"/>
    <d v="2019-05-14T00:00:00"/>
    <d v="2020-07-07T00:00:00"/>
    <d v="2020-07-12T00:00:00"/>
    <n v="5"/>
    <n v="122.06"/>
    <n v="1464.72"/>
    <n v="3000"/>
    <s v="A"/>
    <n v="3000"/>
    <n v="1.25"/>
    <s v="Total Loss"/>
    <n v="15"/>
    <n v="42"/>
    <n v="0"/>
    <n v="3"/>
    <s v="M"/>
    <x v="1"/>
    <x v="3"/>
    <s v="Mortgage"/>
    <n v="0"/>
    <n v="0"/>
    <n v="1830.9"/>
    <n v="1336.557"/>
    <n v="-1663.443"/>
  </r>
  <r>
    <s v="TXN00001286"/>
    <s v="A00004129"/>
    <s v="PLC00002205"/>
    <d v="2011-04-03T00:00:00"/>
    <d v="2020-07-15T00:00:00"/>
    <d v="2020-07-17T00:00:00"/>
    <n v="2"/>
    <n v="99.44"/>
    <n v="1193.28"/>
    <n v="8000"/>
    <s v="A"/>
    <n v="8000"/>
    <n v="1.42"/>
    <s v="Minor Loss"/>
    <n v="17"/>
    <n v="48"/>
    <n v="0"/>
    <n v="6"/>
    <s v="H"/>
    <x v="1"/>
    <x v="4"/>
    <s v="Rent"/>
    <n v="1"/>
    <n v="1"/>
    <n v="1694.4576"/>
    <n v="1236.9540479999998"/>
    <n v="-6763.0459520000004"/>
  </r>
  <r>
    <s v="TXN00001288"/>
    <s v="A00002888"/>
    <s v="PLC00001401"/>
    <d v="2019-06-07T00:00:00"/>
    <d v="2020-07-04T00:00:00"/>
    <d v="2020-07-09T00:00:00"/>
    <n v="5"/>
    <n v="77.92"/>
    <n v="935.04"/>
    <n v="7000"/>
    <s v="A"/>
    <n v="7000"/>
    <n v="1.75"/>
    <s v="Minor Loss"/>
    <n v="21"/>
    <n v="60"/>
    <n v="0"/>
    <n v="3"/>
    <s v="L"/>
    <x v="2"/>
    <x v="2"/>
    <s v="Own"/>
    <n v="1"/>
    <n v="0"/>
    <n v="1636.32"/>
    <n v="1194.5136"/>
    <n v="-5805.4863999999998"/>
  </r>
  <r>
    <s v="TXN00001293"/>
    <s v="A00004523"/>
    <s v="PLC00003083"/>
    <d v="2012-06-04T00:00:00"/>
    <d v="2020-07-18T00:00:00"/>
    <d v="2020-07-18T00:00:00"/>
    <n v="0"/>
    <n v="89.54"/>
    <n v="1074.48"/>
    <n v="6000"/>
    <s v="D"/>
    <n v="0"/>
    <n v="2.92"/>
    <s v="Total Loss"/>
    <n v="35"/>
    <n v="31"/>
    <n v="0"/>
    <n v="5"/>
    <s v="M"/>
    <x v="0"/>
    <x v="1"/>
    <s v="Mortgage"/>
    <n v="1"/>
    <n v="1"/>
    <n v="3137.4816000000001"/>
    <n v="2290.3615679999998"/>
    <n v="2290.3615679999998"/>
  </r>
  <r>
    <s v="TXN00001294"/>
    <s v="A00002809"/>
    <s v="PLC00001126"/>
    <d v="2015-03-06T00:00:00"/>
    <d v="2020-07-17T00:00:00"/>
    <d v="2020-07-18T00:00:00"/>
    <n v="1"/>
    <n v="93.43"/>
    <n v="1121.1600000000001"/>
    <n v="7000"/>
    <s v="A"/>
    <n v="7000"/>
    <n v="8"/>
    <s v="Major Loss"/>
    <n v="96"/>
    <n v="53"/>
    <n v="0"/>
    <n v="5"/>
    <s v="L"/>
    <x v="0"/>
    <x v="4"/>
    <s v="Mortgage"/>
    <n v="1"/>
    <n v="0"/>
    <n v="8969.2800000000007"/>
    <n v="6547.5744000000004"/>
    <n v="-452.42559999999958"/>
  </r>
  <r>
    <s v="TXN00001300"/>
    <s v="A00006162"/>
    <s v="PLC00006134"/>
    <d v="2019-04-08T00:00:00"/>
    <d v="2020-07-16T00:00:00"/>
    <d v="2020-07-18T00:00:00"/>
    <n v="2"/>
    <n v="75.11"/>
    <n v="901.32"/>
    <n v="8000"/>
    <s v="A"/>
    <n v="8000"/>
    <n v="7.42"/>
    <s v="Total Loss"/>
    <n v="89"/>
    <n v="61"/>
    <n v="1"/>
    <n v="2"/>
    <s v="L"/>
    <x v="1"/>
    <x v="6"/>
    <s v="Mortgage"/>
    <n v="1"/>
    <n v="0"/>
    <n v="6687.7944000000007"/>
    <n v="4882.0899120000004"/>
    <n v="-3117.9100879999996"/>
  </r>
  <r>
    <s v="TXN00001319"/>
    <s v="A00006055"/>
    <s v="PLC00001657"/>
    <d v="2010-09-09T00:00:00"/>
    <d v="2020-07-03T00:00:00"/>
    <d v="2020-07-08T00:00:00"/>
    <n v="5"/>
    <n v="97.1"/>
    <n v="1165.2"/>
    <n v="1000"/>
    <s v="A"/>
    <n v="1000"/>
    <n v="5.67"/>
    <s v="Total Loss"/>
    <n v="68"/>
    <n v="64"/>
    <n v="1"/>
    <n v="5"/>
    <s v="M"/>
    <x v="2"/>
    <x v="1"/>
    <s v="Own"/>
    <n v="1"/>
    <n v="1"/>
    <n v="6606.6840000000002"/>
    <n v="4822.87932"/>
    <n v="3822.87932"/>
  </r>
  <r>
    <s v="TXN00001321"/>
    <s v="A00003950"/>
    <s v="PLC00005968"/>
    <d v="2018-09-11T00:00:00"/>
    <d v="2020-07-05T00:00:00"/>
    <d v="2020-07-10T00:00:00"/>
    <n v="5"/>
    <n v="115.25"/>
    <n v="1383"/>
    <n v="8000"/>
    <s v="A"/>
    <n v="8000"/>
    <n v="5"/>
    <s v="Major Loss"/>
    <n v="60"/>
    <n v="36"/>
    <n v="0"/>
    <n v="3"/>
    <s v="L"/>
    <x v="0"/>
    <x v="5"/>
    <s v="Rent"/>
    <n v="1"/>
    <n v="1"/>
    <n v="6915"/>
    <n v="5047.95"/>
    <n v="-2952.05"/>
  </r>
  <r>
    <s v="TXN00001327"/>
    <s v="A00002130"/>
    <s v="PLC00000960"/>
    <d v="2019-06-17T00:00:00"/>
    <d v="2020-07-09T00:00:00"/>
    <d v="2020-07-14T00:00:00"/>
    <n v="5"/>
    <n v="95.96"/>
    <n v="1151.52"/>
    <n v="10000"/>
    <s v="A"/>
    <n v="10000"/>
    <n v="6.83"/>
    <s v="Major Loss"/>
    <n v="82"/>
    <n v="28"/>
    <n v="1"/>
    <n v="4"/>
    <s v="L"/>
    <x v="1"/>
    <x v="0"/>
    <s v="Own"/>
    <n v="1"/>
    <n v="1"/>
    <n v="7864.8815999999997"/>
    <n v="5741.3635679999998"/>
    <n v="-4258.6364320000002"/>
  </r>
  <r>
    <s v="TXN00001331"/>
    <s v="A00007989"/>
    <s v="PLC00004571"/>
    <d v="2012-10-06T00:00:00"/>
    <d v="2020-07-12T00:00:00"/>
    <d v="2020-07-17T00:00:00"/>
    <n v="5"/>
    <n v="86.1"/>
    <n v="1033.2"/>
    <n v="8000"/>
    <s v="A"/>
    <n v="8000"/>
    <n v="2.67"/>
    <s v="Major Loss"/>
    <n v="32"/>
    <n v="63"/>
    <n v="1"/>
    <n v="6"/>
    <s v="L"/>
    <x v="0"/>
    <x v="3"/>
    <s v="Own"/>
    <n v="1"/>
    <n v="1"/>
    <n v="2758.6440000000002"/>
    <n v="2013.8101200000001"/>
    <n v="-5986.1898799999999"/>
  </r>
  <r>
    <s v="TXN00001333"/>
    <s v="A00004166"/>
    <s v="PLC00000234"/>
    <d v="2012-12-12T00:00:00"/>
    <d v="2020-07-04T00:00:00"/>
    <d v="2020-07-09T00:00:00"/>
    <n v="5"/>
    <n v="100.91"/>
    <n v="1210.92"/>
    <n v="4000"/>
    <s v="A"/>
    <n v="4000"/>
    <n v="5.67"/>
    <s v="Minor Loss"/>
    <n v="68"/>
    <n v="51"/>
    <n v="0"/>
    <n v="6"/>
    <s v="L"/>
    <x v="1"/>
    <x v="6"/>
    <s v="Rent"/>
    <n v="0"/>
    <n v="1"/>
    <n v="6865.9164000000001"/>
    <n v="5012.1189720000002"/>
    <n v="1012.1189720000002"/>
  </r>
  <r>
    <s v="TXN00001335"/>
    <s v="A00009287"/>
    <s v="PLC00004396"/>
    <d v="2017-01-06T00:00:00"/>
    <d v="2020-07-17T00:00:00"/>
    <d v="2020-07-19T00:00:00"/>
    <n v="2"/>
    <n v="105.23"/>
    <n v="1262.76"/>
    <n v="2000"/>
    <s v="A"/>
    <n v="2000"/>
    <n v="2.42"/>
    <s v="Total Loss"/>
    <n v="29"/>
    <n v="40"/>
    <n v="1"/>
    <n v="4"/>
    <s v="L"/>
    <x v="1"/>
    <x v="1"/>
    <s v="Rent"/>
    <n v="1"/>
    <n v="0"/>
    <n v="3055.8791999999999"/>
    <n v="2230.7918159999999"/>
    <n v="230.79181599999993"/>
  </r>
  <r>
    <s v="TXN00001348"/>
    <s v="A00009243"/>
    <s v="PLC00005997"/>
    <d v="2011-03-29T00:00:00"/>
    <d v="2020-07-13T00:00:00"/>
    <d v="2020-07-18T00:00:00"/>
    <n v="5"/>
    <n v="130.66999999999999"/>
    <n v="1568.04"/>
    <n v="8000"/>
    <s v="A"/>
    <n v="8000"/>
    <n v="9.92"/>
    <s v="Minor Loss"/>
    <n v="119"/>
    <n v="38"/>
    <n v="1"/>
    <n v="5"/>
    <s v="L"/>
    <x v="0"/>
    <x v="0"/>
    <s v="Mortgage"/>
    <n v="1"/>
    <n v="0"/>
    <n v="15554.9568"/>
    <n v="11355.118463999999"/>
    <n v="3355.1184639999992"/>
  </r>
  <r>
    <s v="TXN00001349"/>
    <s v="A00004627"/>
    <s v="PLC00002378"/>
    <d v="2010-09-05T00:00:00"/>
    <d v="2020-07-12T00:00:00"/>
    <d v="2020-07-17T00:00:00"/>
    <n v="5"/>
    <n v="101.88"/>
    <n v="1222.56"/>
    <n v="4000"/>
    <s v="A"/>
    <n v="4000"/>
    <n v="5.5"/>
    <s v="Major Loss"/>
    <n v="66"/>
    <n v="42"/>
    <n v="1"/>
    <n v="3"/>
    <s v="L"/>
    <x v="2"/>
    <x v="4"/>
    <s v="Rent"/>
    <n v="1"/>
    <n v="1"/>
    <n v="6724.08"/>
    <n v="4908.5783999999994"/>
    <n v="908.57839999999942"/>
  </r>
  <r>
    <s v="TXN00001352"/>
    <s v="A00006958"/>
    <s v="PLC00001504"/>
    <d v="2017-07-15T00:00:00"/>
    <d v="2020-07-08T00:00:00"/>
    <d v="2020-07-13T00:00:00"/>
    <n v="5"/>
    <n v="106.99"/>
    <n v="1283.8800000000001"/>
    <n v="7000"/>
    <s v="A"/>
    <n v="7000"/>
    <n v="2.83"/>
    <s v="Major Loss"/>
    <n v="34"/>
    <n v="42"/>
    <n v="1"/>
    <n v="5"/>
    <s v="M"/>
    <x v="0"/>
    <x v="1"/>
    <s v="Rent"/>
    <n v="1"/>
    <n v="0"/>
    <n v="3633.3804000000005"/>
    <n v="2652.3676920000003"/>
    <n v="-4347.6323080000002"/>
  </r>
  <r>
    <s v="TXN00001356"/>
    <s v="A00004665"/>
    <s v="PLC00004085"/>
    <d v="2015-07-26T00:00:00"/>
    <d v="2020-07-05T00:00:00"/>
    <d v="2020-07-10T00:00:00"/>
    <n v="5"/>
    <n v="136.29"/>
    <n v="1635.48"/>
    <n v="7000"/>
    <s v="A"/>
    <n v="7000"/>
    <n v="0.83"/>
    <s v="Total Loss"/>
    <n v="10"/>
    <n v="29"/>
    <n v="0"/>
    <n v="6"/>
    <s v="L"/>
    <x v="0"/>
    <x v="6"/>
    <s v="Mortgage"/>
    <n v="0"/>
    <n v="1"/>
    <n v="1357.4484"/>
    <n v="990.93733199999997"/>
    <n v="-6009.0626680000005"/>
  </r>
  <r>
    <s v="TXN00001357"/>
    <s v="A00005549"/>
    <s v="PLC00009122"/>
    <d v="2012-09-07T00:00:00"/>
    <d v="2020-07-23T00:00:00"/>
    <d v="2020-07-23T00:00:00"/>
    <n v="0"/>
    <n v="115.5"/>
    <n v="1386"/>
    <n v="2000"/>
    <s v="A"/>
    <n v="2000"/>
    <n v="4.17"/>
    <s v="Minor Loss"/>
    <n v="50"/>
    <n v="28"/>
    <n v="1"/>
    <n v="5"/>
    <s v="M"/>
    <x v="1"/>
    <x v="1"/>
    <s v="Own"/>
    <n v="1"/>
    <n v="0"/>
    <n v="5779.62"/>
    <n v="4219.1225999999997"/>
    <n v="2219.1225999999997"/>
  </r>
  <r>
    <s v="TXN00001358"/>
    <s v="A00003639"/>
    <s v="PLC00001508"/>
    <d v="2016-08-13T00:00:00"/>
    <d v="2020-07-20T00:00:00"/>
    <d v="2020-07-21T00:00:00"/>
    <n v="1"/>
    <n v="77.23"/>
    <n v="926.76"/>
    <n v="7000"/>
    <s v="A"/>
    <n v="7000"/>
    <n v="6"/>
    <s v="Total Loss"/>
    <n v="72"/>
    <n v="63"/>
    <n v="1"/>
    <n v="4"/>
    <s v="M"/>
    <x v="0"/>
    <x v="1"/>
    <s v="Rent"/>
    <n v="1"/>
    <n v="0"/>
    <n v="5560.5599999999995"/>
    <n v="4059.2087999999994"/>
    <n v="-2940.7912000000006"/>
  </r>
  <r>
    <s v="TXN00001367"/>
    <s v="A00002899"/>
    <s v="PLC00003716"/>
    <d v="2011-01-13T00:00:00"/>
    <d v="2020-07-05T00:00:00"/>
    <d v="2020-07-10T00:00:00"/>
    <n v="5"/>
    <n v="105.57"/>
    <n v="1266.8399999999999"/>
    <n v="3000"/>
    <s v="A"/>
    <n v="3000"/>
    <n v="0.67"/>
    <s v="Major Loss"/>
    <n v="8"/>
    <n v="32"/>
    <n v="1"/>
    <n v="7"/>
    <s v="M"/>
    <x v="1"/>
    <x v="4"/>
    <s v="Own"/>
    <n v="1"/>
    <n v="1"/>
    <n v="848.78279999999995"/>
    <n v="619.61144400000001"/>
    <n v="-2380.3885559999999"/>
  </r>
  <r>
    <s v="TXN00001368"/>
    <s v="A00008306"/>
    <s v="PLC00007309"/>
    <d v="2019-11-24T00:00:00"/>
    <d v="2020-07-13T00:00:00"/>
    <d v="2020-07-18T00:00:00"/>
    <n v="5"/>
    <n v="91.12"/>
    <n v="1093.44"/>
    <n v="8000"/>
    <s v="A"/>
    <n v="8000"/>
    <n v="8.83"/>
    <s v="Major Loss"/>
    <n v="106"/>
    <n v="57"/>
    <n v="1"/>
    <n v="2"/>
    <s v="M"/>
    <x v="1"/>
    <x v="1"/>
    <s v="Mortgage"/>
    <n v="1"/>
    <n v="1"/>
    <n v="9655.0752000000011"/>
    <n v="7048.2048960000011"/>
    <n v="-951.7951039999989"/>
  </r>
  <r>
    <s v="TXN00001381"/>
    <s v="A00000375"/>
    <s v="PLC00007116"/>
    <d v="2018-10-14T00:00:00"/>
    <d v="2020-07-09T00:00:00"/>
    <d v="2020-07-14T00:00:00"/>
    <n v="5"/>
    <n v="128.58000000000001"/>
    <n v="1542.96"/>
    <n v="9000"/>
    <s v="A"/>
    <n v="9000"/>
    <n v="6.08"/>
    <s v="Minor Loss"/>
    <n v="73"/>
    <n v="26"/>
    <n v="1"/>
    <n v="7"/>
    <s v="M"/>
    <x v="2"/>
    <x v="1"/>
    <s v="Rent"/>
    <n v="1"/>
    <n v="1"/>
    <n v="9381.1967999999997"/>
    <n v="6848.2736639999994"/>
    <n v="-2151.7263360000006"/>
  </r>
  <r>
    <s v="TXN00001387"/>
    <s v="A00005010"/>
    <s v="PLC00003215"/>
    <d v="2013-06-09T00:00:00"/>
    <d v="2020-07-13T00:00:00"/>
    <d v="2020-07-18T00:00:00"/>
    <n v="5"/>
    <n v="102.83"/>
    <n v="1233.96"/>
    <n v="10000"/>
    <s v="A"/>
    <n v="10000"/>
    <n v="6.75"/>
    <s v="Major Loss"/>
    <n v="81"/>
    <n v="34"/>
    <n v="1"/>
    <n v="3"/>
    <s v="L"/>
    <x v="2"/>
    <x v="0"/>
    <s v="Mortgage"/>
    <n v="0"/>
    <n v="1"/>
    <n v="8329.23"/>
    <n v="6080.3378999999995"/>
    <n v="-3919.6621000000005"/>
  </r>
  <r>
    <s v="TXN00001391"/>
    <s v="A00009229"/>
    <s v="PLC00005681"/>
    <d v="2013-06-04T00:00:00"/>
    <d v="2020-07-13T00:00:00"/>
    <d v="2020-07-18T00:00:00"/>
    <n v="5"/>
    <n v="103.96"/>
    <n v="1247.52"/>
    <n v="9000"/>
    <s v="A"/>
    <n v="9000"/>
    <n v="6.17"/>
    <s v="Minor Loss"/>
    <n v="74"/>
    <n v="33"/>
    <n v="1"/>
    <n v="3"/>
    <s v="L"/>
    <x v="1"/>
    <x v="1"/>
    <s v="Rent"/>
    <n v="1"/>
    <n v="1"/>
    <n v="7697.1984000000002"/>
    <n v="5618.9548320000004"/>
    <n v="-3381.0451679999996"/>
  </r>
  <r>
    <s v="TXN00001402"/>
    <s v="A00008134"/>
    <s v="PLC00002436"/>
    <d v="2019-08-23T00:00:00"/>
    <d v="2020-07-25T00:00:00"/>
    <d v="2020-07-25T00:00:00"/>
    <n v="0"/>
    <n v="96.36"/>
    <n v="1156.32"/>
    <n v="7000"/>
    <s v="A"/>
    <n v="7000"/>
    <n v="1.25"/>
    <s v="Minor Loss"/>
    <n v="15"/>
    <n v="56"/>
    <n v="1"/>
    <n v="6"/>
    <s v="L"/>
    <x v="0"/>
    <x v="2"/>
    <s v="Rent"/>
    <n v="0"/>
    <n v="1"/>
    <n v="1445.3999999999999"/>
    <n v="1055.1419999999998"/>
    <n v="-5944.8580000000002"/>
  </r>
  <r>
    <s v="TXN00001403"/>
    <s v="A00002633"/>
    <s v="PLC00001588"/>
    <d v="2011-02-14T00:00:00"/>
    <d v="2020-07-10T00:00:00"/>
    <d v="2020-07-15T00:00:00"/>
    <n v="5"/>
    <n v="134.53"/>
    <n v="1614.36"/>
    <n v="5000"/>
    <s v="A"/>
    <n v="5000"/>
    <n v="4.17"/>
    <s v="Major Loss"/>
    <n v="50"/>
    <n v="28"/>
    <n v="1"/>
    <n v="4"/>
    <s v="L"/>
    <x v="0"/>
    <x v="5"/>
    <s v="Own"/>
    <n v="1"/>
    <n v="0"/>
    <n v="6731.8811999999998"/>
    <n v="4914.2732759999999"/>
    <n v="-85.726724000000104"/>
  </r>
  <r>
    <s v="TXN00001408"/>
    <s v="A00005099"/>
    <s v="PLC00004072"/>
    <d v="2019-10-03T00:00:00"/>
    <d v="2020-07-15T00:00:00"/>
    <d v="2020-07-20T00:00:00"/>
    <n v="5"/>
    <n v="132.97999999999999"/>
    <n v="1595.76"/>
    <n v="1000"/>
    <s v="A"/>
    <n v="1000"/>
    <n v="9.83"/>
    <s v="Total Loss"/>
    <n v="118"/>
    <n v="39"/>
    <n v="1"/>
    <n v="6"/>
    <s v="L"/>
    <x v="2"/>
    <x v="0"/>
    <s v="Own"/>
    <n v="1"/>
    <n v="1"/>
    <n v="15686.3208"/>
    <n v="11451.014184"/>
    <n v="10451.014184"/>
  </r>
  <r>
    <s v="TXN00001410"/>
    <s v="A00001975"/>
    <s v="PLC00002585"/>
    <d v="2011-11-10T00:00:00"/>
    <d v="2020-07-15T00:00:00"/>
    <d v="2020-07-20T00:00:00"/>
    <n v="5"/>
    <n v="89.02"/>
    <n v="1068.24"/>
    <n v="2000"/>
    <s v="A"/>
    <n v="2000"/>
    <n v="4.33"/>
    <s v="Minor Loss"/>
    <n v="52"/>
    <n v="49"/>
    <n v="0"/>
    <n v="3"/>
    <s v="M"/>
    <x v="2"/>
    <x v="1"/>
    <s v="Rent"/>
    <n v="1"/>
    <n v="0"/>
    <n v="4625.4791999999998"/>
    <n v="3376.5998159999999"/>
    <n v="1376.5998159999999"/>
  </r>
  <r>
    <s v="TXN00001414"/>
    <s v="A00006985"/>
    <s v="PLC00008391"/>
    <d v="2018-10-09T00:00:00"/>
    <d v="2020-07-16T00:00:00"/>
    <d v="2020-07-19T00:00:00"/>
    <n v="3"/>
    <n v="95.38"/>
    <n v="1144.56"/>
    <n v="4000"/>
    <s v="A"/>
    <n v="4000"/>
    <n v="8"/>
    <s v="Major Loss"/>
    <n v="96"/>
    <n v="33"/>
    <n v="1"/>
    <n v="3"/>
    <s v="L"/>
    <x v="1"/>
    <x v="0"/>
    <s v="Own"/>
    <n v="0"/>
    <n v="0"/>
    <n v="9156.48"/>
    <n v="6684.2303999999995"/>
    <n v="2684.2303999999995"/>
  </r>
  <r>
    <s v="TXN00001415"/>
    <s v="A00007277"/>
    <s v="PLC00008940"/>
    <d v="2019-06-14T00:00:00"/>
    <d v="2020-07-24T00:00:00"/>
    <d v="2020-07-24T00:00:00"/>
    <n v="0"/>
    <n v="91.27"/>
    <n v="1095.24"/>
    <n v="9000"/>
    <s v="D"/>
    <n v="0"/>
    <n v="5.67"/>
    <s v="Total Loss"/>
    <n v="68"/>
    <n v="36"/>
    <n v="0"/>
    <n v="3"/>
    <s v="L"/>
    <x v="0"/>
    <x v="1"/>
    <s v="Own"/>
    <n v="1"/>
    <n v="1"/>
    <n v="6210.0108"/>
    <n v="4533.3078839999998"/>
    <n v="4533.3078839999998"/>
  </r>
  <r>
    <s v="TXN00001416"/>
    <s v="A00003757"/>
    <s v="PLC00003775"/>
    <d v="2014-03-23T00:00:00"/>
    <d v="2020-07-15T00:00:00"/>
    <d v="2020-07-20T00:00:00"/>
    <n v="5"/>
    <n v="73.13"/>
    <n v="877.56"/>
    <n v="10000"/>
    <s v="A"/>
    <n v="10000"/>
    <n v="5.83"/>
    <s v="Total Loss"/>
    <n v="70"/>
    <n v="42"/>
    <n v="1"/>
    <n v="7"/>
    <s v="L"/>
    <x v="0"/>
    <x v="0"/>
    <s v="Mortgage"/>
    <n v="1"/>
    <n v="1"/>
    <n v="5116.1747999999998"/>
    <n v="3734.8076039999996"/>
    <n v="-6265.1923960000004"/>
  </r>
  <r>
    <s v="TXN00001417"/>
    <s v="A00004084"/>
    <s v="PLC00006077"/>
    <d v="2010-09-13T00:00:00"/>
    <d v="2020-07-08T00:00:00"/>
    <d v="2020-07-13T00:00:00"/>
    <n v="5"/>
    <n v="95.33"/>
    <n v="1143.96"/>
    <n v="10000"/>
    <s v="A"/>
    <n v="10000"/>
    <n v="4.33"/>
    <s v="Total Loss"/>
    <n v="52"/>
    <n v="51"/>
    <n v="1"/>
    <n v="7"/>
    <s v="L"/>
    <x v="2"/>
    <x v="2"/>
    <s v="Rent"/>
    <n v="0"/>
    <n v="0"/>
    <n v="4953.3468000000003"/>
    <n v="3615.9431640000003"/>
    <n v="-6384.0568359999997"/>
  </r>
  <r>
    <s v="TXN00001428"/>
    <s v="A00003474"/>
    <s v="PLC00002500"/>
    <d v="2015-01-10T00:00:00"/>
    <d v="2020-07-15T00:00:00"/>
    <d v="2020-07-20T00:00:00"/>
    <n v="5"/>
    <n v="122.61"/>
    <n v="1471.32"/>
    <n v="3000"/>
    <s v="A"/>
    <n v="3000"/>
    <n v="5.92"/>
    <s v="Major Loss"/>
    <n v="71"/>
    <n v="56"/>
    <n v="1"/>
    <n v="7"/>
    <s v="L"/>
    <x v="2"/>
    <x v="4"/>
    <s v="Rent"/>
    <n v="0"/>
    <n v="1"/>
    <n v="8710.2143999999989"/>
    <n v="6358.4565119999988"/>
    <n v="3358.4565119999988"/>
  </r>
  <r>
    <s v="TXN00001441"/>
    <s v="A00008249"/>
    <s v="PLC00005038"/>
    <d v="2011-06-29T00:00:00"/>
    <d v="2020-07-17T00:00:00"/>
    <d v="2020-07-20T00:00:00"/>
    <n v="3"/>
    <n v="122.18"/>
    <n v="1466.16"/>
    <n v="2000"/>
    <s v="A"/>
    <n v="2000"/>
    <n v="8.83"/>
    <s v="Minor Loss"/>
    <n v="106"/>
    <n v="56"/>
    <n v="0"/>
    <n v="2"/>
    <s v="M"/>
    <x v="2"/>
    <x v="1"/>
    <s v="Mortgage"/>
    <n v="0"/>
    <n v="1"/>
    <n v="12946.192800000001"/>
    <n v="9450.7207440000002"/>
    <n v="7450.7207440000002"/>
  </r>
  <r>
    <s v="TXN00001444"/>
    <s v="A00007887"/>
    <s v="PLC00000188"/>
    <d v="2010-10-28T00:00:00"/>
    <d v="2020-07-23T00:00:00"/>
    <d v="2020-07-24T00:00:00"/>
    <n v="1"/>
    <n v="93.8"/>
    <n v="1125.5999999999999"/>
    <n v="9000"/>
    <s v="A"/>
    <n v="9000"/>
    <n v="6.83"/>
    <s v="Minor Loss"/>
    <n v="82"/>
    <n v="48"/>
    <n v="0"/>
    <n v="3"/>
    <s v="M"/>
    <x v="2"/>
    <x v="5"/>
    <s v="Own"/>
    <n v="1"/>
    <n v="1"/>
    <n v="7687.847999999999"/>
    <n v="5612.1290399999989"/>
    <n v="-3387.8709600000011"/>
  </r>
  <r>
    <s v="TXN00001446"/>
    <s v="A00009140"/>
    <s v="PLC00008246"/>
    <d v="2013-10-25T00:00:00"/>
    <d v="2020-07-20T00:00:00"/>
    <d v="2020-07-23T00:00:00"/>
    <n v="3"/>
    <n v="74.75"/>
    <n v="897"/>
    <n v="6000"/>
    <s v="A"/>
    <n v="6000"/>
    <n v="8.42"/>
    <s v="Total Loss"/>
    <n v="101"/>
    <n v="30"/>
    <n v="1"/>
    <n v="6"/>
    <s v="L"/>
    <x v="2"/>
    <x v="3"/>
    <s v="Mortgage"/>
    <n v="0"/>
    <n v="1"/>
    <n v="7552.74"/>
    <n v="5513.5001999999995"/>
    <n v="-486.4998000000005"/>
  </r>
  <r>
    <s v="TXN00001454"/>
    <s v="A00005900"/>
    <s v="PLC00003031"/>
    <d v="2016-01-17T00:00:00"/>
    <d v="2020-07-24T00:00:00"/>
    <d v="2020-07-25T00:00:00"/>
    <n v="1"/>
    <n v="81.099999999999994"/>
    <n v="973.2"/>
    <n v="10000"/>
    <s v="A"/>
    <n v="10000"/>
    <n v="8.83"/>
    <s v="Major Loss"/>
    <n v="106"/>
    <n v="29"/>
    <n v="1"/>
    <n v="3"/>
    <s v="L"/>
    <x v="2"/>
    <x v="0"/>
    <s v="Rent"/>
    <n v="1"/>
    <n v="1"/>
    <n v="8593.3559999999998"/>
    <n v="6273.1498799999999"/>
    <n v="-3726.8501200000001"/>
  </r>
  <r>
    <s v="TXN00001456"/>
    <s v="A00009690"/>
    <s v="PLC00008905"/>
    <d v="2016-01-04T00:00:00"/>
    <d v="2020-07-25T00:00:00"/>
    <d v="2020-07-25T00:00:00"/>
    <n v="0"/>
    <n v="71.319999999999993"/>
    <n v="855.84"/>
    <n v="3000"/>
    <s v="A"/>
    <n v="3000"/>
    <n v="6.58"/>
    <s v="Total Loss"/>
    <n v="79"/>
    <n v="48"/>
    <n v="1"/>
    <n v="2"/>
    <s v="L"/>
    <x v="2"/>
    <x v="3"/>
    <s v="Own"/>
    <n v="1"/>
    <n v="0"/>
    <n v="5631.4272000000001"/>
    <n v="4110.9418560000004"/>
    <n v="1110.9418560000004"/>
  </r>
  <r>
    <s v="TXN00001458"/>
    <s v="A00003546"/>
    <s v="PLC00003755"/>
    <d v="2019-01-10T00:00:00"/>
    <d v="2020-07-24T00:00:00"/>
    <d v="2020-07-25T00:00:00"/>
    <n v="1"/>
    <n v="73.92"/>
    <n v="887.04"/>
    <n v="6000"/>
    <s v="A"/>
    <n v="6000"/>
    <n v="4.83"/>
    <s v="Major Loss"/>
    <n v="58"/>
    <n v="28"/>
    <n v="1"/>
    <n v="4"/>
    <s v="H"/>
    <x v="0"/>
    <x v="1"/>
    <s v="Rent"/>
    <n v="0"/>
    <n v="1"/>
    <n v="4284.4031999999997"/>
    <n v="3127.6143359999996"/>
    <n v="-2872.3856640000004"/>
  </r>
  <r>
    <s v="TXN00001459"/>
    <s v="A00000010"/>
    <s v="PLC00007076"/>
    <d v="2017-07-22T00:00:00"/>
    <d v="2020-07-14T00:00:00"/>
    <d v="2020-07-19T00:00:00"/>
    <n v="5"/>
    <n v="125.11"/>
    <n v="1501.32"/>
    <n v="9000"/>
    <s v="A"/>
    <n v="9000"/>
    <n v="9.75"/>
    <s v="Major Loss"/>
    <n v="117"/>
    <n v="53"/>
    <n v="0"/>
    <n v="3"/>
    <s v="M"/>
    <x v="0"/>
    <x v="1"/>
    <s v="Mortgage"/>
    <n v="1"/>
    <n v="1"/>
    <n v="14637.869999999999"/>
    <n v="10685.6451"/>
    <n v="1685.6450999999997"/>
  </r>
  <r>
    <s v="TXN00001461"/>
    <s v="A00007301"/>
    <s v="PLC00007129"/>
    <d v="2019-09-26T00:00:00"/>
    <d v="2020-07-08T00:00:00"/>
    <d v="2020-07-13T00:00:00"/>
    <n v="5"/>
    <n v="93.99"/>
    <n v="1127.8800000000001"/>
    <n v="3000"/>
    <s v="A"/>
    <n v="3000"/>
    <n v="8.08"/>
    <s v="Total Loss"/>
    <n v="97"/>
    <n v="46"/>
    <n v="1"/>
    <n v="6"/>
    <s v="L"/>
    <x v="2"/>
    <x v="1"/>
    <s v="Mortgage"/>
    <n v="0"/>
    <n v="1"/>
    <n v="9113.2704000000012"/>
    <n v="6652.6873920000007"/>
    <n v="3652.6873920000007"/>
  </r>
  <r>
    <s v="TXN00001463"/>
    <s v="A00005411"/>
    <s v="PLC00005262"/>
    <d v="2015-01-22T00:00:00"/>
    <d v="2020-07-15T00:00:00"/>
    <d v="2020-07-20T00:00:00"/>
    <n v="5"/>
    <n v="103.78"/>
    <n v="1245.3599999999999"/>
    <n v="2000"/>
    <s v="A"/>
    <n v="2000"/>
    <n v="6.08"/>
    <s v="Total Loss"/>
    <n v="73"/>
    <n v="44"/>
    <n v="1"/>
    <n v="4"/>
    <s v="M"/>
    <x v="0"/>
    <x v="0"/>
    <s v="Rent"/>
    <n v="1"/>
    <n v="0"/>
    <n v="7571.7887999999994"/>
    <n v="5527.4058239999995"/>
    <n v="3527.4058239999995"/>
  </r>
  <r>
    <s v="TXN00001474"/>
    <s v="A00004334"/>
    <s v="PLC00008598"/>
    <d v="2017-06-18T00:00:00"/>
    <d v="2020-07-20T00:00:00"/>
    <d v="2020-07-23T00:00:00"/>
    <n v="3"/>
    <n v="75.62"/>
    <n v="907.44"/>
    <n v="9000"/>
    <s v="A"/>
    <n v="9000"/>
    <n v="4.5"/>
    <s v="Minor Loss"/>
    <n v="54"/>
    <n v="50"/>
    <n v="1"/>
    <n v="6"/>
    <s v="M"/>
    <x v="2"/>
    <x v="3"/>
    <s v="Own"/>
    <n v="0"/>
    <n v="1"/>
    <n v="4083.4800000000005"/>
    <n v="2980.9404000000004"/>
    <n v="-6019.0595999999996"/>
  </r>
  <r>
    <s v="TXN00001493"/>
    <s v="A00000001"/>
    <s v="PLC00003705"/>
    <d v="2011-04-10T00:00:00"/>
    <d v="2020-07-15T00:00:00"/>
    <d v="2020-07-20T00:00:00"/>
    <n v="5"/>
    <n v="84.23"/>
    <n v="1010.76"/>
    <n v="7000"/>
    <s v="D"/>
    <n v="0"/>
    <n v="9.33"/>
    <s v="Major Loss"/>
    <n v="112"/>
    <n v="29"/>
    <n v="1"/>
    <n v="3"/>
    <s v="M"/>
    <x v="0"/>
    <x v="0"/>
    <s v="Own"/>
    <n v="1"/>
    <n v="0"/>
    <n v="9430.3907999999992"/>
    <n v="6884.1852839999992"/>
    <n v="6884.1852839999992"/>
  </r>
  <r>
    <s v="TXN00001494"/>
    <s v="A00001805"/>
    <s v="PLC00003292"/>
    <d v="2019-12-22T00:00:00"/>
    <d v="2020-07-20T00:00:00"/>
    <d v="2020-07-23T00:00:00"/>
    <n v="3"/>
    <n v="82.4"/>
    <n v="988.8"/>
    <n v="7000"/>
    <s v="A"/>
    <n v="7000"/>
    <n v="2.83"/>
    <s v="Total Loss"/>
    <n v="34"/>
    <n v="62"/>
    <n v="1"/>
    <n v="3"/>
    <s v="L"/>
    <x v="2"/>
    <x v="1"/>
    <s v="Mortgage"/>
    <n v="1"/>
    <n v="1"/>
    <n v="2798.3040000000001"/>
    <n v="2042.7619199999999"/>
    <n v="-4957.2380800000001"/>
  </r>
  <r>
    <s v="TXN00001496"/>
    <s v="A00007035"/>
    <s v="PLC00002634"/>
    <d v="2013-03-27T00:00:00"/>
    <d v="2020-07-10T00:00:00"/>
    <d v="2020-07-15T00:00:00"/>
    <n v="5"/>
    <n v="120.92"/>
    <n v="1451.04"/>
    <n v="9000"/>
    <s v="A"/>
    <n v="9000"/>
    <n v="9.42"/>
    <s v="Minor Loss"/>
    <n v="113"/>
    <n v="38"/>
    <n v="1"/>
    <n v="2"/>
    <s v="M"/>
    <x v="0"/>
    <x v="0"/>
    <s v="Mortgage"/>
    <n v="1"/>
    <n v="0"/>
    <n v="13668.7968"/>
    <n v="9978.2216640000006"/>
    <n v="978.2216640000006"/>
  </r>
  <r>
    <s v="TXN00001517"/>
    <s v="A00000098"/>
    <s v="PLC00006160"/>
    <d v="2013-09-14T00:00:00"/>
    <d v="2020-07-10T00:00:00"/>
    <d v="2020-07-15T00:00:00"/>
    <n v="5"/>
    <n v="101.72"/>
    <n v="1220.6400000000001"/>
    <n v="8000"/>
    <s v="A"/>
    <n v="8000"/>
    <n v="5.42"/>
    <s v="Minor Loss"/>
    <n v="65"/>
    <n v="46"/>
    <n v="0"/>
    <n v="7"/>
    <s v="M"/>
    <x v="1"/>
    <x v="5"/>
    <s v="Rent"/>
    <n v="1"/>
    <n v="0"/>
    <n v="6615.8688000000002"/>
    <n v="4829.5842240000002"/>
    <n v="-3170.4157759999998"/>
  </r>
  <r>
    <s v="TXN00001525"/>
    <s v="A00006471"/>
    <s v="PLC00000996"/>
    <d v="2013-07-27T00:00:00"/>
    <d v="2020-07-27T00:00:00"/>
    <d v="2020-07-28T00:00:00"/>
    <n v="1"/>
    <n v="113.27"/>
    <n v="1359.24"/>
    <n v="10000"/>
    <s v="A"/>
    <n v="10000"/>
    <n v="9.25"/>
    <s v="Major Loss"/>
    <n v="111"/>
    <n v="47"/>
    <n v="0"/>
    <n v="2"/>
    <s v="H"/>
    <x v="0"/>
    <x v="0"/>
    <s v="Rent"/>
    <n v="1"/>
    <n v="1"/>
    <n v="12572.97"/>
    <n v="9178.2680999999993"/>
    <n v="-821.73190000000068"/>
  </r>
  <r>
    <s v="TXN00001532"/>
    <s v="A00002823"/>
    <s v="PLC00008851"/>
    <d v="2010-11-10T00:00:00"/>
    <d v="2020-07-23T00:00:00"/>
    <d v="2020-07-26T00:00:00"/>
    <n v="3"/>
    <n v="95.85"/>
    <n v="1150.2"/>
    <n v="1000"/>
    <s v="A"/>
    <n v="1000"/>
    <n v="7.83"/>
    <s v="Major Loss"/>
    <n v="94"/>
    <n v="36"/>
    <n v="1"/>
    <n v="2"/>
    <s v="L"/>
    <x v="2"/>
    <x v="0"/>
    <s v="Own"/>
    <n v="1"/>
    <n v="1"/>
    <n v="9006.0660000000007"/>
    <n v="6574.4281800000008"/>
    <n v="5574.4281800000008"/>
  </r>
  <r>
    <s v="TXN00001535"/>
    <s v="A00003672"/>
    <s v="PLC00000745"/>
    <d v="2019-12-18T00:00:00"/>
    <d v="2020-07-20T00:00:00"/>
    <d v="2020-07-25T00:00:00"/>
    <n v="5"/>
    <n v="135.49"/>
    <n v="1625.88"/>
    <n v="7000"/>
    <s v="A"/>
    <n v="7000"/>
    <n v="4"/>
    <s v="Total Loss"/>
    <n v="48"/>
    <n v="41"/>
    <n v="1"/>
    <n v="6"/>
    <s v="L"/>
    <x v="0"/>
    <x v="1"/>
    <s v="Rent"/>
    <n v="0"/>
    <n v="1"/>
    <n v="6503.52"/>
    <n v="4747.5695999999998"/>
    <n v="-2252.4304000000002"/>
  </r>
  <r>
    <s v="TXN00001555"/>
    <s v="A00006903"/>
    <s v="PLC00002743"/>
    <d v="2014-02-09T00:00:00"/>
    <d v="2020-07-14T00:00:00"/>
    <d v="2020-07-19T00:00:00"/>
    <n v="5"/>
    <n v="132.93"/>
    <n v="1595.16"/>
    <n v="2000"/>
    <s v="A"/>
    <n v="2000"/>
    <n v="2.83"/>
    <s v="Minor Loss"/>
    <n v="34"/>
    <n v="52"/>
    <n v="0"/>
    <n v="2"/>
    <s v="H"/>
    <x v="0"/>
    <x v="1"/>
    <s v="Own"/>
    <n v="1"/>
    <n v="0"/>
    <n v="4514.3028000000004"/>
    <n v="3295.4410440000001"/>
    <n v="1295.4410440000001"/>
  </r>
  <r>
    <s v="TXN00001564"/>
    <s v="A00006979"/>
    <s v="PLC00005060"/>
    <d v="2018-05-12T00:00:00"/>
    <d v="2020-07-26T00:00:00"/>
    <d v="2020-07-28T00:00:00"/>
    <n v="2"/>
    <n v="77.150000000000006"/>
    <n v="925.8"/>
    <n v="8000"/>
    <s v="A"/>
    <n v="8000"/>
    <n v="4.92"/>
    <s v="Major Loss"/>
    <n v="59"/>
    <n v="44"/>
    <n v="1"/>
    <n v="6"/>
    <s v="M"/>
    <x v="0"/>
    <x v="1"/>
    <s v="Mortgage"/>
    <n v="1"/>
    <n v="1"/>
    <n v="4554.9359999999997"/>
    <n v="3325.1032799999998"/>
    <n v="-4674.8967200000006"/>
  </r>
  <r>
    <s v="TXN00001570"/>
    <s v="A00002002"/>
    <s v="PLC00009480"/>
    <d v="2012-08-20T00:00:00"/>
    <d v="2020-07-23T00:00:00"/>
    <d v="2020-07-26T00:00:00"/>
    <n v="3"/>
    <n v="112.02"/>
    <n v="1344.24"/>
    <n v="1000"/>
    <s v="A"/>
    <n v="1000"/>
    <n v="3"/>
    <s v="Total Loss"/>
    <n v="36"/>
    <n v="25"/>
    <n v="0"/>
    <n v="7"/>
    <s v="M"/>
    <x v="2"/>
    <x v="4"/>
    <s v="Rent"/>
    <n v="1"/>
    <n v="1"/>
    <n v="4032.7200000000003"/>
    <n v="2943.8856000000001"/>
    <n v="1943.8856000000001"/>
  </r>
  <r>
    <s v="TXN00001580"/>
    <s v="A00005631"/>
    <s v="PLC00002534"/>
    <d v="2013-11-30T00:00:00"/>
    <d v="2020-07-28T00:00:00"/>
    <d v="2020-07-29T00:00:00"/>
    <n v="1"/>
    <n v="94.66"/>
    <n v="1135.92"/>
    <n v="5000"/>
    <s v="A"/>
    <n v="5000"/>
    <n v="2.25"/>
    <s v="Minor Loss"/>
    <n v="27"/>
    <n v="36"/>
    <n v="1"/>
    <n v="3"/>
    <s v="H"/>
    <x v="1"/>
    <x v="1"/>
    <s v="Mortgage"/>
    <n v="1"/>
    <n v="1"/>
    <n v="2555.8200000000002"/>
    <n v="1865.7486000000001"/>
    <n v="-3134.2514000000001"/>
  </r>
  <r>
    <s v="TXN00001587"/>
    <s v="A00000990"/>
    <s v="PLC00005152"/>
    <d v="2012-08-31T00:00:00"/>
    <d v="2020-07-24T00:00:00"/>
    <d v="2020-07-27T00:00:00"/>
    <n v="3"/>
    <n v="116.28"/>
    <n v="1395.36"/>
    <n v="5000"/>
    <s v="A"/>
    <n v="5000"/>
    <n v="1.5"/>
    <s v="Major Loss"/>
    <n v="18"/>
    <n v="56"/>
    <n v="1"/>
    <n v="6"/>
    <s v="H"/>
    <x v="1"/>
    <x v="0"/>
    <s v="Mortgage"/>
    <n v="1"/>
    <n v="0"/>
    <n v="2093.04"/>
    <n v="1527.9192"/>
    <n v="-3472.0807999999997"/>
  </r>
  <r>
    <s v="TXN00001589"/>
    <s v="A00006981"/>
    <s v="PLC00002083"/>
    <d v="2011-01-14T00:00:00"/>
    <d v="2020-08-01T00:00:00"/>
    <d v="2020-08-01T00:00:00"/>
    <n v="0"/>
    <n v="129.79"/>
    <n v="1557.48"/>
    <n v="7000"/>
    <s v="A"/>
    <n v="7000"/>
    <n v="3.17"/>
    <s v="Total Loss"/>
    <n v="38"/>
    <n v="29"/>
    <n v="0"/>
    <n v="6"/>
    <s v="H"/>
    <x v="0"/>
    <x v="0"/>
    <s v="Mortgage"/>
    <n v="1"/>
    <n v="0"/>
    <n v="4937.2115999999996"/>
    <n v="3604.1644679999995"/>
    <n v="-3395.8355320000005"/>
  </r>
  <r>
    <s v="TXN00001591"/>
    <s v="A00002269"/>
    <s v="PLC00006927"/>
    <d v="2016-08-27T00:00:00"/>
    <d v="2020-07-16T00:00:00"/>
    <d v="2020-07-21T00:00:00"/>
    <n v="5"/>
    <n v="110.19"/>
    <n v="1322.28"/>
    <n v="10000"/>
    <s v="A"/>
    <n v="10000"/>
    <n v="2.08"/>
    <s v="Total Loss"/>
    <n v="25"/>
    <n v="42"/>
    <n v="1"/>
    <n v="5"/>
    <s v="M"/>
    <x v="0"/>
    <x v="1"/>
    <s v="Mortgage"/>
    <n v="0"/>
    <n v="0"/>
    <n v="2750.3424"/>
    <n v="2007.7499519999999"/>
    <n v="-7992.2500479999999"/>
  </r>
  <r>
    <s v="TXN00001602"/>
    <s v="A00008570"/>
    <s v="PLC00000635"/>
    <d v="2018-08-23T00:00:00"/>
    <d v="2020-07-14T00:00:00"/>
    <d v="2020-07-19T00:00:00"/>
    <n v="5"/>
    <n v="87.66"/>
    <n v="1051.92"/>
    <n v="5000"/>
    <s v="A"/>
    <n v="5000"/>
    <n v="5.92"/>
    <s v="Total Loss"/>
    <n v="71"/>
    <n v="28"/>
    <n v="1"/>
    <n v="3"/>
    <s v="M"/>
    <x v="2"/>
    <x v="1"/>
    <s v="Rent"/>
    <n v="1"/>
    <n v="0"/>
    <n v="6227.3664000000008"/>
    <n v="4545.9774720000005"/>
    <n v="-454.02252799999951"/>
  </r>
  <r>
    <s v="TXN00001604"/>
    <s v="A00001604"/>
    <s v="PLC00002421"/>
    <d v="2011-05-06T00:00:00"/>
    <d v="2020-08-01T00:00:00"/>
    <d v="2020-08-01T00:00:00"/>
    <n v="0"/>
    <n v="124.2"/>
    <n v="1490.4"/>
    <n v="1000"/>
    <s v="A"/>
    <n v="1000"/>
    <n v="7.5"/>
    <s v="Total Loss"/>
    <n v="90"/>
    <n v="28"/>
    <n v="1"/>
    <n v="6"/>
    <s v="M"/>
    <x v="1"/>
    <x v="1"/>
    <s v="Own"/>
    <n v="1"/>
    <n v="0"/>
    <n v="11178"/>
    <n v="8159.94"/>
    <n v="7159.94"/>
  </r>
  <r>
    <s v="TXN00001605"/>
    <s v="A00003307"/>
    <s v="PLC00009633"/>
    <d v="2012-12-19T00:00:00"/>
    <d v="2020-07-22T00:00:00"/>
    <d v="2020-07-27T00:00:00"/>
    <n v="5"/>
    <n v="78.010000000000005"/>
    <n v="936.12"/>
    <n v="5000"/>
    <s v="A"/>
    <n v="5000"/>
    <n v="7.58"/>
    <s v="Major Loss"/>
    <n v="91"/>
    <n v="63"/>
    <n v="1"/>
    <n v="4"/>
    <s v="L"/>
    <x v="0"/>
    <x v="2"/>
    <s v="Own"/>
    <n v="1"/>
    <n v="1"/>
    <n v="7095.7896000000001"/>
    <n v="5179.9264080000003"/>
    <n v="179.92640800000027"/>
  </r>
  <r>
    <s v="TXN00001608"/>
    <s v="A00002593"/>
    <s v="PLC00006925"/>
    <d v="2017-05-21T00:00:00"/>
    <d v="2020-07-17T00:00:00"/>
    <d v="2020-07-22T00:00:00"/>
    <n v="5"/>
    <n v="98.83"/>
    <n v="1185.96"/>
    <n v="1000"/>
    <s v="A"/>
    <n v="1000"/>
    <n v="4.58"/>
    <s v="Minor Loss"/>
    <n v="55"/>
    <n v="31"/>
    <n v="1"/>
    <n v="3"/>
    <s v="L"/>
    <x v="2"/>
    <x v="1"/>
    <s v="Rent"/>
    <n v="0"/>
    <n v="1"/>
    <n v="5431.6968000000006"/>
    <n v="3965.1386640000005"/>
    <n v="2965.1386640000005"/>
  </r>
  <r>
    <s v="TXN00001609"/>
    <s v="A00006484"/>
    <s v="PLC00006983"/>
    <d v="2018-12-17T00:00:00"/>
    <d v="2020-07-14T00:00:00"/>
    <d v="2020-07-19T00:00:00"/>
    <n v="5"/>
    <n v="89.13"/>
    <n v="1069.56"/>
    <n v="6000"/>
    <s v="A"/>
    <n v="6000"/>
    <n v="3.5"/>
    <s v="Minor Loss"/>
    <n v="42"/>
    <n v="64"/>
    <n v="1"/>
    <n v="3"/>
    <s v="H"/>
    <x v="1"/>
    <x v="1"/>
    <s v="Rent"/>
    <n v="1"/>
    <n v="0"/>
    <n v="3743.46"/>
    <n v="2732.7258000000002"/>
    <n v="-3267.2741999999998"/>
  </r>
  <r>
    <s v="TXN00001613"/>
    <s v="A00001876"/>
    <s v="PLC00000533"/>
    <d v="2010-08-03T00:00:00"/>
    <d v="2020-07-26T00:00:00"/>
    <d v="2020-07-29T00:00:00"/>
    <n v="3"/>
    <n v="92.26"/>
    <n v="1107.1199999999999"/>
    <n v="5000"/>
    <s v="A"/>
    <n v="5000"/>
    <n v="9.92"/>
    <s v="Total Loss"/>
    <n v="119"/>
    <n v="26"/>
    <n v="0"/>
    <n v="4"/>
    <s v="M"/>
    <x v="0"/>
    <x v="3"/>
    <s v="Own"/>
    <n v="1"/>
    <n v="1"/>
    <n v="10982.630399999998"/>
    <n v="8017.3201919999983"/>
    <n v="3017.3201919999983"/>
  </r>
  <r>
    <s v="TXN00001614"/>
    <s v="A00008114"/>
    <s v="PLC00009650"/>
    <d v="2016-02-02T00:00:00"/>
    <d v="2020-08-01T00:00:00"/>
    <d v="2020-08-01T00:00:00"/>
    <n v="0"/>
    <n v="87.29"/>
    <n v="1047.48"/>
    <n v="9000"/>
    <s v="A"/>
    <n v="9000"/>
    <n v="1.5"/>
    <s v="Minor Loss"/>
    <n v="18"/>
    <n v="29"/>
    <n v="0"/>
    <n v="7"/>
    <s v="L"/>
    <x v="2"/>
    <x v="1"/>
    <s v="Own"/>
    <n v="0"/>
    <n v="1"/>
    <n v="1571.22"/>
    <n v="1146.9906000000001"/>
    <n v="-7853.0093999999999"/>
  </r>
  <r>
    <s v="TXN00001615"/>
    <s v="A00004911"/>
    <s v="PLC00000693"/>
    <d v="2015-04-24T00:00:00"/>
    <d v="2020-08-02T00:00:00"/>
    <d v="2020-08-02T00:00:00"/>
    <n v="0"/>
    <n v="84.96"/>
    <n v="1019.52"/>
    <n v="7000"/>
    <s v="A"/>
    <n v="7000"/>
    <n v="5.17"/>
    <s v="Major Loss"/>
    <n v="62"/>
    <n v="57"/>
    <n v="1"/>
    <n v="4"/>
    <s v="M"/>
    <x v="1"/>
    <x v="4"/>
    <s v="Rent"/>
    <n v="1"/>
    <n v="1"/>
    <n v="5270.9183999999996"/>
    <n v="3847.7704319999998"/>
    <n v="-3152.2295680000002"/>
  </r>
  <r>
    <s v="TXN00001616"/>
    <s v="A00002437"/>
    <s v="PLC00005905"/>
    <d v="2014-10-26T00:00:00"/>
    <d v="2020-07-17T00:00:00"/>
    <d v="2020-07-22T00:00:00"/>
    <n v="5"/>
    <n v="82.97"/>
    <n v="995.64"/>
    <n v="5000"/>
    <s v="A"/>
    <n v="5000"/>
    <n v="1.58"/>
    <s v="Minor Loss"/>
    <n v="19"/>
    <n v="54"/>
    <n v="1"/>
    <n v="4"/>
    <s v="M"/>
    <x v="0"/>
    <x v="1"/>
    <s v="Mortgage"/>
    <n v="1"/>
    <n v="1"/>
    <n v="1573.1112000000001"/>
    <n v="1148.3711760000001"/>
    <n v="-3851.6288239999999"/>
  </r>
  <r>
    <s v="TXN00001620"/>
    <s v="A00002627"/>
    <s v="PLC00008084"/>
    <d v="2015-03-13T00:00:00"/>
    <d v="2020-07-30T00:00:00"/>
    <d v="2020-07-31T00:00:00"/>
    <n v="1"/>
    <n v="105.45"/>
    <n v="1265.4000000000001"/>
    <n v="10000"/>
    <s v="A"/>
    <n v="10000"/>
    <n v="2.08"/>
    <s v="Minor Loss"/>
    <n v="25"/>
    <n v="49"/>
    <n v="1"/>
    <n v="2"/>
    <s v="M"/>
    <x v="2"/>
    <x v="6"/>
    <s v="Rent"/>
    <n v="1"/>
    <n v="1"/>
    <n v="2632.0320000000002"/>
    <n v="1921.38336"/>
    <n v="-8078.6166400000002"/>
  </r>
  <r>
    <s v="TXN00001625"/>
    <s v="A00006856"/>
    <s v="PLC00004329"/>
    <d v="2012-03-28T00:00:00"/>
    <d v="2020-07-29T00:00:00"/>
    <d v="2020-07-31T00:00:00"/>
    <n v="2"/>
    <n v="101.01"/>
    <n v="1212.1199999999999"/>
    <n v="8000"/>
    <s v="A"/>
    <n v="8000"/>
    <n v="6.83"/>
    <s v="Total Loss"/>
    <n v="82"/>
    <n v="30"/>
    <n v="1"/>
    <n v="6"/>
    <s v="H"/>
    <x v="1"/>
    <x v="2"/>
    <s v="Mortgage"/>
    <n v="0"/>
    <n v="1"/>
    <n v="8278.7795999999998"/>
    <n v="6043.5091079999993"/>
    <n v="-1956.4908920000007"/>
  </r>
  <r>
    <s v="TXN00001626"/>
    <s v="A00006166"/>
    <s v="PLC00004473"/>
    <d v="2011-08-03T00:00:00"/>
    <d v="2020-07-17T00:00:00"/>
    <d v="2020-07-22T00:00:00"/>
    <n v="5"/>
    <n v="111.1"/>
    <n v="1333.2"/>
    <n v="7000"/>
    <s v="A"/>
    <n v="7000"/>
    <n v="1.5"/>
    <s v="Major Loss"/>
    <n v="18"/>
    <n v="26"/>
    <n v="0"/>
    <n v="4"/>
    <s v="M"/>
    <x v="2"/>
    <x v="0"/>
    <s v="Rent"/>
    <n v="1"/>
    <n v="0"/>
    <n v="1999.8000000000002"/>
    <n v="1459.854"/>
    <n v="-5540.1459999999997"/>
  </r>
  <r>
    <s v="TXN00001628"/>
    <s v="A00001204"/>
    <s v="PLC00000964"/>
    <d v="2013-06-14T00:00:00"/>
    <d v="2020-07-20T00:00:00"/>
    <d v="2020-07-25T00:00:00"/>
    <n v="5"/>
    <n v="99.91"/>
    <n v="1198.92"/>
    <n v="1000"/>
    <s v="A"/>
    <n v="1000"/>
    <n v="3.67"/>
    <s v="Minor Loss"/>
    <n v="44"/>
    <n v="49"/>
    <n v="1"/>
    <n v="7"/>
    <s v="M"/>
    <x v="0"/>
    <x v="4"/>
    <s v="Own"/>
    <n v="1"/>
    <n v="0"/>
    <n v="4400.0364"/>
    <n v="3212.0265719999998"/>
    <n v="2212.0265719999998"/>
  </r>
  <r>
    <s v="TXN00001629"/>
    <s v="A00007178"/>
    <s v="PLC00006330"/>
    <d v="2012-09-11T00:00:00"/>
    <d v="2020-07-25T00:00:00"/>
    <d v="2020-07-28T00:00:00"/>
    <n v="3"/>
    <n v="76.52"/>
    <n v="918.24"/>
    <n v="2000"/>
    <s v="A"/>
    <n v="2000"/>
    <n v="8.83"/>
    <s v="Minor Loss"/>
    <n v="106"/>
    <n v="52"/>
    <n v="0"/>
    <n v="6"/>
    <s v="M"/>
    <x v="1"/>
    <x v="0"/>
    <s v="Mortgage"/>
    <n v="0"/>
    <n v="0"/>
    <n v="8108.0591999999997"/>
    <n v="5918.8832159999993"/>
    <n v="3918.8832159999993"/>
  </r>
  <r>
    <s v="TXN00001641"/>
    <s v="A00009183"/>
    <s v="PLC00006588"/>
    <d v="2014-05-21T00:00:00"/>
    <d v="2020-07-30T00:00:00"/>
    <d v="2020-08-01T00:00:00"/>
    <n v="2"/>
    <n v="116.92"/>
    <n v="1403.04"/>
    <n v="1000"/>
    <s v="A"/>
    <n v="1000"/>
    <n v="7.83"/>
    <s v="Total Loss"/>
    <n v="94"/>
    <n v="44"/>
    <n v="1"/>
    <n v="5"/>
    <s v="L"/>
    <x v="0"/>
    <x v="1"/>
    <s v="Rent"/>
    <n v="0"/>
    <n v="1"/>
    <n v="10985.8032"/>
    <n v="8019.6363359999996"/>
    <n v="7019.6363359999996"/>
  </r>
  <r>
    <s v="TXN00001649"/>
    <s v="A00000364"/>
    <s v="PLC00007111"/>
    <d v="2015-08-28T00:00:00"/>
    <d v="2020-07-26T00:00:00"/>
    <d v="2020-07-29T00:00:00"/>
    <n v="3"/>
    <n v="95.05"/>
    <n v="1140.5999999999999"/>
    <n v="8000"/>
    <s v="A"/>
    <n v="8000"/>
    <n v="3.67"/>
    <s v="Major Loss"/>
    <n v="44"/>
    <n v="62"/>
    <n v="0"/>
    <n v="6"/>
    <s v="M"/>
    <x v="0"/>
    <x v="5"/>
    <s v="Mortgage"/>
    <n v="1"/>
    <n v="1"/>
    <n v="4186.0019999999995"/>
    <n v="3055.7814599999997"/>
    <n v="-4944.2185399999998"/>
  </r>
  <r>
    <s v="TXN00001652"/>
    <s v="A00002343"/>
    <s v="PLC00000156"/>
    <d v="2014-07-25T00:00:00"/>
    <d v="2020-07-31T00:00:00"/>
    <d v="2020-08-01T00:00:00"/>
    <n v="1"/>
    <n v="95.82"/>
    <n v="1149.8399999999999"/>
    <n v="1000"/>
    <s v="A"/>
    <n v="1000"/>
    <n v="1.58"/>
    <s v="Major Loss"/>
    <n v="19"/>
    <n v="40"/>
    <n v="1"/>
    <n v="6"/>
    <s v="M"/>
    <x v="1"/>
    <x v="1"/>
    <s v="Mortgage"/>
    <n v="0"/>
    <n v="1"/>
    <n v="1816.7472"/>
    <n v="1326.2254559999999"/>
    <n v="326.22545599999989"/>
  </r>
  <r>
    <s v="TXN00001653"/>
    <s v="A00003223"/>
    <s v="PLC00009095"/>
    <d v="2012-11-30T00:00:00"/>
    <d v="2020-07-23T00:00:00"/>
    <d v="2020-07-28T00:00:00"/>
    <n v="5"/>
    <n v="72.56"/>
    <n v="870.72"/>
    <n v="5000"/>
    <s v="D"/>
    <n v="0"/>
    <n v="7.08"/>
    <s v="Major Loss"/>
    <n v="85"/>
    <n v="41"/>
    <n v="1"/>
    <n v="2"/>
    <s v="L"/>
    <x v="1"/>
    <x v="0"/>
    <s v="Mortgage"/>
    <n v="1"/>
    <n v="1"/>
    <n v="6164.6976000000004"/>
    <n v="4500.2292480000006"/>
    <n v="4500.2292480000006"/>
  </r>
  <r>
    <s v="TXN00001672"/>
    <s v="A00008712"/>
    <s v="PLC00002235"/>
    <d v="2013-12-07T00:00:00"/>
    <d v="2020-07-26T00:00:00"/>
    <d v="2020-07-31T00:00:00"/>
    <n v="5"/>
    <n v="132.65"/>
    <n v="1591.8"/>
    <n v="2000"/>
    <s v="A"/>
    <n v="2000"/>
    <n v="2.83"/>
    <s v="Minor Loss"/>
    <n v="34"/>
    <n v="57"/>
    <n v="0"/>
    <n v="5"/>
    <s v="M"/>
    <x v="2"/>
    <x v="1"/>
    <s v="Rent"/>
    <n v="0"/>
    <n v="0"/>
    <n v="4504.7939999999999"/>
    <n v="3288.49962"/>
    <n v="1288.49962"/>
  </r>
  <r>
    <s v="TXN00001678"/>
    <s v="A00000580"/>
    <s v="PLC00002675"/>
    <d v="2016-09-13T00:00:00"/>
    <d v="2020-07-18T00:00:00"/>
    <d v="2020-07-23T00:00:00"/>
    <n v="5"/>
    <n v="90.07"/>
    <n v="1080.8399999999999"/>
    <n v="5000"/>
    <s v="A"/>
    <n v="5000"/>
    <n v="1.83"/>
    <s v="Total Loss"/>
    <n v="22"/>
    <n v="34"/>
    <n v="1"/>
    <n v="7"/>
    <s v="L"/>
    <x v="1"/>
    <x v="2"/>
    <s v="Rent"/>
    <n v="1"/>
    <n v="0"/>
    <n v="1977.9371999999998"/>
    <n v="1443.8941559999998"/>
    <n v="-3556.1058440000002"/>
  </r>
  <r>
    <s v="TXN00001686"/>
    <s v="A00000276"/>
    <s v="PLC00003760"/>
    <d v="2013-01-15T00:00:00"/>
    <d v="2020-07-20T00:00:00"/>
    <d v="2020-07-25T00:00:00"/>
    <n v="5"/>
    <n v="111.37"/>
    <n v="1336.44"/>
    <n v="7000"/>
    <s v="A"/>
    <n v="7000"/>
    <n v="1.25"/>
    <s v="Major Loss"/>
    <n v="15"/>
    <n v="51"/>
    <n v="1"/>
    <n v="5"/>
    <s v="H"/>
    <x v="0"/>
    <x v="5"/>
    <s v="Own"/>
    <n v="1"/>
    <n v="0"/>
    <n v="1670.5500000000002"/>
    <n v="1219.5015000000001"/>
    <n v="-5780.4984999999997"/>
  </r>
  <r>
    <s v="TXN00001687"/>
    <s v="A00004995"/>
    <s v="PLC00007098"/>
    <d v="2017-08-21T00:00:00"/>
    <d v="2020-07-25T00:00:00"/>
    <d v="2020-07-30T00:00:00"/>
    <n v="5"/>
    <n v="70.78"/>
    <n v="849.36"/>
    <n v="4000"/>
    <s v="A"/>
    <n v="4000"/>
    <n v="1.08"/>
    <s v="Total Loss"/>
    <n v="13"/>
    <n v="50"/>
    <n v="1"/>
    <n v="3"/>
    <s v="L"/>
    <x v="1"/>
    <x v="1"/>
    <s v="Own"/>
    <n v="0"/>
    <n v="1"/>
    <n v="917.30880000000002"/>
    <n v="669.63542399999994"/>
    <n v="-3330.3645759999999"/>
  </r>
  <r>
    <s v="TXN00001689"/>
    <s v="A00005431"/>
    <s v="PLC00003761"/>
    <d v="2018-05-27T00:00:00"/>
    <d v="2020-07-28T00:00:00"/>
    <d v="2020-07-31T00:00:00"/>
    <n v="3"/>
    <n v="74.989999999999995"/>
    <n v="899.88"/>
    <n v="8000"/>
    <s v="A"/>
    <n v="8000"/>
    <n v="6.58"/>
    <s v="Major Loss"/>
    <n v="79"/>
    <n v="46"/>
    <n v="0"/>
    <n v="7"/>
    <s v="L"/>
    <x v="2"/>
    <x v="0"/>
    <s v="Mortgage"/>
    <n v="1"/>
    <n v="1"/>
    <n v="5921.2103999999999"/>
    <n v="4322.4835919999996"/>
    <n v="-3677.5164080000004"/>
  </r>
  <r>
    <s v="TXN00001700"/>
    <s v="A00007197"/>
    <s v="PLC00008411"/>
    <d v="2017-07-19T00:00:00"/>
    <d v="2020-07-28T00:00:00"/>
    <d v="2020-07-31T00:00:00"/>
    <n v="3"/>
    <n v="118.17"/>
    <n v="1418.04"/>
    <n v="1000"/>
    <s v="A"/>
    <n v="1000"/>
    <n v="2.33"/>
    <s v="Major Loss"/>
    <n v="28"/>
    <n v="45"/>
    <n v="1"/>
    <n v="6"/>
    <s v="L"/>
    <x v="0"/>
    <x v="1"/>
    <s v="Own"/>
    <n v="1"/>
    <n v="1"/>
    <n v="3304.0331999999999"/>
    <n v="2411.9442359999998"/>
    <n v="1411.9442359999998"/>
  </r>
  <r>
    <s v="TXN00001701"/>
    <s v="A00004618"/>
    <s v="PLC00004124"/>
    <d v="2018-11-01T00:00:00"/>
    <d v="2020-08-03T00:00:00"/>
    <d v="2020-08-04T00:00:00"/>
    <n v="1"/>
    <n v="130.9"/>
    <n v="1570.8"/>
    <n v="5000"/>
    <s v="A"/>
    <n v="5000"/>
    <n v="2.92"/>
    <s v="Major Loss"/>
    <n v="35"/>
    <n v="38"/>
    <n v="1"/>
    <n v="7"/>
    <s v="M"/>
    <x v="0"/>
    <x v="0"/>
    <s v="Own"/>
    <n v="1"/>
    <n v="1"/>
    <n v="4586.7359999999999"/>
    <n v="3348.3172799999998"/>
    <n v="-1651.6827200000002"/>
  </r>
  <r>
    <s v="TXN00001705"/>
    <s v="A00001976"/>
    <s v="PLC00004740"/>
    <d v="2012-12-27T00:00:00"/>
    <d v="2020-08-06T00:00:00"/>
    <d v="2020-08-06T00:00:00"/>
    <n v="0"/>
    <n v="77.5"/>
    <n v="930"/>
    <n v="4000"/>
    <s v="A"/>
    <n v="4000"/>
    <n v="5.08"/>
    <s v="Major Loss"/>
    <n v="61"/>
    <n v="31"/>
    <n v="1"/>
    <n v="6"/>
    <s v="H"/>
    <x v="0"/>
    <x v="1"/>
    <s v="Rent"/>
    <n v="0"/>
    <n v="0"/>
    <n v="4724.3999999999996"/>
    <n v="3448.8119999999994"/>
    <n v="-551.18800000000056"/>
  </r>
  <r>
    <s v="TXN00001711"/>
    <s v="A00009302"/>
    <s v="PLC00008158"/>
    <d v="2018-12-19T00:00:00"/>
    <d v="2020-07-30T00:00:00"/>
    <d v="2020-08-02T00:00:00"/>
    <n v="3"/>
    <n v="107.35"/>
    <n v="1288.2"/>
    <n v="1000"/>
    <s v="A"/>
    <n v="1000"/>
    <n v="4.58"/>
    <s v="Total Loss"/>
    <n v="55"/>
    <n v="38"/>
    <n v="0"/>
    <n v="6"/>
    <s v="M"/>
    <x v="0"/>
    <x v="0"/>
    <s v="Mortgage"/>
    <n v="1"/>
    <n v="0"/>
    <n v="5899.9560000000001"/>
    <n v="4306.9678800000002"/>
    <n v="3306.9678800000002"/>
  </r>
  <r>
    <s v="TXN00001712"/>
    <s v="A00005681"/>
    <s v="PLC00009526"/>
    <d v="2011-09-10T00:00:00"/>
    <d v="2020-07-28T00:00:00"/>
    <d v="2020-08-02T00:00:00"/>
    <n v="5"/>
    <n v="113.54"/>
    <n v="1362.48"/>
    <n v="10000"/>
    <s v="A"/>
    <n v="10000"/>
    <n v="7.75"/>
    <s v="Minor Loss"/>
    <n v="93"/>
    <n v="40"/>
    <n v="1"/>
    <n v="5"/>
    <s v="H"/>
    <x v="2"/>
    <x v="1"/>
    <s v="Rent"/>
    <n v="1"/>
    <n v="1"/>
    <n v="10559.22"/>
    <n v="7708.230599999999"/>
    <n v="-2291.769400000001"/>
  </r>
  <r>
    <s v="TXN00001716"/>
    <s v="A00007043"/>
    <s v="PLC00006123"/>
    <d v="2012-04-19T00:00:00"/>
    <d v="2020-07-27T00:00:00"/>
    <d v="2020-08-01T00:00:00"/>
    <n v="5"/>
    <n v="136.57"/>
    <n v="1638.84"/>
    <n v="1000"/>
    <s v="A"/>
    <n v="1000"/>
    <n v="0.92"/>
    <s v="Total Loss"/>
    <n v="11"/>
    <n v="56"/>
    <n v="1"/>
    <n v="4"/>
    <s v="H"/>
    <x v="0"/>
    <x v="1"/>
    <s v="Own"/>
    <n v="1"/>
    <n v="0"/>
    <n v="1507.7328"/>
    <n v="1100.6449439999999"/>
    <n v="100.6449439999999"/>
  </r>
  <r>
    <s v="TXN00001719"/>
    <s v="A00004180"/>
    <s v="PLC00008562"/>
    <d v="2018-10-21T00:00:00"/>
    <d v="2020-07-30T00:00:00"/>
    <d v="2020-08-02T00:00:00"/>
    <n v="3"/>
    <n v="88.49"/>
    <n v="1061.8800000000001"/>
    <n v="5000"/>
    <s v="A"/>
    <n v="5000"/>
    <n v="3.42"/>
    <s v="Major Loss"/>
    <n v="41"/>
    <n v="38"/>
    <n v="1"/>
    <n v="3"/>
    <s v="L"/>
    <x v="2"/>
    <x v="4"/>
    <s v="Rent"/>
    <n v="1"/>
    <n v="1"/>
    <n v="3631.6296000000002"/>
    <n v="2651.0896080000002"/>
    <n v="-2348.9103919999998"/>
  </r>
  <r>
    <s v="TXN00001725"/>
    <s v="A00005905"/>
    <s v="PLC00003121"/>
    <d v="2011-02-23T00:00:00"/>
    <d v="2020-07-20T00:00:00"/>
    <d v="2020-07-25T00:00:00"/>
    <n v="5"/>
    <n v="116.06"/>
    <n v="1392.72"/>
    <n v="1000"/>
    <s v="A"/>
    <n v="1000"/>
    <n v="9.67"/>
    <s v="Minor Loss"/>
    <n v="116"/>
    <n v="53"/>
    <n v="1"/>
    <n v="6"/>
    <s v="L"/>
    <x v="2"/>
    <x v="4"/>
    <s v="Mortgage"/>
    <n v="1"/>
    <n v="1"/>
    <n v="13467.6024"/>
    <n v="9831.3497520000001"/>
    <n v="8831.3497520000001"/>
  </r>
  <r>
    <s v="TXN00001729"/>
    <s v="A00005503"/>
    <s v="PLC00000986"/>
    <d v="2014-07-12T00:00:00"/>
    <d v="2020-07-26T00:00:00"/>
    <d v="2020-07-31T00:00:00"/>
    <n v="5"/>
    <n v="96.11"/>
    <n v="1153.32"/>
    <n v="3000"/>
    <s v="A"/>
    <n v="3000"/>
    <n v="9.08"/>
    <s v="Major Loss"/>
    <n v="109"/>
    <n v="30"/>
    <n v="1"/>
    <n v="5"/>
    <s v="M"/>
    <x v="0"/>
    <x v="4"/>
    <s v="Mortgage"/>
    <n v="1"/>
    <n v="1"/>
    <n v="10472.1456"/>
    <n v="7644.6662879999994"/>
    <n v="4644.6662879999994"/>
  </r>
  <r>
    <s v="TXN00001752"/>
    <s v="A00006281"/>
    <s v="PLC00007720"/>
    <d v="2013-09-07T00:00:00"/>
    <d v="2020-08-07T00:00:00"/>
    <d v="2020-08-07T00:00:00"/>
    <n v="0"/>
    <n v="96.55"/>
    <n v="1158.5999999999999"/>
    <n v="6000"/>
    <s v="A"/>
    <n v="6000"/>
    <n v="7.17"/>
    <s v="Major Loss"/>
    <n v="86"/>
    <n v="42"/>
    <n v="1"/>
    <n v="4"/>
    <s v="H"/>
    <x v="1"/>
    <x v="0"/>
    <s v="Mortgage"/>
    <n v="1"/>
    <n v="1"/>
    <n v="8307.1619999999984"/>
    <n v="6064.228259999999"/>
    <n v="64.228259999998954"/>
  </r>
  <r>
    <s v="TXN00001755"/>
    <s v="A00002279"/>
    <s v="PLC00009291"/>
    <d v="2017-09-28T00:00:00"/>
    <d v="2020-07-25T00:00:00"/>
    <d v="2020-07-30T00:00:00"/>
    <n v="5"/>
    <n v="137.37"/>
    <n v="1648.44"/>
    <n v="4000"/>
    <s v="A"/>
    <n v="4000"/>
    <n v="5.33"/>
    <s v="Minor Loss"/>
    <n v="64"/>
    <n v="30"/>
    <n v="1"/>
    <n v="7"/>
    <s v="L"/>
    <x v="0"/>
    <x v="0"/>
    <s v="Mortgage"/>
    <n v="0"/>
    <n v="1"/>
    <n v="8786.1851999999999"/>
    <n v="6413.9151959999999"/>
    <n v="2413.9151959999999"/>
  </r>
  <r>
    <s v="TXN00001769"/>
    <s v="A00001573"/>
    <s v="PLC00006056"/>
    <d v="2018-07-13T00:00:00"/>
    <d v="2020-07-21T00:00:00"/>
    <d v="2020-07-26T00:00:00"/>
    <n v="5"/>
    <n v="110.64"/>
    <n v="1327.68"/>
    <n v="4000"/>
    <s v="A"/>
    <n v="4000"/>
    <n v="4.08"/>
    <s v="Major Loss"/>
    <n v="49"/>
    <n v="57"/>
    <n v="0"/>
    <n v="4"/>
    <s v="M"/>
    <x v="2"/>
    <x v="1"/>
    <s v="Rent"/>
    <n v="1"/>
    <n v="0"/>
    <n v="5416.9344000000001"/>
    <n v="3954.3621119999998"/>
    <n v="-45.637888000000203"/>
  </r>
  <r>
    <s v="TXN00001776"/>
    <s v="A00007347"/>
    <s v="PLC00000547"/>
    <d v="2018-08-13T00:00:00"/>
    <d v="2020-07-28T00:00:00"/>
    <d v="2020-08-02T00:00:00"/>
    <n v="5"/>
    <n v="83.24"/>
    <n v="998.88"/>
    <n v="6000"/>
    <s v="A"/>
    <n v="6000"/>
    <n v="3.75"/>
    <s v="Minor Loss"/>
    <n v="45"/>
    <n v="34"/>
    <n v="1"/>
    <n v="2"/>
    <s v="L"/>
    <x v="1"/>
    <x v="2"/>
    <s v="Own"/>
    <n v="1"/>
    <n v="1"/>
    <n v="3745.8"/>
    <n v="2734.4340000000002"/>
    <n v="-3265.5659999999998"/>
  </r>
  <r>
    <s v="TXN00001787"/>
    <s v="A00000926"/>
    <s v="PLC00005577"/>
    <d v="2014-08-25T00:00:00"/>
    <d v="2020-07-28T00:00:00"/>
    <d v="2020-08-02T00:00:00"/>
    <n v="5"/>
    <n v="124.98"/>
    <n v="1499.76"/>
    <n v="5000"/>
    <s v="A"/>
    <n v="5000"/>
    <n v="7"/>
    <s v="Major Loss"/>
    <n v="84"/>
    <n v="61"/>
    <n v="1"/>
    <n v="5"/>
    <s v="L"/>
    <x v="1"/>
    <x v="1"/>
    <s v="Own"/>
    <n v="1"/>
    <n v="1"/>
    <n v="10498.32"/>
    <n v="7663.7735999999995"/>
    <n v="2663.7735999999995"/>
  </r>
  <r>
    <s v="TXN00001802"/>
    <s v="A00001638"/>
    <s v="PLC00007288"/>
    <d v="2012-08-15T00:00:00"/>
    <d v="2020-07-29T00:00:00"/>
    <d v="2020-08-03T00:00:00"/>
    <n v="5"/>
    <n v="127.24"/>
    <n v="1526.88"/>
    <n v="7000"/>
    <s v="A"/>
    <n v="7000"/>
    <n v="9.75"/>
    <s v="Total Loss"/>
    <n v="117"/>
    <n v="47"/>
    <n v="1"/>
    <n v="2"/>
    <s v="L"/>
    <x v="0"/>
    <x v="6"/>
    <s v="Own"/>
    <n v="0"/>
    <n v="1"/>
    <n v="14887.080000000002"/>
    <n v="10867.5684"/>
    <n v="3867.5684000000001"/>
  </r>
  <r>
    <s v="TXN00001804"/>
    <s v="A00002661"/>
    <s v="PLC00000589"/>
    <d v="2017-06-04T00:00:00"/>
    <d v="2020-08-06T00:00:00"/>
    <d v="2020-08-08T00:00:00"/>
    <n v="2"/>
    <n v="82.37"/>
    <n v="988.44"/>
    <n v="6000"/>
    <s v="A"/>
    <n v="6000"/>
    <n v="1.08"/>
    <s v="Major Loss"/>
    <n v="13"/>
    <n v="64"/>
    <n v="1"/>
    <n v="2"/>
    <s v="H"/>
    <x v="1"/>
    <x v="0"/>
    <s v="Mortgage"/>
    <n v="1"/>
    <n v="1"/>
    <n v="1067.5152"/>
    <n v="779.28609600000004"/>
    <n v="-5220.7139040000002"/>
  </r>
  <r>
    <s v="TXN00001811"/>
    <s v="A00001243"/>
    <s v="PLC00008191"/>
    <d v="2014-02-12T00:00:00"/>
    <d v="2020-07-23T00:00:00"/>
    <d v="2020-07-28T00:00:00"/>
    <n v="5"/>
    <n v="96.91"/>
    <n v="1162.92"/>
    <n v="4000"/>
    <s v="A"/>
    <n v="4000"/>
    <n v="7.25"/>
    <s v="Major Loss"/>
    <n v="87"/>
    <n v="47"/>
    <n v="1"/>
    <n v="4"/>
    <s v="L"/>
    <x v="2"/>
    <x v="1"/>
    <s v="Mortgage"/>
    <n v="0"/>
    <n v="0"/>
    <n v="8431.17"/>
    <n v="6154.7541000000001"/>
    <n v="2154.7541000000001"/>
  </r>
  <r>
    <s v="TXN00001824"/>
    <s v="A00008704"/>
    <s v="PLC00001783"/>
    <d v="2010-07-16T00:00:00"/>
    <d v="2020-08-01T00:00:00"/>
    <d v="2020-08-06T00:00:00"/>
    <n v="5"/>
    <n v="100.46"/>
    <n v="1205.52"/>
    <n v="2000"/>
    <s v="A"/>
    <n v="2000"/>
    <n v="1.75"/>
    <s v="Total Loss"/>
    <n v="21"/>
    <n v="58"/>
    <n v="1"/>
    <n v="7"/>
    <s v="L"/>
    <x v="2"/>
    <x v="1"/>
    <s v="Mortgage"/>
    <n v="0"/>
    <n v="1"/>
    <n v="2109.66"/>
    <n v="1540.0518"/>
    <n v="-459.94820000000004"/>
  </r>
  <r>
    <s v="TXN00001827"/>
    <s v="A00006821"/>
    <s v="PLC00009392"/>
    <d v="2015-01-15T00:00:00"/>
    <d v="2020-08-09T00:00:00"/>
    <d v="2020-08-10T00:00:00"/>
    <n v="1"/>
    <n v="123.35"/>
    <n v="1480.2"/>
    <n v="5000"/>
    <s v="A"/>
    <n v="5000"/>
    <n v="2.67"/>
    <s v="Total Loss"/>
    <n v="32"/>
    <n v="57"/>
    <n v="1"/>
    <n v="2"/>
    <s v="M"/>
    <x v="0"/>
    <x v="1"/>
    <s v="Rent"/>
    <n v="0"/>
    <n v="0"/>
    <n v="3952.134"/>
    <n v="2885.05782"/>
    <n v="-2114.94218"/>
  </r>
  <r>
    <s v="TXN00001830"/>
    <s v="A00007734"/>
    <s v="PLC00001507"/>
    <d v="2013-05-05T00:00:00"/>
    <d v="2020-08-12T00:00:00"/>
    <d v="2020-08-12T00:00:00"/>
    <n v="0"/>
    <n v="110.87"/>
    <n v="1330.44"/>
    <n v="10000"/>
    <s v="A"/>
    <n v="10000"/>
    <n v="3.58"/>
    <s v="Major Loss"/>
    <n v="43"/>
    <n v="49"/>
    <n v="1"/>
    <n v="6"/>
    <s v="L"/>
    <x v="0"/>
    <x v="5"/>
    <s v="Mortgage"/>
    <n v="0"/>
    <n v="1"/>
    <n v="4762.9751999999999"/>
    <n v="3476.971896"/>
    <n v="-6523.028104"/>
  </r>
  <r>
    <s v="TXN00001834"/>
    <s v="A00008429"/>
    <s v="PLC00001105"/>
    <d v="2013-01-06T00:00:00"/>
    <d v="2020-07-29T00:00:00"/>
    <d v="2020-08-03T00:00:00"/>
    <n v="5"/>
    <n v="117.92"/>
    <n v="1415.04"/>
    <n v="8000"/>
    <s v="A"/>
    <n v="8000"/>
    <n v="6.83"/>
    <s v="Total Loss"/>
    <n v="82"/>
    <n v="33"/>
    <n v="1"/>
    <n v="5"/>
    <s v="M"/>
    <x v="0"/>
    <x v="1"/>
    <s v="Mortgage"/>
    <n v="1"/>
    <n v="1"/>
    <n v="9664.7232000000004"/>
    <n v="7055.2479359999998"/>
    <n v="-944.75206400000025"/>
  </r>
  <r>
    <s v="TXN00001857"/>
    <s v="A00000070"/>
    <s v="PLC00002812"/>
    <d v="2016-02-17T00:00:00"/>
    <d v="2020-08-09T00:00:00"/>
    <d v="2020-08-10T00:00:00"/>
    <n v="1"/>
    <n v="118.25"/>
    <n v="1419"/>
    <n v="1000"/>
    <s v="A"/>
    <n v="1000"/>
    <n v="4.92"/>
    <s v="Major Loss"/>
    <n v="59"/>
    <n v="32"/>
    <n v="0"/>
    <n v="3"/>
    <s v="H"/>
    <x v="2"/>
    <x v="2"/>
    <s v="Own"/>
    <n v="1"/>
    <n v="1"/>
    <n v="6981.48"/>
    <n v="5096.4803999999995"/>
    <n v="4096.4803999999995"/>
  </r>
  <r>
    <s v="TXN00001859"/>
    <s v="A00002275"/>
    <s v="PLC00005110"/>
    <d v="2018-07-30T00:00:00"/>
    <d v="2020-08-05T00:00:00"/>
    <d v="2020-08-08T00:00:00"/>
    <n v="3"/>
    <n v="134.28"/>
    <n v="1611.36"/>
    <n v="2000"/>
    <s v="A"/>
    <n v="2000"/>
    <n v="3.92"/>
    <s v="Major Loss"/>
    <n v="47"/>
    <n v="36"/>
    <n v="0"/>
    <n v="3"/>
    <s v="L"/>
    <x v="0"/>
    <x v="3"/>
    <s v="Rent"/>
    <n v="1"/>
    <n v="0"/>
    <n v="6316.5311999999994"/>
    <n v="4611.0677759999999"/>
    <n v="2611.0677759999999"/>
  </r>
  <r>
    <s v="TXN00001861"/>
    <s v="A00009873"/>
    <s v="PLC00005250"/>
    <d v="2015-12-29T00:00:00"/>
    <d v="2020-07-31T00:00:00"/>
    <d v="2020-08-05T00:00:00"/>
    <n v="5"/>
    <n v="109.4"/>
    <n v="1312.8"/>
    <n v="8000"/>
    <s v="A"/>
    <n v="8000"/>
    <n v="9.25"/>
    <s v="Total Loss"/>
    <n v="111"/>
    <n v="42"/>
    <n v="1"/>
    <n v="3"/>
    <s v="M"/>
    <x v="0"/>
    <x v="1"/>
    <s v="Rent"/>
    <n v="1"/>
    <n v="1"/>
    <n v="12143.4"/>
    <n v="8864.6819999999989"/>
    <n v="864.68199999999888"/>
  </r>
  <r>
    <s v="TXN00001871"/>
    <s v="A00005480"/>
    <s v="PLC00005702"/>
    <d v="2014-06-04T00:00:00"/>
    <d v="2020-07-31T00:00:00"/>
    <d v="2020-08-05T00:00:00"/>
    <n v="5"/>
    <n v="123.54"/>
    <n v="1482.48"/>
    <n v="1000"/>
    <s v="A"/>
    <n v="1000"/>
    <n v="3.92"/>
    <s v="Minor Loss"/>
    <n v="47"/>
    <n v="29"/>
    <n v="1"/>
    <n v="2"/>
    <s v="L"/>
    <x v="2"/>
    <x v="4"/>
    <s v="Rent"/>
    <n v="1"/>
    <n v="1"/>
    <n v="5811.3216000000002"/>
    <n v="4242.264768"/>
    <n v="3242.264768"/>
  </r>
  <r>
    <s v="TXN00001876"/>
    <s v="A00002229"/>
    <s v="PLC00002120"/>
    <d v="2018-10-24T00:00:00"/>
    <d v="2020-07-28T00:00:00"/>
    <d v="2020-08-02T00:00:00"/>
    <n v="5"/>
    <n v="133.62"/>
    <n v="1603.44"/>
    <n v="3000"/>
    <s v="A"/>
    <n v="3000"/>
    <n v="7.17"/>
    <s v="Total Loss"/>
    <n v="86"/>
    <n v="56"/>
    <n v="1"/>
    <n v="4"/>
    <s v="H"/>
    <x v="0"/>
    <x v="1"/>
    <s v="Mortgage"/>
    <n v="1"/>
    <n v="1"/>
    <n v="11496.6648"/>
    <n v="8392.5653039999997"/>
    <n v="5392.5653039999997"/>
  </r>
  <r>
    <s v="TXN00001883"/>
    <s v="A00007882"/>
    <s v="PLC00002146"/>
    <d v="2017-02-20T00:00:00"/>
    <d v="2020-08-14T00:00:00"/>
    <d v="2020-08-14T00:00:00"/>
    <n v="0"/>
    <n v="103.88"/>
    <n v="1246.56"/>
    <n v="9000"/>
    <s v="A"/>
    <n v="9000"/>
    <n v="1.42"/>
    <s v="Major Loss"/>
    <n v="17"/>
    <n v="25"/>
    <n v="1"/>
    <n v="3"/>
    <s v="M"/>
    <x v="0"/>
    <x v="3"/>
    <s v="Mortgage"/>
    <n v="0"/>
    <n v="1"/>
    <n v="1770.1151999999997"/>
    <n v="1292.1840959999997"/>
    <n v="-7707.815904"/>
  </r>
  <r>
    <s v="TXN00001887"/>
    <s v="A00007632"/>
    <s v="PLC00000765"/>
    <d v="2013-12-31T00:00:00"/>
    <d v="2020-07-27T00:00:00"/>
    <d v="2020-08-01T00:00:00"/>
    <n v="5"/>
    <n v="81.12"/>
    <n v="973.44"/>
    <n v="2000"/>
    <s v="A"/>
    <n v="2000"/>
    <n v="8.25"/>
    <s v="Major Loss"/>
    <n v="99"/>
    <n v="42"/>
    <n v="1"/>
    <n v="4"/>
    <s v="H"/>
    <x v="0"/>
    <x v="1"/>
    <s v="Mortgage"/>
    <n v="0"/>
    <n v="1"/>
    <n v="8030.88"/>
    <n v="5862.5424000000003"/>
    <n v="3862.5424000000003"/>
  </r>
  <r>
    <s v="TXN00001891"/>
    <s v="A00009898"/>
    <s v="PLC00002497"/>
    <d v="2013-04-09T00:00:00"/>
    <d v="2020-08-14T00:00:00"/>
    <d v="2020-08-14T00:00:00"/>
    <n v="0"/>
    <n v="89.04"/>
    <n v="1068.48"/>
    <n v="9000"/>
    <s v="A"/>
    <n v="9000"/>
    <n v="1"/>
    <s v="Major Loss"/>
    <n v="12"/>
    <n v="37"/>
    <n v="0"/>
    <n v="5"/>
    <s v="H"/>
    <x v="2"/>
    <x v="5"/>
    <s v="Rent"/>
    <n v="1"/>
    <n v="1"/>
    <n v="1068.48"/>
    <n v="779.99040000000002"/>
    <n v="-8220.0095999999994"/>
  </r>
  <r>
    <s v="TXN00001893"/>
    <s v="A00001372"/>
    <s v="PLC00009484"/>
    <d v="2018-05-08T00:00:00"/>
    <d v="2020-07-29T00:00:00"/>
    <d v="2020-08-03T00:00:00"/>
    <n v="5"/>
    <n v="129.97999999999999"/>
    <n v="1559.76"/>
    <n v="5000"/>
    <s v="A"/>
    <n v="5000"/>
    <n v="1.75"/>
    <s v="Minor Loss"/>
    <n v="21"/>
    <n v="32"/>
    <n v="1"/>
    <n v="3"/>
    <s v="M"/>
    <x v="2"/>
    <x v="1"/>
    <s v="Mortgage"/>
    <n v="0"/>
    <n v="0"/>
    <n v="2729.58"/>
    <n v="1992.5934"/>
    <n v="-3007.4066000000003"/>
  </r>
  <r>
    <s v="TXN00001897"/>
    <s v="A00004267"/>
    <s v="PLC00007877"/>
    <d v="2011-11-20T00:00:00"/>
    <d v="2020-08-12T00:00:00"/>
    <d v="2020-08-12T00:00:00"/>
    <n v="0"/>
    <n v="134.96"/>
    <n v="1619.52"/>
    <n v="6000"/>
    <s v="A"/>
    <n v="6000"/>
    <n v="2.17"/>
    <s v="Minor Loss"/>
    <n v="26"/>
    <n v="48"/>
    <n v="1"/>
    <n v="6"/>
    <s v="H"/>
    <x v="0"/>
    <x v="0"/>
    <s v="Rent"/>
    <n v="0"/>
    <n v="1"/>
    <n v="3514.3583999999996"/>
    <n v="2565.4816319999995"/>
    <n v="-3434.5183680000005"/>
  </r>
  <r>
    <s v="TXN00001898"/>
    <s v="A00005344"/>
    <s v="PLC00007855"/>
    <d v="2014-09-09T00:00:00"/>
    <d v="2020-08-11T00:00:00"/>
    <d v="2020-08-12T00:00:00"/>
    <n v="1"/>
    <n v="126.05"/>
    <n v="1512.6"/>
    <n v="6000"/>
    <s v="A"/>
    <n v="6000"/>
    <n v="2"/>
    <s v="Total Loss"/>
    <n v="24"/>
    <n v="53"/>
    <n v="1"/>
    <n v="6"/>
    <s v="L"/>
    <x v="1"/>
    <x v="1"/>
    <s v="Own"/>
    <n v="1"/>
    <n v="1"/>
    <n v="3025.2"/>
    <n v="2208.3959999999997"/>
    <n v="-3791.6040000000003"/>
  </r>
  <r>
    <s v="TXN00001924"/>
    <s v="A00002081"/>
    <s v="PLC00008945"/>
    <d v="2019-12-18T00:00:00"/>
    <d v="2020-08-09T00:00:00"/>
    <d v="2020-08-12T00:00:00"/>
    <n v="3"/>
    <n v="83.61"/>
    <n v="1003.32"/>
    <n v="5000"/>
    <s v="A"/>
    <n v="5000"/>
    <n v="2.67"/>
    <s v="Total Loss"/>
    <n v="32"/>
    <n v="62"/>
    <n v="1"/>
    <n v="5"/>
    <s v="M"/>
    <x v="1"/>
    <x v="5"/>
    <s v="Own"/>
    <n v="0"/>
    <n v="1"/>
    <n v="2678.8643999999999"/>
    <n v="1955.5710119999999"/>
    <n v="-3044.4289880000001"/>
  </r>
  <r>
    <s v="TXN00001935"/>
    <s v="A00003303"/>
    <s v="PLC00003219"/>
    <d v="2015-11-13T00:00:00"/>
    <d v="2020-07-31T00:00:00"/>
    <d v="2020-08-05T00:00:00"/>
    <n v="5"/>
    <n v="109.96"/>
    <n v="1319.52"/>
    <n v="6000"/>
    <s v="A"/>
    <n v="6000"/>
    <n v="9.67"/>
    <s v="Minor Loss"/>
    <n v="116"/>
    <n v="33"/>
    <n v="1"/>
    <n v="2"/>
    <s v="H"/>
    <x v="1"/>
    <x v="4"/>
    <s v="Mortgage"/>
    <n v="0"/>
    <n v="1"/>
    <n v="12759.758400000001"/>
    <n v="9314.6236320000007"/>
    <n v="3314.6236320000007"/>
  </r>
  <r>
    <s v="TXN00001958"/>
    <s v="A00000768"/>
    <s v="PLC00004140"/>
    <d v="2017-04-16T00:00:00"/>
    <d v="2020-08-15T00:00:00"/>
    <d v="2020-08-15T00:00:00"/>
    <n v="0"/>
    <n v="116.64"/>
    <n v="1399.68"/>
    <n v="7000"/>
    <s v="A"/>
    <n v="7000"/>
    <n v="0.67"/>
    <s v="Major Loss"/>
    <n v="8"/>
    <n v="36"/>
    <n v="1"/>
    <n v="6"/>
    <s v="M"/>
    <x v="2"/>
    <x v="0"/>
    <s v="Own"/>
    <n v="0"/>
    <n v="1"/>
    <n v="937.78560000000004"/>
    <n v="684.58348799999999"/>
    <n v="-6315.4165119999998"/>
  </r>
  <r>
    <s v="TXN00001965"/>
    <s v="A00006534"/>
    <s v="PLC00007613"/>
    <d v="2010-10-07T00:00:00"/>
    <d v="2020-08-05T00:00:00"/>
    <d v="2020-08-10T00:00:00"/>
    <n v="5"/>
    <n v="101"/>
    <n v="1212"/>
    <n v="7000"/>
    <s v="D"/>
    <n v="0"/>
    <n v="1"/>
    <s v="Total Loss"/>
    <n v="12"/>
    <n v="40"/>
    <n v="1"/>
    <n v="5"/>
    <s v="M"/>
    <x v="0"/>
    <x v="5"/>
    <s v="Mortgage"/>
    <n v="1"/>
    <n v="1"/>
    <n v="1212"/>
    <n v="884.76"/>
    <n v="884.76"/>
  </r>
  <r>
    <s v="TXN00001969"/>
    <s v="A00004068"/>
    <s v="PLC00000811"/>
    <d v="2018-04-20T00:00:00"/>
    <d v="2020-08-17T00:00:00"/>
    <d v="2020-08-17T00:00:00"/>
    <n v="0"/>
    <n v="121.9"/>
    <n v="1462.8"/>
    <n v="2000"/>
    <s v="A"/>
    <n v="2000"/>
    <n v="1.58"/>
    <s v="Total Loss"/>
    <n v="19"/>
    <n v="25"/>
    <n v="1"/>
    <n v="2"/>
    <s v="H"/>
    <x v="2"/>
    <x v="0"/>
    <s v="Rent"/>
    <n v="0"/>
    <n v="0"/>
    <n v="2311.2240000000002"/>
    <n v="1687.19352"/>
    <n v="-312.80647999999997"/>
  </r>
  <r>
    <s v="TXN00001989"/>
    <s v="A00001926"/>
    <s v="PLC00004094"/>
    <d v="2018-03-27T00:00:00"/>
    <d v="2020-08-13T00:00:00"/>
    <d v="2020-08-15T00:00:00"/>
    <n v="2"/>
    <n v="123.68"/>
    <n v="1484.16"/>
    <n v="4000"/>
    <s v="A"/>
    <n v="4000"/>
    <n v="2.5"/>
    <s v="Total Loss"/>
    <n v="30"/>
    <n v="28"/>
    <n v="0"/>
    <n v="5"/>
    <s v="L"/>
    <x v="2"/>
    <x v="3"/>
    <s v="Mortgage"/>
    <n v="1"/>
    <n v="0"/>
    <n v="3710.4"/>
    <n v="2708.5920000000001"/>
    <n v="-1291.4079999999999"/>
  </r>
  <r>
    <s v="TXN00001991"/>
    <s v="A00004745"/>
    <s v="PLC00004807"/>
    <d v="2012-08-26T00:00:00"/>
    <d v="2020-08-02T00:00:00"/>
    <d v="2020-08-07T00:00:00"/>
    <n v="5"/>
    <n v="116.5"/>
    <n v="1398"/>
    <n v="9000"/>
    <s v="A"/>
    <n v="9000"/>
    <n v="2.33"/>
    <s v="Major Loss"/>
    <n v="28"/>
    <n v="29"/>
    <n v="1"/>
    <n v="6"/>
    <s v="L"/>
    <x v="2"/>
    <x v="4"/>
    <s v="Mortgage"/>
    <n v="1"/>
    <n v="0"/>
    <n v="3257.34"/>
    <n v="2377.8582000000001"/>
    <n v="-6622.1417999999994"/>
  </r>
  <r>
    <s v="TXN00001993"/>
    <s v="A00008839"/>
    <s v="PLC00000557"/>
    <d v="2014-01-16T00:00:00"/>
    <d v="2020-07-30T00:00:00"/>
    <d v="2020-08-04T00:00:00"/>
    <n v="5"/>
    <n v="123.35"/>
    <n v="1480.2"/>
    <n v="6000"/>
    <s v="A"/>
    <n v="6000"/>
    <n v="0.92"/>
    <s v="Major Loss"/>
    <n v="11"/>
    <n v="27"/>
    <n v="0"/>
    <n v="4"/>
    <s v="M"/>
    <x v="2"/>
    <x v="1"/>
    <s v="Own"/>
    <n v="0"/>
    <n v="1"/>
    <n v="1361.7840000000001"/>
    <n v="994.10232000000008"/>
    <n v="-5005.89768"/>
  </r>
  <r>
    <s v="TXN00001996"/>
    <s v="A00006947"/>
    <s v="PLC00002719"/>
    <d v="2015-04-11T00:00:00"/>
    <d v="2020-08-06T00:00:00"/>
    <d v="2020-08-11T00:00:00"/>
    <n v="5"/>
    <n v="117.49"/>
    <n v="1409.88"/>
    <n v="10000"/>
    <s v="D"/>
    <n v="0"/>
    <n v="6.08"/>
    <s v="Total Loss"/>
    <n v="73"/>
    <n v="57"/>
    <n v="0"/>
    <n v="5"/>
    <s v="L"/>
    <x v="0"/>
    <x v="3"/>
    <s v="Mortgage"/>
    <n v="0"/>
    <n v="1"/>
    <n v="8572.0704000000005"/>
    <n v="6257.6113919999998"/>
    <n v="6257.6113919999998"/>
  </r>
  <r>
    <s v="TXN00001999"/>
    <s v="A00007015"/>
    <s v="PLC00007196"/>
    <d v="2013-05-18T00:00:00"/>
    <d v="2020-08-10T00:00:00"/>
    <d v="2020-08-13T00:00:00"/>
    <n v="3"/>
    <n v="124.76"/>
    <n v="1497.12"/>
    <n v="4000"/>
    <s v="A"/>
    <n v="4000"/>
    <n v="8.83"/>
    <s v="Major Loss"/>
    <n v="106"/>
    <n v="32"/>
    <n v="1"/>
    <n v="6"/>
    <s v="M"/>
    <x v="2"/>
    <x v="3"/>
    <s v="Mortgage"/>
    <n v="0"/>
    <n v="0"/>
    <n v="13219.569599999999"/>
    <n v="9650.2858079999987"/>
    <n v="5650.2858079999987"/>
  </r>
  <r>
    <s v="TXN00002000"/>
    <s v="A00003091"/>
    <s v="PLC00002955"/>
    <d v="2018-02-18T00:00:00"/>
    <d v="2020-08-16T00:00:00"/>
    <d v="2020-08-16T00:00:00"/>
    <n v="0"/>
    <n v="117.9"/>
    <n v="1414.8"/>
    <n v="7000"/>
    <s v="A"/>
    <n v="7000"/>
    <n v="7.58"/>
    <s v="Major Loss"/>
    <n v="91"/>
    <n v="46"/>
    <n v="1"/>
    <n v="3"/>
    <s v="M"/>
    <x v="0"/>
    <x v="0"/>
    <s v="Rent"/>
    <n v="1"/>
    <n v="1"/>
    <n v="10724.183999999999"/>
    <n v="7828.6543199999996"/>
    <n v="828.65431999999964"/>
  </r>
  <r>
    <s v="TXN00002003"/>
    <s v="A00003312"/>
    <s v="PLC00001905"/>
    <d v="2013-02-07T00:00:00"/>
    <d v="2020-08-17T00:00:00"/>
    <d v="2020-08-17T00:00:00"/>
    <n v="0"/>
    <n v="130.84"/>
    <n v="1570.08"/>
    <n v="9000"/>
    <s v="A"/>
    <n v="9000"/>
    <n v="6.08"/>
    <s v="Minor Loss"/>
    <n v="73"/>
    <n v="55"/>
    <n v="1"/>
    <n v="5"/>
    <s v="L"/>
    <x v="0"/>
    <x v="1"/>
    <s v="Mortgage"/>
    <n v="1"/>
    <n v="1"/>
    <n v="9546.0864000000001"/>
    <n v="6968.6430719999998"/>
    <n v="-2031.3569280000002"/>
  </r>
  <r>
    <s v="TXN00002008"/>
    <s v="A00000101"/>
    <s v="PLC00005584"/>
    <d v="2012-06-14T00:00:00"/>
    <d v="2020-08-09T00:00:00"/>
    <d v="2020-08-14T00:00:00"/>
    <n v="5"/>
    <n v="76.77"/>
    <n v="921.24"/>
    <n v="9000"/>
    <s v="A"/>
    <n v="9000"/>
    <n v="3.83"/>
    <s v="Minor Loss"/>
    <n v="46"/>
    <n v="29"/>
    <n v="1"/>
    <n v="2"/>
    <s v="H"/>
    <x v="1"/>
    <x v="1"/>
    <s v="Rent"/>
    <n v="1"/>
    <n v="1"/>
    <n v="3528.3492000000001"/>
    <n v="2575.6949159999999"/>
    <n v="-6424.3050839999996"/>
  </r>
  <r>
    <s v="TXN00002015"/>
    <s v="A00002674"/>
    <s v="PLC00001738"/>
    <d v="2013-01-27T00:00:00"/>
    <d v="2020-08-19T00:00:00"/>
    <d v="2020-08-19T00:00:00"/>
    <n v="0"/>
    <n v="139.71"/>
    <n v="1676.52"/>
    <n v="8000"/>
    <s v="A"/>
    <n v="8000"/>
    <n v="8.58"/>
    <s v="Major Loss"/>
    <n v="103"/>
    <n v="58"/>
    <n v="0"/>
    <n v="3"/>
    <s v="H"/>
    <x v="0"/>
    <x v="3"/>
    <s v="Rent"/>
    <n v="1"/>
    <n v="1"/>
    <n v="14384.5416"/>
    <n v="10500.715367999999"/>
    <n v="2500.7153679999992"/>
  </r>
  <r>
    <s v="TXN00002046"/>
    <s v="A00001439"/>
    <s v="PLC00001632"/>
    <d v="2012-03-07T00:00:00"/>
    <d v="2020-08-02T00:00:00"/>
    <d v="2020-08-07T00:00:00"/>
    <n v="5"/>
    <n v="138.04"/>
    <n v="1656.48"/>
    <n v="7000"/>
    <s v="A"/>
    <n v="7000"/>
    <n v="4.08"/>
    <s v="Major Loss"/>
    <n v="49"/>
    <n v="26"/>
    <n v="0"/>
    <n v="2"/>
    <s v="L"/>
    <x v="2"/>
    <x v="0"/>
    <s v="Mortgage"/>
    <n v="1"/>
    <n v="0"/>
    <n v="6758.4384"/>
    <n v="4933.6600319999998"/>
    <n v="-2066.3399680000002"/>
  </r>
  <r>
    <s v="TXN00002054"/>
    <s v="A00004629"/>
    <s v="PLC00008096"/>
    <d v="2012-11-26T00:00:00"/>
    <d v="2020-08-11T00:00:00"/>
    <d v="2020-08-16T00:00:00"/>
    <n v="5"/>
    <n v="72.959999999999994"/>
    <n v="875.52"/>
    <n v="2000"/>
    <s v="A"/>
    <n v="2000"/>
    <n v="2.42"/>
    <s v="Minor Loss"/>
    <n v="29"/>
    <n v="44"/>
    <n v="1"/>
    <n v="6"/>
    <s v="M"/>
    <x v="2"/>
    <x v="1"/>
    <s v="Rent"/>
    <n v="1"/>
    <n v="0"/>
    <n v="2118.7583999999997"/>
    <n v="1546.6936319999998"/>
    <n v="-453.30636800000025"/>
  </r>
  <r>
    <s v="TXN00002071"/>
    <s v="A00004651"/>
    <s v="PLC00000945"/>
    <d v="2011-02-22T00:00:00"/>
    <d v="2020-08-11T00:00:00"/>
    <d v="2020-08-16T00:00:00"/>
    <n v="5"/>
    <n v="117.4"/>
    <n v="1408.8"/>
    <n v="6000"/>
    <s v="D"/>
    <n v="0"/>
    <n v="8.5"/>
    <s v="Major Loss"/>
    <n v="102"/>
    <n v="25"/>
    <n v="1"/>
    <n v="3"/>
    <s v="M"/>
    <x v="1"/>
    <x v="4"/>
    <s v="Rent"/>
    <n v="1"/>
    <n v="1"/>
    <n v="11974.8"/>
    <n v="8741.6039999999994"/>
    <n v="8741.6039999999994"/>
  </r>
  <r>
    <s v="TXN00002080"/>
    <s v="A00006533"/>
    <s v="PLC00001864"/>
    <d v="2019-06-02T00:00:00"/>
    <d v="2020-08-04T00:00:00"/>
    <d v="2020-08-09T00:00:00"/>
    <n v="5"/>
    <n v="126.71"/>
    <n v="1520.52"/>
    <n v="10000"/>
    <s v="A"/>
    <n v="10000"/>
    <n v="8.08"/>
    <s v="Major Loss"/>
    <n v="97"/>
    <n v="48"/>
    <n v="1"/>
    <n v="4"/>
    <s v="M"/>
    <x v="2"/>
    <x v="1"/>
    <s v="Rent"/>
    <n v="1"/>
    <n v="0"/>
    <n v="12285.801600000001"/>
    <n v="8968.6351680000007"/>
    <n v="-1031.3648319999993"/>
  </r>
  <r>
    <s v="TXN00002091"/>
    <s v="A00008523"/>
    <s v="PLC00000347"/>
    <d v="2017-04-10T00:00:00"/>
    <d v="2020-08-10T00:00:00"/>
    <d v="2020-08-15T00:00:00"/>
    <n v="5"/>
    <n v="98.94"/>
    <n v="1187.28"/>
    <n v="2000"/>
    <s v="A"/>
    <n v="2000"/>
    <n v="4.25"/>
    <s v="Major Loss"/>
    <n v="51"/>
    <n v="62"/>
    <n v="0"/>
    <n v="5"/>
    <s v="M"/>
    <x v="0"/>
    <x v="1"/>
    <s v="Rent"/>
    <n v="1"/>
    <n v="1"/>
    <n v="5045.9399999999996"/>
    <n v="3683.5361999999996"/>
    <n v="1683.5361999999996"/>
  </r>
  <r>
    <s v="TXN00002103"/>
    <s v="A00007406"/>
    <s v="PLC00008711"/>
    <d v="2016-12-11T00:00:00"/>
    <d v="2020-08-12T00:00:00"/>
    <d v="2020-08-17T00:00:00"/>
    <n v="5"/>
    <n v="105.54"/>
    <n v="1266.48"/>
    <n v="7000"/>
    <s v="A"/>
    <n v="7000"/>
    <n v="6.25"/>
    <s v="Major Loss"/>
    <n v="75"/>
    <n v="39"/>
    <n v="1"/>
    <n v="7"/>
    <s v="L"/>
    <x v="2"/>
    <x v="0"/>
    <s v="Own"/>
    <n v="1"/>
    <n v="1"/>
    <n v="7915.5"/>
    <n v="5778.3149999999996"/>
    <n v="-1221.6850000000004"/>
  </r>
  <r>
    <s v="TXN00002104"/>
    <s v="A00006157"/>
    <s v="PLC00008214"/>
    <d v="2010-12-22T00:00:00"/>
    <d v="2020-08-08T00:00:00"/>
    <d v="2020-08-13T00:00:00"/>
    <n v="5"/>
    <n v="134.28"/>
    <n v="1611.36"/>
    <n v="7000"/>
    <s v="A"/>
    <n v="7000"/>
    <n v="4"/>
    <s v="Minor Loss"/>
    <n v="48"/>
    <n v="60"/>
    <n v="1"/>
    <n v="2"/>
    <s v="L"/>
    <x v="0"/>
    <x v="5"/>
    <s v="Mortgage"/>
    <n v="1"/>
    <n v="1"/>
    <n v="6445.44"/>
    <n v="4705.1711999999998"/>
    <n v="-2294.8288000000002"/>
  </r>
  <r>
    <s v="TXN00002115"/>
    <s v="A00000893"/>
    <s v="PLC00006681"/>
    <d v="2014-03-19T00:00:00"/>
    <d v="2020-08-12T00:00:00"/>
    <d v="2020-08-17T00:00:00"/>
    <n v="5"/>
    <n v="95.9"/>
    <n v="1150.8"/>
    <n v="5000"/>
    <s v="A"/>
    <n v="5000"/>
    <n v="2.17"/>
    <s v="Minor Loss"/>
    <n v="26"/>
    <n v="62"/>
    <n v="1"/>
    <n v="7"/>
    <s v="L"/>
    <x v="0"/>
    <x v="0"/>
    <s v="Rent"/>
    <n v="0"/>
    <n v="1"/>
    <n v="2497.2359999999999"/>
    <n v="1822.9822799999999"/>
    <n v="-3177.0177199999998"/>
  </r>
  <r>
    <s v="TXN00002121"/>
    <s v="A00008279"/>
    <s v="PLC00003874"/>
    <d v="2010-09-24T00:00:00"/>
    <d v="2020-08-23T00:00:00"/>
    <d v="2020-08-23T00:00:00"/>
    <n v="0"/>
    <n v="70.63"/>
    <n v="847.56"/>
    <n v="2000"/>
    <s v="A"/>
    <n v="2000"/>
    <n v="1"/>
    <s v="Total Loss"/>
    <n v="12"/>
    <n v="64"/>
    <n v="1"/>
    <n v="3"/>
    <s v="L"/>
    <x v="0"/>
    <x v="1"/>
    <s v="Rent"/>
    <n v="1"/>
    <n v="1"/>
    <n v="847.56"/>
    <n v="618.71879999999999"/>
    <n v="-1381.2811999999999"/>
  </r>
  <r>
    <s v="TXN00002122"/>
    <s v="A00004371"/>
    <s v="PLC00002540"/>
    <d v="2011-03-17T00:00:00"/>
    <d v="2020-08-23T00:00:00"/>
    <d v="2020-08-23T00:00:00"/>
    <n v="0"/>
    <n v="113.05"/>
    <n v="1356.6"/>
    <n v="9000"/>
    <s v="A"/>
    <n v="9000"/>
    <n v="6.42"/>
    <s v="Minor Loss"/>
    <n v="77"/>
    <n v="60"/>
    <n v="1"/>
    <n v="3"/>
    <s v="H"/>
    <x v="0"/>
    <x v="4"/>
    <s v="Rent"/>
    <n v="1"/>
    <n v="0"/>
    <n v="8709.3719999999994"/>
    <n v="6357.8415599999998"/>
    <n v="-2642.1584400000002"/>
  </r>
  <r>
    <s v="TXN00002128"/>
    <s v="A00006426"/>
    <s v="PLC00006328"/>
    <d v="2013-09-13T00:00:00"/>
    <d v="2020-08-24T00:00:00"/>
    <d v="2020-08-24T00:00:00"/>
    <n v="0"/>
    <n v="136.06"/>
    <n v="1632.72"/>
    <n v="5000"/>
    <s v="A"/>
    <n v="5000"/>
    <n v="6.67"/>
    <s v="Total Loss"/>
    <n v="80"/>
    <n v="50"/>
    <n v="1"/>
    <n v="4"/>
    <s v="M"/>
    <x v="1"/>
    <x v="1"/>
    <s v="Own"/>
    <n v="1"/>
    <n v="1"/>
    <n v="10890.242399999999"/>
    <n v="7949.8769519999996"/>
    <n v="2949.8769519999996"/>
  </r>
  <r>
    <s v="TXN00002132"/>
    <s v="A00009205"/>
    <s v="PLC00009951"/>
    <d v="2016-11-13T00:00:00"/>
    <d v="2020-08-09T00:00:00"/>
    <d v="2020-08-14T00:00:00"/>
    <n v="5"/>
    <n v="111.65"/>
    <n v="1339.8"/>
    <n v="10000"/>
    <s v="D"/>
    <n v="0"/>
    <n v="9.83"/>
    <s v="Minor Loss"/>
    <n v="118"/>
    <n v="52"/>
    <n v="1"/>
    <n v="5"/>
    <s v="L"/>
    <x v="1"/>
    <x v="1"/>
    <s v="Mortgage"/>
    <n v="1"/>
    <n v="1"/>
    <n v="13170.234"/>
    <n v="9614.2708199999997"/>
    <n v="9614.2708199999997"/>
  </r>
  <r>
    <s v="TXN00002136"/>
    <s v="A00002417"/>
    <s v="PLC00009596"/>
    <d v="2020-01-28T00:00:00"/>
    <d v="2020-08-06T00:00:00"/>
    <d v="2020-08-11T00:00:00"/>
    <n v="5"/>
    <n v="98.3"/>
    <n v="1179.5999999999999"/>
    <n v="7000"/>
    <s v="A"/>
    <n v="7000"/>
    <n v="7.08"/>
    <s v="Minor Loss"/>
    <n v="85"/>
    <n v="26"/>
    <n v="1"/>
    <n v="2"/>
    <s v="M"/>
    <x v="1"/>
    <x v="3"/>
    <s v="Mortgage"/>
    <n v="1"/>
    <n v="1"/>
    <n v="8351.5679999999993"/>
    <n v="6096.6446399999995"/>
    <n v="-903.35536000000047"/>
  </r>
  <r>
    <s v="TXN00002151"/>
    <s v="A00003437"/>
    <s v="PLC00008563"/>
    <d v="2010-12-03T00:00:00"/>
    <d v="2020-08-16T00:00:00"/>
    <d v="2020-08-19T00:00:00"/>
    <n v="3"/>
    <n v="89.17"/>
    <n v="1070.04"/>
    <n v="7000"/>
    <s v="A"/>
    <n v="7000"/>
    <n v="7.08"/>
    <s v="Minor Loss"/>
    <n v="85"/>
    <n v="29"/>
    <n v="0"/>
    <n v="7"/>
    <s v="M"/>
    <x v="1"/>
    <x v="1"/>
    <s v="Rent"/>
    <n v="1"/>
    <n v="1"/>
    <n v="7575.8832000000002"/>
    <n v="5530.3947360000002"/>
    <n v="-1469.6052639999998"/>
  </r>
  <r>
    <s v="TXN00002154"/>
    <s v="A00006218"/>
    <s v="PLC00003393"/>
    <d v="2012-09-17T00:00:00"/>
    <d v="2020-08-11T00:00:00"/>
    <d v="2020-08-16T00:00:00"/>
    <n v="5"/>
    <n v="92.16"/>
    <n v="1105.92"/>
    <n v="10000"/>
    <s v="A"/>
    <n v="10000"/>
    <n v="8.33"/>
    <s v="Total Loss"/>
    <n v="100"/>
    <n v="49"/>
    <n v="1"/>
    <n v="7"/>
    <s v="M"/>
    <x v="0"/>
    <x v="0"/>
    <s v="Own"/>
    <n v="1"/>
    <n v="1"/>
    <n v="9212.3136000000013"/>
    <n v="6724.9889280000007"/>
    <n v="-3275.0110719999993"/>
  </r>
  <r>
    <s v="TXN00002163"/>
    <s v="A00000225"/>
    <s v="PLC00004961"/>
    <d v="2012-03-14T00:00:00"/>
    <d v="2020-08-11T00:00:00"/>
    <d v="2020-08-16T00:00:00"/>
    <n v="5"/>
    <n v="99.11"/>
    <n v="1189.32"/>
    <n v="8000"/>
    <s v="A"/>
    <n v="8000"/>
    <n v="6.08"/>
    <s v="Major Loss"/>
    <n v="73"/>
    <n v="33"/>
    <n v="0"/>
    <n v="3"/>
    <s v="L"/>
    <x v="2"/>
    <x v="4"/>
    <s v="Rent"/>
    <n v="0"/>
    <n v="1"/>
    <n v="7231.0655999999999"/>
    <n v="5278.6778880000002"/>
    <n v="-2721.3221119999998"/>
  </r>
  <r>
    <s v="TXN00002168"/>
    <s v="A00005043"/>
    <s v="PLC00001652"/>
    <d v="2015-12-11T00:00:00"/>
    <d v="2020-08-12T00:00:00"/>
    <d v="2020-08-17T00:00:00"/>
    <n v="5"/>
    <n v="129.27000000000001"/>
    <n v="1551.24"/>
    <n v="1000"/>
    <s v="A"/>
    <n v="1000"/>
    <n v="2.67"/>
    <s v="Minor Loss"/>
    <n v="32"/>
    <n v="59"/>
    <n v="0"/>
    <n v="5"/>
    <s v="L"/>
    <x v="2"/>
    <x v="1"/>
    <s v="Mortgage"/>
    <n v="0"/>
    <n v="0"/>
    <n v="4141.8108000000002"/>
    <n v="3023.5218840000002"/>
    <n v="2023.5218840000002"/>
  </r>
  <r>
    <s v="TXN00002171"/>
    <s v="A00007467"/>
    <s v="PLC00001810"/>
    <d v="2019-09-02T00:00:00"/>
    <d v="2020-08-19T00:00:00"/>
    <d v="2020-08-22T00:00:00"/>
    <n v="3"/>
    <n v="135.88999999999999"/>
    <n v="1630.68"/>
    <n v="8000"/>
    <s v="A"/>
    <n v="8000"/>
    <n v="2"/>
    <s v="Minor Loss"/>
    <n v="24"/>
    <n v="30"/>
    <n v="1"/>
    <n v="2"/>
    <s v="M"/>
    <x v="1"/>
    <x v="0"/>
    <s v="Rent"/>
    <n v="1"/>
    <n v="0"/>
    <n v="3261.36"/>
    <n v="2380.7928000000002"/>
    <n v="-5619.2071999999998"/>
  </r>
  <r>
    <s v="TXN00002212"/>
    <s v="A00003704"/>
    <s v="PLC00003791"/>
    <d v="2013-12-25T00:00:00"/>
    <d v="2020-08-21T00:00:00"/>
    <d v="2020-08-24T00:00:00"/>
    <n v="3"/>
    <n v="110.36"/>
    <n v="1324.32"/>
    <n v="10000"/>
    <s v="A"/>
    <n v="10000"/>
    <n v="6.83"/>
    <s v="Minor Loss"/>
    <n v="82"/>
    <n v="49"/>
    <n v="1"/>
    <n v="4"/>
    <s v="M"/>
    <x v="0"/>
    <x v="1"/>
    <s v="Mortgage"/>
    <n v="0"/>
    <n v="1"/>
    <n v="9045.105599999999"/>
    <n v="6602.9270879999995"/>
    <n v="-3397.0729120000005"/>
  </r>
  <r>
    <s v="TXN00002225"/>
    <s v="A00007741"/>
    <s v="PLC00008996"/>
    <d v="2016-01-31T00:00:00"/>
    <d v="2020-08-12T00:00:00"/>
    <d v="2020-08-17T00:00:00"/>
    <n v="5"/>
    <n v="117.55"/>
    <n v="1410.6"/>
    <n v="1000"/>
    <s v="A"/>
    <n v="1000"/>
    <n v="6.17"/>
    <s v="Minor Loss"/>
    <n v="74"/>
    <n v="54"/>
    <n v="1"/>
    <n v="7"/>
    <s v="L"/>
    <x v="0"/>
    <x v="1"/>
    <s v="Own"/>
    <n v="1"/>
    <n v="1"/>
    <n v="8703.402"/>
    <n v="6353.4834599999995"/>
    <n v="5353.4834599999995"/>
  </r>
  <r>
    <s v="TXN00002233"/>
    <s v="A00000507"/>
    <s v="PLC00003967"/>
    <d v="2013-10-05T00:00:00"/>
    <d v="2020-08-27T00:00:00"/>
    <d v="2020-08-27T00:00:00"/>
    <n v="0"/>
    <n v="104.57"/>
    <n v="1254.8399999999999"/>
    <n v="10000"/>
    <s v="A"/>
    <n v="10000"/>
    <n v="8.58"/>
    <s v="Major Loss"/>
    <n v="103"/>
    <n v="63"/>
    <n v="1"/>
    <n v="3"/>
    <s v="M"/>
    <x v="1"/>
    <x v="1"/>
    <s v="Rent"/>
    <n v="1"/>
    <n v="1"/>
    <n v="10766.527199999999"/>
    <n v="7859.5648559999991"/>
    <n v="-2140.4351440000009"/>
  </r>
  <r>
    <s v="TXN00002241"/>
    <s v="A00008469"/>
    <s v="PLC00003341"/>
    <d v="2014-05-28T00:00:00"/>
    <d v="2020-08-22T00:00:00"/>
    <d v="2020-08-25T00:00:00"/>
    <n v="3"/>
    <n v="96.48"/>
    <n v="1157.76"/>
    <n v="4000"/>
    <s v="A"/>
    <n v="4000"/>
    <n v="1.17"/>
    <s v="Minor Loss"/>
    <n v="14"/>
    <n v="64"/>
    <n v="1"/>
    <n v="4"/>
    <s v="L"/>
    <x v="2"/>
    <x v="4"/>
    <s v="Rent"/>
    <n v="1"/>
    <n v="0"/>
    <n v="1354.5791999999999"/>
    <n v="988.84281599999986"/>
    <n v="-3011.1571840000001"/>
  </r>
  <r>
    <s v="TXN00002261"/>
    <s v="A00009423"/>
    <s v="PLC00004848"/>
    <d v="2012-09-18T00:00:00"/>
    <d v="2020-08-25T00:00:00"/>
    <d v="2020-08-27T00:00:00"/>
    <n v="2"/>
    <n v="82.49"/>
    <n v="989.88"/>
    <n v="10000"/>
    <s v="A"/>
    <n v="10000"/>
    <n v="4.08"/>
    <s v="Total Loss"/>
    <n v="49"/>
    <n v="34"/>
    <n v="1"/>
    <n v="6"/>
    <s v="L"/>
    <x v="0"/>
    <x v="1"/>
    <s v="Own"/>
    <n v="1"/>
    <n v="1"/>
    <n v="4038.7103999999999"/>
    <n v="2948.2585919999997"/>
    <n v="-7051.7414079999999"/>
  </r>
  <r>
    <s v="TXN00002277"/>
    <s v="A00001776"/>
    <s v="PLC00004501"/>
    <d v="2013-03-04T00:00:00"/>
    <d v="2020-08-17T00:00:00"/>
    <d v="2020-08-22T00:00:00"/>
    <n v="5"/>
    <n v="74.459999999999994"/>
    <n v="893.52"/>
    <n v="5000"/>
    <s v="A"/>
    <n v="5000"/>
    <n v="3.17"/>
    <s v="Total Loss"/>
    <n v="38"/>
    <n v="35"/>
    <n v="0"/>
    <n v="3"/>
    <s v="M"/>
    <x v="0"/>
    <x v="4"/>
    <s v="Mortgage"/>
    <n v="0"/>
    <n v="1"/>
    <n v="2832.4584"/>
    <n v="2067.6946319999997"/>
    <n v="-2932.3053680000003"/>
  </r>
  <r>
    <s v="TXN00002289"/>
    <s v="A00002433"/>
    <s v="PLC00000953"/>
    <d v="2015-09-17T00:00:00"/>
    <d v="2020-08-23T00:00:00"/>
    <d v="2020-08-26T00:00:00"/>
    <n v="3"/>
    <n v="133.97999999999999"/>
    <n v="1607.76"/>
    <n v="8000"/>
    <s v="A"/>
    <n v="8000"/>
    <n v="5.08"/>
    <s v="Major Loss"/>
    <n v="61"/>
    <n v="37"/>
    <n v="0"/>
    <n v="3"/>
    <s v="M"/>
    <x v="0"/>
    <x v="1"/>
    <s v="Mortgage"/>
    <n v="0"/>
    <n v="1"/>
    <n v="8167.4207999999999"/>
    <n v="5962.2171840000001"/>
    <n v="-2037.7828159999999"/>
  </r>
  <r>
    <s v="TXN00002290"/>
    <s v="A00007700"/>
    <s v="PLC00006724"/>
    <d v="2012-08-26T00:00:00"/>
    <d v="2020-08-27T00:00:00"/>
    <d v="2020-08-29T00:00:00"/>
    <n v="2"/>
    <n v="100.26"/>
    <n v="1203.1199999999999"/>
    <n v="4000"/>
    <s v="A"/>
    <n v="4000"/>
    <n v="8.42"/>
    <s v="Minor Loss"/>
    <n v="101"/>
    <n v="56"/>
    <n v="1"/>
    <n v="5"/>
    <s v="H"/>
    <x v="1"/>
    <x v="2"/>
    <s v="Rent"/>
    <n v="0"/>
    <n v="0"/>
    <n v="10130.270399999999"/>
    <n v="7395.0973919999997"/>
    <n v="3395.0973919999997"/>
  </r>
  <r>
    <s v="TXN00002298"/>
    <s v="A00007016"/>
    <s v="PLC00008602"/>
    <d v="2012-10-21T00:00:00"/>
    <d v="2020-08-17T00:00:00"/>
    <d v="2020-08-22T00:00:00"/>
    <n v="5"/>
    <n v="70.930000000000007"/>
    <n v="851.16"/>
    <n v="9000"/>
    <s v="A"/>
    <n v="9000"/>
    <n v="1.17"/>
    <s v="Major Loss"/>
    <n v="14"/>
    <n v="49"/>
    <n v="0"/>
    <n v="4"/>
    <s v="L"/>
    <x v="0"/>
    <x v="1"/>
    <s v="Mortgage"/>
    <n v="0"/>
    <n v="0"/>
    <n v="995.85719999999992"/>
    <n v="726.97575599999993"/>
    <n v="-8273.0242440000002"/>
  </r>
  <r>
    <s v="TXN00002308"/>
    <s v="A00000925"/>
    <s v="PLC00007943"/>
    <d v="2011-03-30T00:00:00"/>
    <d v="2020-08-17T00:00:00"/>
    <d v="2020-08-22T00:00:00"/>
    <n v="5"/>
    <n v="101.65"/>
    <n v="1219.8"/>
    <n v="6000"/>
    <s v="A"/>
    <n v="6000"/>
    <n v="1.92"/>
    <s v="Major Loss"/>
    <n v="23"/>
    <n v="40"/>
    <n v="1"/>
    <n v="5"/>
    <s v="M"/>
    <x v="0"/>
    <x v="3"/>
    <s v="Mortgage"/>
    <n v="1"/>
    <n v="1"/>
    <n v="2342.0159999999996"/>
    <n v="1709.6716799999997"/>
    <n v="-4290.3283200000005"/>
  </r>
  <r>
    <s v="TXN00002317"/>
    <s v="A00007378"/>
    <s v="PLC00009502"/>
    <d v="2011-11-19T00:00:00"/>
    <d v="2020-08-14T00:00:00"/>
    <d v="2020-08-19T00:00:00"/>
    <n v="5"/>
    <n v="121.14"/>
    <n v="1453.68"/>
    <n v="8000"/>
    <s v="A"/>
    <n v="8000"/>
    <n v="7"/>
    <s v="Minor Loss"/>
    <n v="84"/>
    <n v="25"/>
    <n v="1"/>
    <n v="6"/>
    <s v="L"/>
    <x v="2"/>
    <x v="1"/>
    <s v="Mortgage"/>
    <n v="1"/>
    <n v="1"/>
    <n v="10175.76"/>
    <n v="7428.3047999999999"/>
    <n v="-571.69520000000011"/>
  </r>
  <r>
    <s v="TXN00002320"/>
    <s v="A00008939"/>
    <s v="PLC00003561"/>
    <d v="2014-09-02T00:00:00"/>
    <d v="2020-09-02T00:00:00"/>
    <d v="2020-09-02T00:00:00"/>
    <n v="0"/>
    <n v="112.77"/>
    <n v="1353.24"/>
    <n v="6000"/>
    <s v="A"/>
    <n v="6000"/>
    <n v="4.42"/>
    <s v="Total Loss"/>
    <n v="53"/>
    <n v="58"/>
    <n v="0"/>
    <n v="2"/>
    <s v="M"/>
    <x v="1"/>
    <x v="2"/>
    <s v="Mortgage"/>
    <n v="0"/>
    <n v="0"/>
    <n v="5981.3207999999995"/>
    <n v="4366.3641839999991"/>
    <n v="-1633.6358160000009"/>
  </r>
  <r>
    <s v="TXN00002325"/>
    <s v="A00004893"/>
    <s v="PLC00000469"/>
    <d v="2012-06-11T00:00:00"/>
    <d v="2020-08-19T00:00:00"/>
    <d v="2020-08-24T00:00:00"/>
    <n v="5"/>
    <n v="131.22999999999999"/>
    <n v="1574.76"/>
    <n v="2000"/>
    <s v="A"/>
    <n v="2000"/>
    <n v="1.5"/>
    <s v="Total Loss"/>
    <n v="18"/>
    <n v="34"/>
    <n v="1"/>
    <n v="2"/>
    <s v="M"/>
    <x v="1"/>
    <x v="4"/>
    <s v="Mortgage"/>
    <n v="0"/>
    <n v="0"/>
    <n v="2362.14"/>
    <n v="1724.3621999999998"/>
    <n v="-275.6378000000002"/>
  </r>
  <r>
    <s v="TXN00002330"/>
    <s v="A00006107"/>
    <s v="PLC00004878"/>
    <d v="2018-10-08T00:00:00"/>
    <d v="2020-08-30T00:00:00"/>
    <d v="2020-08-31T00:00:00"/>
    <n v="1"/>
    <n v="114.51"/>
    <n v="1374.12"/>
    <n v="6000"/>
    <s v="A"/>
    <n v="6000"/>
    <n v="8"/>
    <s v="Major Loss"/>
    <n v="96"/>
    <n v="34"/>
    <n v="0"/>
    <n v="4"/>
    <s v="L"/>
    <x v="1"/>
    <x v="0"/>
    <s v="Mortgage"/>
    <n v="1"/>
    <n v="0"/>
    <n v="10992.96"/>
    <n v="8024.8607999999995"/>
    <n v="2024.8607999999995"/>
  </r>
  <r>
    <s v="TXN00002336"/>
    <s v="A00004632"/>
    <s v="PLC00000712"/>
    <d v="2017-06-12T00:00:00"/>
    <d v="2020-08-27T00:00:00"/>
    <d v="2020-08-30T00:00:00"/>
    <n v="3"/>
    <n v="97.45"/>
    <n v="1169.4000000000001"/>
    <n v="3000"/>
    <s v="A"/>
    <n v="3000"/>
    <n v="0.5"/>
    <s v="Major Loss"/>
    <n v="6"/>
    <n v="48"/>
    <n v="1"/>
    <n v="3"/>
    <s v="M"/>
    <x v="2"/>
    <x v="0"/>
    <s v="Mortgage"/>
    <n v="1"/>
    <n v="1"/>
    <n v="584.70000000000005"/>
    <n v="426.83100000000002"/>
    <n v="-2573.1689999999999"/>
  </r>
  <r>
    <s v="TXN00002338"/>
    <s v="A00007858"/>
    <s v="PLC00000047"/>
    <d v="2014-05-13T00:00:00"/>
    <d v="2020-08-20T00:00:00"/>
    <d v="2020-08-25T00:00:00"/>
    <n v="5"/>
    <n v="75.84"/>
    <n v="910.08"/>
    <n v="4000"/>
    <s v="A"/>
    <n v="4000"/>
    <n v="4.17"/>
    <s v="Total Loss"/>
    <n v="50"/>
    <n v="61"/>
    <n v="1"/>
    <n v="7"/>
    <s v="M"/>
    <x v="0"/>
    <x v="1"/>
    <s v="Rent"/>
    <n v="1"/>
    <n v="1"/>
    <n v="3795.0336000000002"/>
    <n v="2770.3745280000003"/>
    <n v="-1229.6254719999997"/>
  </r>
  <r>
    <s v="TXN00002342"/>
    <s v="A00002199"/>
    <s v="PLC00006909"/>
    <d v="2018-12-12T00:00:00"/>
    <d v="2020-09-02T00:00:00"/>
    <d v="2020-09-02T00:00:00"/>
    <n v="0"/>
    <n v="123.61"/>
    <n v="1483.32"/>
    <n v="6000"/>
    <s v="A"/>
    <n v="6000"/>
    <n v="4.25"/>
    <s v="Minor Loss"/>
    <n v="51"/>
    <n v="25"/>
    <n v="0"/>
    <n v="4"/>
    <s v="M"/>
    <x v="2"/>
    <x v="4"/>
    <s v="Mortgage"/>
    <n v="1"/>
    <n v="0"/>
    <n v="6304.11"/>
    <n v="4602.0002999999997"/>
    <n v="-1397.9997000000003"/>
  </r>
  <r>
    <s v="TXN00002347"/>
    <s v="A00004807"/>
    <s v="PLC00002024"/>
    <d v="2010-08-12T00:00:00"/>
    <d v="2020-08-29T00:00:00"/>
    <d v="2020-08-31T00:00:00"/>
    <n v="2"/>
    <n v="121.58"/>
    <n v="1458.96"/>
    <n v="4000"/>
    <s v="A"/>
    <n v="4000"/>
    <n v="0.57999999999999996"/>
    <s v="Total Loss"/>
    <n v="7"/>
    <n v="48"/>
    <n v="1"/>
    <n v="7"/>
    <s v="L"/>
    <x v="1"/>
    <x v="1"/>
    <s v="Rent"/>
    <n v="0"/>
    <n v="1"/>
    <n v="846.19679999999994"/>
    <n v="617.72366399999999"/>
    <n v="-3382.2763359999999"/>
  </r>
  <r>
    <s v="TXN00002349"/>
    <s v="A00007456"/>
    <s v="PLC00007332"/>
    <d v="2014-02-22T00:00:00"/>
    <d v="2020-08-27T00:00:00"/>
    <d v="2020-08-30T00:00:00"/>
    <n v="3"/>
    <n v="124.28"/>
    <n v="1491.36"/>
    <n v="5000"/>
    <s v="A"/>
    <n v="5000"/>
    <n v="8.17"/>
    <s v="Total Loss"/>
    <n v="98"/>
    <n v="32"/>
    <n v="1"/>
    <n v="5"/>
    <s v="M"/>
    <x v="1"/>
    <x v="1"/>
    <s v="Rent"/>
    <n v="0"/>
    <n v="0"/>
    <n v="12184.411199999999"/>
    <n v="8894.6201759999985"/>
    <n v="3894.6201759999985"/>
  </r>
  <r>
    <s v="TXN00002353"/>
    <s v="A00008172"/>
    <s v="PLC00004937"/>
    <d v="2012-08-01T00:00:00"/>
    <d v="2020-08-21T00:00:00"/>
    <d v="2020-08-26T00:00:00"/>
    <n v="5"/>
    <n v="120.32"/>
    <n v="1443.84"/>
    <n v="6000"/>
    <s v="A"/>
    <n v="6000"/>
    <n v="0.67"/>
    <s v="Major Loss"/>
    <n v="8"/>
    <n v="58"/>
    <n v="1"/>
    <n v="7"/>
    <s v="H"/>
    <x v="0"/>
    <x v="1"/>
    <s v="Mortgage"/>
    <n v="1"/>
    <n v="1"/>
    <n v="967.37279999999998"/>
    <n v="706.18214399999999"/>
    <n v="-5293.8178559999997"/>
  </r>
  <r>
    <s v="TXN00002369"/>
    <s v="A00002673"/>
    <s v="PLC00008109"/>
    <d v="2016-06-30T00:00:00"/>
    <d v="2020-09-02T00:00:00"/>
    <d v="2020-09-02T00:00:00"/>
    <n v="0"/>
    <n v="89.66"/>
    <n v="1075.92"/>
    <n v="2000"/>
    <s v="A"/>
    <n v="2000"/>
    <n v="8.42"/>
    <s v="Minor Loss"/>
    <n v="101"/>
    <n v="43"/>
    <n v="1"/>
    <n v="3"/>
    <s v="M"/>
    <x v="1"/>
    <x v="0"/>
    <s v="Rent"/>
    <n v="1"/>
    <n v="1"/>
    <n v="9059.2464"/>
    <n v="6613.2498719999994"/>
    <n v="4613.2498719999994"/>
  </r>
  <r>
    <s v="TXN00002375"/>
    <s v="A00008513"/>
    <s v="PLC00005103"/>
    <d v="2016-05-02T00:00:00"/>
    <d v="2020-09-03T00:00:00"/>
    <d v="2020-09-03T00:00:00"/>
    <n v="0"/>
    <n v="117.8"/>
    <n v="1413.6"/>
    <n v="4000"/>
    <s v="A"/>
    <n v="4000"/>
    <n v="2.25"/>
    <s v="Major Loss"/>
    <n v="27"/>
    <n v="58"/>
    <n v="0"/>
    <n v="4"/>
    <s v="L"/>
    <x v="0"/>
    <x v="0"/>
    <s v="Own"/>
    <n v="1"/>
    <n v="1"/>
    <n v="3180.6"/>
    <n v="2321.8379999999997"/>
    <n v="-1678.1620000000003"/>
  </r>
  <r>
    <s v="TXN00002377"/>
    <s v="A00000873"/>
    <s v="PLC00002364"/>
    <d v="2013-04-17T00:00:00"/>
    <d v="2020-09-04T00:00:00"/>
    <d v="2020-09-04T00:00:00"/>
    <n v="0"/>
    <n v="97.26"/>
    <n v="1167.1199999999999"/>
    <n v="10000"/>
    <s v="A"/>
    <n v="10000"/>
    <n v="3.58"/>
    <s v="Major Loss"/>
    <n v="43"/>
    <n v="26"/>
    <n v="1"/>
    <n v="2"/>
    <s v="M"/>
    <x v="0"/>
    <x v="0"/>
    <s v="Own"/>
    <n v="1"/>
    <n v="1"/>
    <n v="4178.2896000000001"/>
    <n v="3050.1514080000002"/>
    <n v="-6949.8485920000003"/>
  </r>
  <r>
    <s v="TXN00002379"/>
    <s v="A00006706"/>
    <s v="PLC00005655"/>
    <d v="2011-03-16T00:00:00"/>
    <d v="2020-08-25T00:00:00"/>
    <d v="2020-08-30T00:00:00"/>
    <n v="5"/>
    <n v="85.97"/>
    <n v="1031.6400000000001"/>
    <n v="4000"/>
    <s v="D"/>
    <n v="0"/>
    <n v="9.42"/>
    <s v="Total Loss"/>
    <n v="113"/>
    <n v="50"/>
    <n v="1"/>
    <n v="4"/>
    <s v="M"/>
    <x v="2"/>
    <x v="6"/>
    <s v="Mortgage"/>
    <n v="1"/>
    <n v="1"/>
    <n v="9718.0488000000005"/>
    <n v="7094.1756240000004"/>
    <n v="7094.1756240000004"/>
  </r>
  <r>
    <s v="TXN00002381"/>
    <s v="A00008235"/>
    <s v="PLC00008153"/>
    <d v="2011-12-07T00:00:00"/>
    <d v="2020-08-17T00:00:00"/>
    <d v="2020-08-22T00:00:00"/>
    <n v="5"/>
    <n v="138.43"/>
    <n v="1661.16"/>
    <n v="5000"/>
    <s v="A"/>
    <n v="5000"/>
    <n v="5.67"/>
    <s v="Minor Loss"/>
    <n v="68"/>
    <n v="31"/>
    <n v="1"/>
    <n v="6"/>
    <s v="M"/>
    <x v="1"/>
    <x v="1"/>
    <s v="Mortgage"/>
    <n v="1"/>
    <n v="0"/>
    <n v="9418.7772000000004"/>
    <n v="6875.7073559999999"/>
    <n v="1875.7073559999999"/>
  </r>
  <r>
    <s v="TXN00002388"/>
    <s v="A00007416"/>
    <s v="PLC00000888"/>
    <d v="2017-09-02T00:00:00"/>
    <d v="2020-08-21T00:00:00"/>
    <d v="2020-08-26T00:00:00"/>
    <n v="5"/>
    <n v="101.27"/>
    <n v="1215.24"/>
    <n v="10000"/>
    <s v="A"/>
    <n v="10000"/>
    <n v="7.33"/>
    <s v="Total Loss"/>
    <n v="88"/>
    <n v="50"/>
    <n v="1"/>
    <n v="2"/>
    <s v="L"/>
    <x v="1"/>
    <x v="0"/>
    <s v="Rent"/>
    <n v="1"/>
    <n v="0"/>
    <n v="8907.7091999999993"/>
    <n v="6502.6277159999991"/>
    <n v="-3497.3722840000009"/>
  </r>
  <r>
    <s v="TXN00002391"/>
    <s v="A00006879"/>
    <s v="PLC00002125"/>
    <d v="2011-08-14T00:00:00"/>
    <d v="2020-09-01T00:00:00"/>
    <d v="2020-09-02T00:00:00"/>
    <n v="1"/>
    <n v="113.72"/>
    <n v="1364.64"/>
    <n v="10000"/>
    <s v="A"/>
    <n v="10000"/>
    <n v="6.58"/>
    <s v="Major Loss"/>
    <n v="79"/>
    <n v="51"/>
    <n v="1"/>
    <n v="4"/>
    <s v="M"/>
    <x v="1"/>
    <x v="1"/>
    <s v="Own"/>
    <n v="1"/>
    <n v="0"/>
    <n v="8979.3312000000005"/>
    <n v="6554.9117759999999"/>
    <n v="-3445.0882240000001"/>
  </r>
  <r>
    <s v="TXN00002397"/>
    <s v="A00006252"/>
    <s v="PLC00007600"/>
    <d v="2017-09-20T00:00:00"/>
    <d v="2020-09-03T00:00:00"/>
    <d v="2020-09-03T00:00:00"/>
    <n v="0"/>
    <n v="73.48"/>
    <n v="881.76"/>
    <n v="4000"/>
    <s v="A"/>
    <n v="4000"/>
    <n v="9.33"/>
    <s v="Minor Loss"/>
    <n v="112"/>
    <n v="31"/>
    <n v="1"/>
    <n v="6"/>
    <s v="M"/>
    <x v="0"/>
    <x v="1"/>
    <s v="Own"/>
    <n v="0"/>
    <n v="1"/>
    <n v="8226.8207999999995"/>
    <n v="6005.5791839999993"/>
    <n v="2005.5791839999993"/>
  </r>
  <r>
    <s v="TXN00002411"/>
    <s v="A00009943"/>
    <s v="PLC00003395"/>
    <d v="2012-11-02T00:00:00"/>
    <d v="2020-08-30T00:00:00"/>
    <d v="2020-09-01T00:00:00"/>
    <n v="2"/>
    <n v="104.33"/>
    <n v="1251.96"/>
    <n v="6000"/>
    <s v="A"/>
    <n v="6000"/>
    <n v="6.5"/>
    <s v="Minor Loss"/>
    <n v="78"/>
    <n v="44"/>
    <n v="0"/>
    <n v="2"/>
    <s v="M"/>
    <x v="1"/>
    <x v="1"/>
    <s v="Rent"/>
    <n v="0"/>
    <n v="1"/>
    <n v="8137.74"/>
    <n v="5940.5501999999997"/>
    <n v="-59.449800000000323"/>
  </r>
  <r>
    <s v="TXN00002412"/>
    <s v="A00007534"/>
    <s v="PLC00008896"/>
    <d v="2013-02-05T00:00:00"/>
    <d v="2020-09-05T00:00:00"/>
    <d v="2020-09-05T00:00:00"/>
    <n v="0"/>
    <n v="129.01"/>
    <n v="1548.12"/>
    <n v="10000"/>
    <s v="D"/>
    <n v="0"/>
    <n v="4.17"/>
    <s v="Total Loss"/>
    <n v="50"/>
    <n v="27"/>
    <n v="1"/>
    <n v="5"/>
    <s v="M"/>
    <x v="0"/>
    <x v="0"/>
    <s v="Own"/>
    <n v="0"/>
    <n v="1"/>
    <n v="6455.6603999999998"/>
    <n v="4712.6320919999998"/>
    <n v="4712.6320919999998"/>
  </r>
  <r>
    <s v="TXN00002413"/>
    <s v="A00004203"/>
    <s v="PLC00001175"/>
    <d v="2017-11-26T00:00:00"/>
    <d v="2020-08-29T00:00:00"/>
    <d v="2020-09-01T00:00:00"/>
    <n v="3"/>
    <n v="121.21"/>
    <n v="1454.52"/>
    <n v="1000"/>
    <s v="A"/>
    <n v="1000"/>
    <n v="7.17"/>
    <s v="Total Loss"/>
    <n v="86"/>
    <n v="56"/>
    <n v="1"/>
    <n v="7"/>
    <s v="L"/>
    <x v="0"/>
    <x v="0"/>
    <s v="Own"/>
    <n v="1"/>
    <n v="1"/>
    <n v="10428.9084"/>
    <n v="7613.1031320000002"/>
    <n v="6613.1031320000002"/>
  </r>
  <r>
    <s v="TXN00002425"/>
    <s v="A00001084"/>
    <s v="PLC00008045"/>
    <d v="2012-05-15T00:00:00"/>
    <d v="2020-08-29T00:00:00"/>
    <d v="2020-09-01T00:00:00"/>
    <n v="3"/>
    <n v="85.03"/>
    <n v="1020.36"/>
    <n v="1000"/>
    <s v="A"/>
    <n v="1000"/>
    <n v="2.83"/>
    <s v="Total Loss"/>
    <n v="34"/>
    <n v="51"/>
    <n v="1"/>
    <n v="5"/>
    <s v="M"/>
    <x v="2"/>
    <x v="4"/>
    <s v="Rent"/>
    <n v="1"/>
    <n v="0"/>
    <n v="2887.6188000000002"/>
    <n v="2107.9617240000002"/>
    <n v="1107.9617240000002"/>
  </r>
  <r>
    <s v="TXN00002446"/>
    <s v="A00005467"/>
    <s v="PLC00008160"/>
    <d v="2014-04-07T00:00:00"/>
    <d v="2020-09-06T00:00:00"/>
    <d v="2020-09-06T00:00:00"/>
    <n v="0"/>
    <n v="133.22"/>
    <n v="1598.64"/>
    <n v="8000"/>
    <s v="A"/>
    <n v="8000"/>
    <n v="4.5"/>
    <s v="Major Loss"/>
    <n v="54"/>
    <n v="30"/>
    <n v="1"/>
    <n v="4"/>
    <s v="M"/>
    <x v="0"/>
    <x v="1"/>
    <s v="Mortgage"/>
    <n v="1"/>
    <n v="1"/>
    <n v="7193.88"/>
    <n v="5251.5324000000001"/>
    <n v="-2748.4675999999999"/>
  </r>
  <r>
    <s v="TXN00002449"/>
    <s v="A00009194"/>
    <s v="PLC00002240"/>
    <d v="2011-04-29T00:00:00"/>
    <d v="2020-08-19T00:00:00"/>
    <d v="2020-08-24T00:00:00"/>
    <n v="5"/>
    <n v="123.35"/>
    <n v="1480.2"/>
    <n v="9000"/>
    <s v="A"/>
    <n v="9000"/>
    <n v="2.25"/>
    <s v="Total Loss"/>
    <n v="27"/>
    <n v="35"/>
    <n v="1"/>
    <n v="6"/>
    <s v="L"/>
    <x v="1"/>
    <x v="0"/>
    <s v="Mortgage"/>
    <n v="1"/>
    <n v="1"/>
    <n v="3330.4500000000003"/>
    <n v="2431.2285000000002"/>
    <n v="-6568.7714999999998"/>
  </r>
  <r>
    <s v="TXN00002455"/>
    <s v="A00003431"/>
    <s v="PLC00008948"/>
    <d v="2015-08-13T00:00:00"/>
    <d v="2020-09-01T00:00:00"/>
    <d v="2020-09-03T00:00:00"/>
    <n v="2"/>
    <n v="85"/>
    <n v="1020"/>
    <n v="6000"/>
    <s v="A"/>
    <n v="6000"/>
    <n v="4.58"/>
    <s v="Major Loss"/>
    <n v="55"/>
    <n v="27"/>
    <n v="0"/>
    <n v="2"/>
    <s v="M"/>
    <x v="1"/>
    <x v="1"/>
    <s v="Rent"/>
    <n v="1"/>
    <n v="0"/>
    <n v="4671.6000000000004"/>
    <n v="3410.268"/>
    <n v="-2589.732"/>
  </r>
  <r>
    <s v="TXN00002481"/>
    <s v="A00008393"/>
    <s v="PLC00005928"/>
    <d v="2015-06-24T00:00:00"/>
    <d v="2020-09-06T00:00:00"/>
    <d v="2020-09-06T00:00:00"/>
    <n v="0"/>
    <n v="74.239999999999995"/>
    <n v="890.88"/>
    <n v="9000"/>
    <s v="A"/>
    <n v="9000"/>
    <n v="8.25"/>
    <s v="Minor Loss"/>
    <n v="99"/>
    <n v="55"/>
    <n v="1"/>
    <n v="7"/>
    <s v="H"/>
    <x v="1"/>
    <x v="1"/>
    <s v="Rent"/>
    <n v="1"/>
    <n v="1"/>
    <n v="7349.76"/>
    <n v="5365.3248000000003"/>
    <n v="-3634.6751999999997"/>
  </r>
  <r>
    <s v="TXN00002488"/>
    <s v="A00009328"/>
    <s v="PLC00001182"/>
    <d v="2019-12-07T00:00:00"/>
    <d v="2020-08-28T00:00:00"/>
    <d v="2020-09-02T00:00:00"/>
    <n v="5"/>
    <n v="99.59"/>
    <n v="1195.08"/>
    <n v="9000"/>
    <s v="A"/>
    <n v="9000"/>
    <n v="8.25"/>
    <s v="Minor Loss"/>
    <n v="99"/>
    <n v="49"/>
    <n v="1"/>
    <n v="6"/>
    <s v="L"/>
    <x v="1"/>
    <x v="2"/>
    <s v="Rent"/>
    <n v="1"/>
    <n v="0"/>
    <n v="9859.41"/>
    <n v="7197.3692999999994"/>
    <n v="-1802.6307000000006"/>
  </r>
  <r>
    <s v="TXN00002492"/>
    <s v="A00002753"/>
    <s v="PLC00004830"/>
    <d v="2019-10-14T00:00:00"/>
    <d v="2020-09-06T00:00:00"/>
    <d v="2020-09-07T00:00:00"/>
    <n v="1"/>
    <n v="90.67"/>
    <n v="1088.04"/>
    <n v="8000"/>
    <s v="A"/>
    <n v="8000"/>
    <n v="7.42"/>
    <s v="Minor Loss"/>
    <n v="89"/>
    <n v="44"/>
    <n v="0"/>
    <n v="5"/>
    <s v="L"/>
    <x v="2"/>
    <x v="1"/>
    <s v="Mortgage"/>
    <n v="1"/>
    <n v="1"/>
    <n v="8073.2567999999992"/>
    <n v="5893.4774639999996"/>
    <n v="-2106.5225360000004"/>
  </r>
  <r>
    <s v="TXN00002496"/>
    <s v="A00004420"/>
    <s v="PLC00004582"/>
    <d v="2015-11-28T00:00:00"/>
    <d v="2020-08-24T00:00:00"/>
    <d v="2020-08-29T00:00:00"/>
    <n v="5"/>
    <n v="124.81"/>
    <n v="1497.72"/>
    <n v="4000"/>
    <s v="D"/>
    <n v="0"/>
    <n v="1.42"/>
    <s v="Major Loss"/>
    <n v="17"/>
    <n v="44"/>
    <n v="0"/>
    <n v="6"/>
    <s v="L"/>
    <x v="0"/>
    <x v="3"/>
    <s v="Rent"/>
    <n v="0"/>
    <n v="1"/>
    <n v="2126.7624000000001"/>
    <n v="1552.536552"/>
    <n v="1552.536552"/>
  </r>
  <r>
    <s v="TXN00002497"/>
    <s v="A00002831"/>
    <s v="PLC00005394"/>
    <d v="2014-04-16T00:00:00"/>
    <d v="2020-08-24T00:00:00"/>
    <d v="2020-08-29T00:00:00"/>
    <n v="5"/>
    <n v="111.94"/>
    <n v="1343.28"/>
    <n v="7000"/>
    <s v="A"/>
    <n v="7000"/>
    <n v="1.58"/>
    <s v="Total Loss"/>
    <n v="19"/>
    <n v="33"/>
    <n v="1"/>
    <n v="3"/>
    <s v="L"/>
    <x v="0"/>
    <x v="4"/>
    <s v="Mortgage"/>
    <n v="1"/>
    <n v="1"/>
    <n v="2122.3824"/>
    <n v="1549.339152"/>
    <n v="-5450.6608479999995"/>
  </r>
  <r>
    <s v="TXN00002500"/>
    <s v="A00000709"/>
    <s v="PLC00005075"/>
    <d v="2010-08-07T00:00:00"/>
    <d v="2020-09-08T00:00:00"/>
    <d v="2020-09-08T00:00:00"/>
    <n v="0"/>
    <n v="126.84"/>
    <n v="1522.08"/>
    <n v="3000"/>
    <s v="A"/>
    <n v="3000"/>
    <n v="4.33"/>
    <s v="Major Loss"/>
    <n v="52"/>
    <n v="43"/>
    <n v="0"/>
    <n v="7"/>
    <s v="M"/>
    <x v="1"/>
    <x v="3"/>
    <s v="Rent"/>
    <n v="1"/>
    <n v="0"/>
    <n v="6590.6063999999997"/>
    <n v="4811.1426719999999"/>
    <n v="1811.1426719999999"/>
  </r>
  <r>
    <s v="TXN00002510"/>
    <s v="A00000007"/>
    <s v="PLC00000651"/>
    <d v="2012-03-08T00:00:00"/>
    <d v="2020-09-06T00:00:00"/>
    <d v="2020-09-07T00:00:00"/>
    <n v="1"/>
    <n v="83.78"/>
    <n v="1005.36"/>
    <n v="9000"/>
    <s v="A"/>
    <n v="9000"/>
    <n v="0.92"/>
    <s v="Major Loss"/>
    <n v="11"/>
    <n v="47"/>
    <n v="1"/>
    <n v="3"/>
    <s v="H"/>
    <x v="2"/>
    <x v="3"/>
    <s v="Mortgage"/>
    <n v="0"/>
    <n v="1"/>
    <n v="924.9312000000001"/>
    <n v="675.19977600000004"/>
    <n v="-8324.8002240000005"/>
  </r>
  <r>
    <s v="TXN00002511"/>
    <s v="A00008367"/>
    <s v="PLC00005399"/>
    <d v="2020-01-20T00:00:00"/>
    <d v="2020-09-01T00:00:00"/>
    <d v="2020-09-04T00:00:00"/>
    <n v="3"/>
    <n v="139.47999999999999"/>
    <n v="1673.76"/>
    <n v="9000"/>
    <s v="A"/>
    <n v="9000"/>
    <n v="4.5"/>
    <s v="Minor Loss"/>
    <n v="54"/>
    <n v="58"/>
    <n v="0"/>
    <n v="6"/>
    <s v="M"/>
    <x v="0"/>
    <x v="3"/>
    <s v="Own"/>
    <n v="0"/>
    <n v="0"/>
    <n v="7531.92"/>
    <n v="5498.3015999999998"/>
    <n v="-3501.6984000000002"/>
  </r>
  <r>
    <s v="TXN00002518"/>
    <s v="A00009799"/>
    <s v="PLC00002079"/>
    <d v="2018-09-11T00:00:00"/>
    <d v="2020-09-07T00:00:00"/>
    <d v="2020-09-07T00:00:00"/>
    <n v="0"/>
    <n v="78.67"/>
    <n v="944.04"/>
    <n v="1000"/>
    <s v="A"/>
    <n v="1000"/>
    <n v="2.75"/>
    <s v="Major Loss"/>
    <n v="33"/>
    <n v="62"/>
    <n v="0"/>
    <n v="7"/>
    <s v="M"/>
    <x v="0"/>
    <x v="4"/>
    <s v="Own"/>
    <n v="0"/>
    <n v="1"/>
    <n v="2596.1099999999997"/>
    <n v="1895.1602999999998"/>
    <n v="895.16029999999978"/>
  </r>
  <r>
    <s v="TXN00002528"/>
    <s v="A00003840"/>
    <s v="PLC00003840"/>
    <d v="2017-08-29T00:00:00"/>
    <d v="2020-09-01T00:00:00"/>
    <d v="2020-09-04T00:00:00"/>
    <n v="3"/>
    <n v="97.37"/>
    <n v="1168.44"/>
    <n v="7000"/>
    <s v="A"/>
    <n v="7000"/>
    <n v="3.33"/>
    <s v="Minor Loss"/>
    <n v="40"/>
    <n v="59"/>
    <n v="1"/>
    <n v="2"/>
    <s v="M"/>
    <x v="0"/>
    <x v="6"/>
    <s v="Rent"/>
    <n v="1"/>
    <n v="0"/>
    <n v="3890.9052000000001"/>
    <n v="2840.3607959999999"/>
    <n v="-4159.6392040000001"/>
  </r>
  <r>
    <s v="TXN00002531"/>
    <s v="A00009294"/>
    <s v="PLC00000477"/>
    <d v="2017-01-31T00:00:00"/>
    <d v="2020-08-30T00:00:00"/>
    <d v="2020-09-04T00:00:00"/>
    <n v="5"/>
    <n v="134.80000000000001"/>
    <n v="1617.6"/>
    <n v="6000"/>
    <s v="A"/>
    <n v="6000"/>
    <n v="6.83"/>
    <s v="Total Loss"/>
    <n v="82"/>
    <n v="26"/>
    <n v="1"/>
    <n v="6"/>
    <s v="M"/>
    <x v="0"/>
    <x v="0"/>
    <s v="Rent"/>
    <n v="1"/>
    <n v="0"/>
    <n v="11048.207999999999"/>
    <n v="8065.1918399999986"/>
    <n v="2065.1918399999986"/>
  </r>
  <r>
    <s v="TXN00002532"/>
    <s v="A00004708"/>
    <s v="PLC00007868"/>
    <d v="2012-04-08T00:00:00"/>
    <d v="2020-09-04T00:00:00"/>
    <d v="2020-09-06T00:00:00"/>
    <n v="2"/>
    <n v="70.22"/>
    <n v="842.64"/>
    <n v="2000"/>
    <s v="A"/>
    <n v="2000"/>
    <n v="6.25"/>
    <s v="Total Loss"/>
    <n v="75"/>
    <n v="61"/>
    <n v="0"/>
    <n v="4"/>
    <s v="L"/>
    <x v="2"/>
    <x v="4"/>
    <s v="Rent"/>
    <n v="1"/>
    <n v="0"/>
    <n v="5266.5"/>
    <n v="3844.5450000000001"/>
    <n v="1844.5450000000001"/>
  </r>
  <r>
    <s v="TXN00002555"/>
    <s v="A00006196"/>
    <s v="PLC00009406"/>
    <d v="2012-07-17T00:00:00"/>
    <d v="2020-09-05T00:00:00"/>
    <d v="2020-09-07T00:00:00"/>
    <n v="2"/>
    <n v="128.65"/>
    <n v="1543.8"/>
    <n v="3000"/>
    <s v="A"/>
    <n v="3000"/>
    <n v="2.33"/>
    <s v="Total Loss"/>
    <n v="28"/>
    <n v="30"/>
    <n v="1"/>
    <n v="3"/>
    <s v="H"/>
    <x v="2"/>
    <x v="0"/>
    <s v="Rent"/>
    <n v="1"/>
    <n v="1"/>
    <n v="3597.0540000000001"/>
    <n v="2625.84942"/>
    <n v="-374.15057999999999"/>
  </r>
  <r>
    <s v="TXN00002557"/>
    <s v="A00009372"/>
    <s v="PLC00000920"/>
    <d v="2014-05-20T00:00:00"/>
    <d v="2020-09-01T00:00:00"/>
    <d v="2020-09-06T00:00:00"/>
    <n v="5"/>
    <n v="133.19"/>
    <n v="1598.28"/>
    <n v="8000"/>
    <s v="A"/>
    <n v="8000"/>
    <n v="4.08"/>
    <s v="Minor Loss"/>
    <n v="49"/>
    <n v="37"/>
    <n v="1"/>
    <n v="7"/>
    <s v="L"/>
    <x v="0"/>
    <x v="0"/>
    <s v="Mortgage"/>
    <n v="1"/>
    <n v="1"/>
    <n v="6520.9823999999999"/>
    <n v="4760.3171519999996"/>
    <n v="-3239.6828480000004"/>
  </r>
  <r>
    <s v="TXN00002585"/>
    <s v="A00005437"/>
    <s v="PLC00007482"/>
    <d v="2014-03-04T00:00:00"/>
    <d v="2020-09-01T00:00:00"/>
    <d v="2020-09-06T00:00:00"/>
    <n v="5"/>
    <n v="138.28"/>
    <n v="1659.36"/>
    <n v="8000"/>
    <s v="A"/>
    <n v="8000"/>
    <n v="6.83"/>
    <s v="Total Loss"/>
    <n v="82"/>
    <n v="59"/>
    <n v="0"/>
    <n v="7"/>
    <s v="M"/>
    <x v="0"/>
    <x v="3"/>
    <s v="Own"/>
    <n v="1"/>
    <n v="0"/>
    <n v="11333.4288"/>
    <n v="8273.4030239999993"/>
    <n v="273.40302399999928"/>
  </r>
  <r>
    <s v="TXN00002591"/>
    <s v="A00009997"/>
    <s v="PLC00002441"/>
    <d v="2016-12-06T00:00:00"/>
    <d v="2020-08-28T00:00:00"/>
    <d v="2020-09-02T00:00:00"/>
    <n v="5"/>
    <n v="84.1"/>
    <n v="1009.2"/>
    <n v="6000"/>
    <s v="A"/>
    <n v="6000"/>
    <n v="4.75"/>
    <s v="Major Loss"/>
    <n v="57"/>
    <n v="51"/>
    <n v="1"/>
    <n v="7"/>
    <s v="L"/>
    <x v="1"/>
    <x v="1"/>
    <s v="Mortgage"/>
    <n v="1"/>
    <n v="1"/>
    <n v="4793.7"/>
    <n v="3499.4009999999998"/>
    <n v="-2500.5990000000002"/>
  </r>
  <r>
    <s v="TXN00002606"/>
    <s v="A00005002"/>
    <s v="PLC00004284"/>
    <d v="2018-12-17T00:00:00"/>
    <d v="2020-08-25T00:00:00"/>
    <d v="2020-08-30T00:00:00"/>
    <n v="5"/>
    <n v="121.94"/>
    <n v="1463.28"/>
    <n v="2000"/>
    <s v="A"/>
    <n v="2000"/>
    <n v="7.25"/>
    <s v="Total Loss"/>
    <n v="87"/>
    <n v="43"/>
    <n v="1"/>
    <n v="7"/>
    <s v="M"/>
    <x v="0"/>
    <x v="1"/>
    <s v="Mortgage"/>
    <n v="0"/>
    <n v="1"/>
    <n v="10608.78"/>
    <n v="7744.4094000000005"/>
    <n v="5744.4094000000005"/>
  </r>
  <r>
    <s v="TXN00002609"/>
    <s v="A00006402"/>
    <s v="PLC00003866"/>
    <d v="2013-08-30T00:00:00"/>
    <d v="2020-08-29T00:00:00"/>
    <d v="2020-09-03T00:00:00"/>
    <n v="5"/>
    <n v="99.44"/>
    <n v="1193.28"/>
    <n v="6000"/>
    <s v="A"/>
    <n v="6000"/>
    <n v="3.42"/>
    <s v="Major Loss"/>
    <n v="41"/>
    <n v="53"/>
    <n v="1"/>
    <n v="3"/>
    <s v="M"/>
    <x v="1"/>
    <x v="4"/>
    <s v="Mortgage"/>
    <n v="0"/>
    <n v="1"/>
    <n v="4081.0175999999997"/>
    <n v="2979.1428479999995"/>
    <n v="-3020.8571520000005"/>
  </r>
  <r>
    <s v="TXN00002621"/>
    <s v="A00000496"/>
    <s v="PLC00006770"/>
    <d v="2017-04-17T00:00:00"/>
    <d v="2020-08-28T00:00:00"/>
    <d v="2020-09-02T00:00:00"/>
    <n v="5"/>
    <n v="72.08"/>
    <n v="864.96"/>
    <n v="7000"/>
    <s v="A"/>
    <n v="7000"/>
    <n v="2.67"/>
    <s v="Minor Loss"/>
    <n v="32"/>
    <n v="29"/>
    <n v="1"/>
    <n v="3"/>
    <s v="H"/>
    <x v="1"/>
    <x v="0"/>
    <s v="Own"/>
    <n v="1"/>
    <n v="1"/>
    <n v="2309.4432000000002"/>
    <n v="1685.893536"/>
    <n v="-5314.1064640000004"/>
  </r>
  <r>
    <s v="TXN00002641"/>
    <s v="A00008985"/>
    <s v="PLC00002895"/>
    <d v="2019-11-23T00:00:00"/>
    <d v="2020-09-07T00:00:00"/>
    <d v="2020-09-10T00:00:00"/>
    <n v="3"/>
    <n v="131.82"/>
    <n v="1581.84"/>
    <n v="1000"/>
    <s v="A"/>
    <n v="1000"/>
    <n v="1.33"/>
    <s v="Minor Loss"/>
    <n v="16"/>
    <n v="44"/>
    <n v="1"/>
    <n v="4"/>
    <s v="M"/>
    <x v="0"/>
    <x v="1"/>
    <s v="Mortgage"/>
    <n v="1"/>
    <n v="1"/>
    <n v="2103.8472000000002"/>
    <n v="1535.808456"/>
    <n v="535.80845599999998"/>
  </r>
  <r>
    <s v="TXN00002646"/>
    <s v="A00004567"/>
    <s v="PLC00005848"/>
    <d v="2018-06-22T00:00:00"/>
    <d v="2020-09-06T00:00:00"/>
    <d v="2020-09-09T00:00:00"/>
    <n v="3"/>
    <n v="73.62"/>
    <n v="883.44"/>
    <n v="6000"/>
    <s v="A"/>
    <n v="6000"/>
    <n v="2.67"/>
    <s v="Major Loss"/>
    <n v="32"/>
    <n v="58"/>
    <n v="0"/>
    <n v="3"/>
    <s v="M"/>
    <x v="1"/>
    <x v="2"/>
    <s v="Own"/>
    <n v="1"/>
    <n v="1"/>
    <n v="2358.7847999999999"/>
    <n v="1721.9129039999998"/>
    <n v="-4278.0870960000002"/>
  </r>
  <r>
    <s v="TXN00002654"/>
    <s v="A00003047"/>
    <s v="PLC00004345"/>
    <d v="2010-12-07T00:00:00"/>
    <d v="2020-08-29T00:00:00"/>
    <d v="2020-09-03T00:00:00"/>
    <n v="5"/>
    <n v="74.97"/>
    <n v="899.64"/>
    <n v="1000"/>
    <s v="A"/>
    <n v="1000"/>
    <n v="1.67"/>
    <s v="Major Loss"/>
    <n v="20"/>
    <n v="60"/>
    <n v="1"/>
    <n v="5"/>
    <s v="M"/>
    <x v="2"/>
    <x v="1"/>
    <s v="Own"/>
    <n v="1"/>
    <n v="0"/>
    <n v="1502.3987999999999"/>
    <n v="1096.7511239999999"/>
    <n v="96.751123999999891"/>
  </r>
  <r>
    <s v="TXN00002656"/>
    <s v="A00006028"/>
    <s v="PLC00009409"/>
    <d v="2017-02-01T00:00:00"/>
    <d v="2020-08-31T00:00:00"/>
    <d v="2020-09-05T00:00:00"/>
    <n v="5"/>
    <n v="100.18"/>
    <n v="1202.1600000000001"/>
    <n v="1000"/>
    <s v="A"/>
    <n v="1000"/>
    <n v="5.83"/>
    <s v="Minor Loss"/>
    <n v="70"/>
    <n v="47"/>
    <n v="1"/>
    <n v="5"/>
    <s v="L"/>
    <x v="1"/>
    <x v="2"/>
    <s v="Own"/>
    <n v="0"/>
    <n v="1"/>
    <n v="7008.5928000000004"/>
    <n v="5116.2727439999999"/>
    <n v="4116.2727439999999"/>
  </r>
  <r>
    <s v="TXN00002661"/>
    <s v="A00002921"/>
    <s v="PLC00001428"/>
    <d v="2016-05-31T00:00:00"/>
    <d v="2020-08-28T00:00:00"/>
    <d v="2020-09-02T00:00:00"/>
    <n v="5"/>
    <n v="104.57"/>
    <n v="1254.8399999999999"/>
    <n v="8000"/>
    <s v="D"/>
    <n v="0"/>
    <n v="8.58"/>
    <s v="Major Loss"/>
    <n v="103"/>
    <n v="29"/>
    <n v="1"/>
    <n v="6"/>
    <s v="L"/>
    <x v="1"/>
    <x v="1"/>
    <s v="Rent"/>
    <n v="1"/>
    <n v="0"/>
    <n v="10766.527199999999"/>
    <n v="7859.5648559999991"/>
    <n v="7859.5648559999991"/>
  </r>
  <r>
    <s v="TXN00002669"/>
    <s v="A00008820"/>
    <s v="PLC00004137"/>
    <d v="2019-07-29T00:00:00"/>
    <d v="2020-08-30T00:00:00"/>
    <d v="2020-09-04T00:00:00"/>
    <n v="5"/>
    <n v="124.37"/>
    <n v="1492.44"/>
    <n v="3000"/>
    <s v="A"/>
    <n v="3000"/>
    <n v="8.83"/>
    <s v="Major Loss"/>
    <n v="106"/>
    <n v="30"/>
    <n v="1"/>
    <n v="7"/>
    <s v="M"/>
    <x v="0"/>
    <x v="1"/>
    <s v="Mortgage"/>
    <n v="1"/>
    <n v="0"/>
    <n v="13178.245200000001"/>
    <n v="9620.1189960000011"/>
    <n v="6620.1189960000011"/>
  </r>
  <r>
    <s v="TXN00002689"/>
    <s v="A00007002"/>
    <s v="PLC00004302"/>
    <d v="2012-04-08T00:00:00"/>
    <d v="2020-09-13T00:00:00"/>
    <d v="2020-09-14T00:00:00"/>
    <n v="1"/>
    <n v="128.24"/>
    <n v="1538.88"/>
    <n v="7000"/>
    <s v="A"/>
    <n v="7000"/>
    <n v="3.5"/>
    <s v="Total Loss"/>
    <n v="42"/>
    <n v="49"/>
    <n v="1"/>
    <n v="7"/>
    <s v="M"/>
    <x v="0"/>
    <x v="0"/>
    <s v="Own"/>
    <n v="0"/>
    <n v="1"/>
    <n v="5386.08"/>
    <n v="3931.8383999999996"/>
    <n v="-3068.1616000000004"/>
  </r>
  <r>
    <s v="TXN00002691"/>
    <s v="A00009557"/>
    <s v="PLC00004867"/>
    <d v="2014-07-20T00:00:00"/>
    <d v="2020-08-31T00:00:00"/>
    <d v="2020-09-05T00:00:00"/>
    <n v="5"/>
    <n v="76.349999999999994"/>
    <n v="916.2"/>
    <n v="10000"/>
    <s v="A"/>
    <n v="10000"/>
    <n v="6.42"/>
    <s v="Minor Loss"/>
    <n v="77"/>
    <n v="28"/>
    <n v="1"/>
    <n v="4"/>
    <s v="M"/>
    <x v="1"/>
    <x v="5"/>
    <s v="Mortgage"/>
    <n v="1"/>
    <n v="0"/>
    <n v="5882.0039999999999"/>
    <n v="4293.8629199999996"/>
    <n v="-5706.1370800000004"/>
  </r>
  <r>
    <s v="TXN00002694"/>
    <s v="A00004156"/>
    <s v="PLC00007061"/>
    <d v="2012-10-15T00:00:00"/>
    <d v="2020-09-14T00:00:00"/>
    <d v="2020-09-14T00:00:00"/>
    <n v="0"/>
    <n v="110.18"/>
    <n v="1322.16"/>
    <n v="6000"/>
    <s v="A"/>
    <n v="6000"/>
    <n v="9.25"/>
    <s v="Total Loss"/>
    <n v="111"/>
    <n v="47"/>
    <n v="1"/>
    <n v="6"/>
    <s v="M"/>
    <x v="0"/>
    <x v="6"/>
    <s v="Mortgage"/>
    <n v="1"/>
    <n v="1"/>
    <n v="12229.980000000001"/>
    <n v="8927.885400000001"/>
    <n v="2927.885400000001"/>
  </r>
  <r>
    <s v="TXN00002718"/>
    <s v="A00009124"/>
    <s v="PLC00000680"/>
    <d v="2017-06-20T00:00:00"/>
    <d v="2020-09-15T00:00:00"/>
    <d v="2020-09-15T00:00:00"/>
    <n v="0"/>
    <n v="129.16999999999999"/>
    <n v="1550.04"/>
    <n v="5000"/>
    <s v="A"/>
    <n v="5000"/>
    <n v="4.67"/>
    <s v="Total Loss"/>
    <n v="56"/>
    <n v="49"/>
    <n v="1"/>
    <n v="4"/>
    <s v="L"/>
    <x v="0"/>
    <x v="1"/>
    <s v="Mortgage"/>
    <n v="1"/>
    <n v="1"/>
    <n v="7238.6867999999995"/>
    <n v="5284.2413639999995"/>
    <n v="284.24136399999952"/>
  </r>
  <r>
    <s v="TXN00002725"/>
    <s v="A00006685"/>
    <s v="PLC00002158"/>
    <d v="2012-07-01T00:00:00"/>
    <d v="2020-09-06T00:00:00"/>
    <d v="2020-09-11T00:00:00"/>
    <n v="5"/>
    <n v="119.44"/>
    <n v="1433.28"/>
    <n v="4000"/>
    <s v="D"/>
    <n v="0"/>
    <n v="8.75"/>
    <s v="Major Loss"/>
    <n v="105"/>
    <n v="25"/>
    <n v="1"/>
    <n v="6"/>
    <s v="L"/>
    <x v="2"/>
    <x v="1"/>
    <s v="Own"/>
    <n v="1"/>
    <n v="1"/>
    <n v="12541.199999999999"/>
    <n v="9155.0759999999991"/>
    <n v="9155.0759999999991"/>
  </r>
  <r>
    <s v="TXN00002728"/>
    <s v="A00007102"/>
    <s v="PLC00004052"/>
    <d v="2019-03-19T00:00:00"/>
    <d v="2020-08-31T00:00:00"/>
    <d v="2020-09-05T00:00:00"/>
    <n v="5"/>
    <n v="136.35"/>
    <n v="1636.2"/>
    <n v="7000"/>
    <s v="A"/>
    <n v="7000"/>
    <n v="6.33"/>
    <s v="Total Loss"/>
    <n v="76"/>
    <n v="50"/>
    <n v="0"/>
    <n v="2"/>
    <s v="L"/>
    <x v="0"/>
    <x v="1"/>
    <s v="Own"/>
    <n v="1"/>
    <n v="1"/>
    <n v="10357.146000000001"/>
    <n v="7560.7165800000002"/>
    <n v="560.71658000000025"/>
  </r>
  <r>
    <s v="TXN00002737"/>
    <s v="A00009176"/>
    <s v="PLC00007385"/>
    <d v="2011-10-13T00:00:00"/>
    <d v="2020-09-12T00:00:00"/>
    <d v="2020-09-14T00:00:00"/>
    <n v="2"/>
    <n v="82.39"/>
    <n v="988.68"/>
    <n v="7000"/>
    <s v="A"/>
    <n v="7000"/>
    <n v="3.25"/>
    <s v="Major Loss"/>
    <n v="39"/>
    <n v="55"/>
    <n v="1"/>
    <n v="5"/>
    <s v="M"/>
    <x v="2"/>
    <x v="1"/>
    <s v="Rent"/>
    <n v="1"/>
    <n v="1"/>
    <n v="3213.21"/>
    <n v="2345.6433000000002"/>
    <n v="-4654.3567000000003"/>
  </r>
  <r>
    <s v="TXN00002757"/>
    <s v="A00002613"/>
    <s v="PLC00009842"/>
    <d v="2016-01-16T00:00:00"/>
    <d v="2020-09-17T00:00:00"/>
    <d v="2020-09-17T00:00:00"/>
    <n v="0"/>
    <n v="88.91"/>
    <n v="1066.92"/>
    <n v="6000"/>
    <s v="A"/>
    <n v="6000"/>
    <n v="4.83"/>
    <s v="Total Loss"/>
    <n v="58"/>
    <n v="26"/>
    <n v="1"/>
    <n v="4"/>
    <s v="L"/>
    <x v="0"/>
    <x v="3"/>
    <s v="Mortgage"/>
    <n v="1"/>
    <n v="1"/>
    <n v="5153.2236000000003"/>
    <n v="3761.8532279999999"/>
    <n v="-2238.1467720000001"/>
  </r>
  <r>
    <s v="TXN00002759"/>
    <s v="A00008822"/>
    <s v="PLC00009247"/>
    <d v="2016-07-14T00:00:00"/>
    <d v="2020-09-19T00:00:00"/>
    <d v="2020-09-19T00:00:00"/>
    <n v="0"/>
    <n v="125.98"/>
    <n v="1511.76"/>
    <n v="10000"/>
    <s v="A"/>
    <n v="10000"/>
    <n v="9.25"/>
    <s v="Major Loss"/>
    <n v="111"/>
    <n v="34"/>
    <n v="0"/>
    <n v="5"/>
    <s v="L"/>
    <x v="2"/>
    <x v="3"/>
    <s v="Mortgage"/>
    <n v="0"/>
    <n v="1"/>
    <n v="13983.78"/>
    <n v="10208.1594"/>
    <n v="208.15940000000046"/>
  </r>
  <r>
    <s v="TXN00002764"/>
    <s v="A00006574"/>
    <s v="PLC00003598"/>
    <d v="2010-10-27T00:00:00"/>
    <d v="2020-09-15T00:00:00"/>
    <d v="2020-09-16T00:00:00"/>
    <n v="1"/>
    <n v="78.430000000000007"/>
    <n v="941.16"/>
    <n v="8000"/>
    <s v="A"/>
    <n v="8000"/>
    <n v="5.67"/>
    <s v="Major Loss"/>
    <n v="68"/>
    <n v="35"/>
    <n v="0"/>
    <n v="7"/>
    <s v="L"/>
    <x v="1"/>
    <x v="0"/>
    <s v="Rent"/>
    <n v="1"/>
    <n v="1"/>
    <n v="5336.3771999999999"/>
    <n v="3895.5553559999998"/>
    <n v="-4104.4446440000002"/>
  </r>
  <r>
    <s v="TXN00002767"/>
    <s v="A00005045"/>
    <s v="PLC00005379"/>
    <d v="2010-11-11T00:00:00"/>
    <d v="2020-09-13T00:00:00"/>
    <d v="2020-09-15T00:00:00"/>
    <n v="2"/>
    <n v="113.19"/>
    <n v="1358.28"/>
    <n v="5000"/>
    <s v="A"/>
    <n v="5000"/>
    <n v="5.67"/>
    <s v="Total Loss"/>
    <n v="68"/>
    <n v="50"/>
    <n v="0"/>
    <n v="6"/>
    <s v="M"/>
    <x v="0"/>
    <x v="1"/>
    <s v="Own"/>
    <n v="1"/>
    <n v="1"/>
    <n v="7701.4475999999995"/>
    <n v="5622.0567479999991"/>
    <n v="622.05674799999906"/>
  </r>
  <r>
    <s v="TXN00002778"/>
    <s v="A00007338"/>
    <s v="PLC00001434"/>
    <d v="2010-08-04T00:00:00"/>
    <d v="2020-09-12T00:00:00"/>
    <d v="2020-09-15T00:00:00"/>
    <n v="3"/>
    <n v="93.16"/>
    <n v="1117.92"/>
    <n v="2000"/>
    <s v="D"/>
    <n v="0"/>
    <n v="9.83"/>
    <s v="Major Loss"/>
    <n v="118"/>
    <n v="36"/>
    <n v="0"/>
    <n v="4"/>
    <s v="H"/>
    <x v="0"/>
    <x v="1"/>
    <s v="Mortgage"/>
    <n v="1"/>
    <n v="1"/>
    <n v="10989.153600000001"/>
    <n v="8022.0821280000009"/>
    <n v="8022.0821280000009"/>
  </r>
  <r>
    <s v="TXN00002786"/>
    <s v="A00009050"/>
    <s v="PLC00009301"/>
    <d v="2015-12-17T00:00:00"/>
    <d v="2020-09-16T00:00:00"/>
    <d v="2020-09-17T00:00:00"/>
    <n v="1"/>
    <n v="79.069999999999993"/>
    <n v="948.84"/>
    <n v="7000"/>
    <s v="A"/>
    <n v="7000"/>
    <n v="0.57999999999999996"/>
    <s v="Total Loss"/>
    <n v="7"/>
    <n v="28"/>
    <n v="1"/>
    <n v="2"/>
    <s v="M"/>
    <x v="2"/>
    <x v="2"/>
    <s v="Own"/>
    <n v="1"/>
    <n v="0"/>
    <n v="550.32719999999995"/>
    <n v="401.73885599999994"/>
    <n v="-6598.2611440000001"/>
  </r>
  <r>
    <s v="TXN00002788"/>
    <s v="A00003221"/>
    <s v="PLC00002334"/>
    <d v="2010-07-12T00:00:00"/>
    <d v="2020-09-12T00:00:00"/>
    <d v="2020-09-15T00:00:00"/>
    <n v="3"/>
    <n v="110.54"/>
    <n v="1326.48"/>
    <n v="7000"/>
    <s v="A"/>
    <n v="7000"/>
    <n v="2.17"/>
    <s v="Minor Loss"/>
    <n v="26"/>
    <n v="37"/>
    <n v="1"/>
    <n v="5"/>
    <s v="M"/>
    <x v="2"/>
    <x v="3"/>
    <s v="Rent"/>
    <n v="0"/>
    <n v="1"/>
    <n v="2878.4616000000001"/>
    <n v="2101.2769680000001"/>
    <n v="-4898.7230319999999"/>
  </r>
  <r>
    <s v="TXN00002795"/>
    <s v="A00007494"/>
    <s v="PLC00004229"/>
    <d v="2013-04-12T00:00:00"/>
    <d v="2020-09-14T00:00:00"/>
    <d v="2020-09-16T00:00:00"/>
    <n v="2"/>
    <n v="77.81"/>
    <n v="933.72"/>
    <n v="3000"/>
    <s v="A"/>
    <n v="3000"/>
    <n v="0.67"/>
    <s v="Major Loss"/>
    <n v="8"/>
    <n v="38"/>
    <n v="1"/>
    <n v="5"/>
    <s v="M"/>
    <x v="0"/>
    <x v="3"/>
    <s v="Rent"/>
    <n v="1"/>
    <n v="1"/>
    <n v="625.59240000000011"/>
    <n v="456.68245200000007"/>
    <n v="-2543.317548"/>
  </r>
  <r>
    <s v="TXN00002814"/>
    <s v="A00009397"/>
    <s v="PLC00005154"/>
    <d v="2014-08-28T00:00:00"/>
    <d v="2020-09-02T00:00:00"/>
    <d v="2020-09-07T00:00:00"/>
    <n v="5"/>
    <n v="118.73"/>
    <n v="1424.76"/>
    <n v="3000"/>
    <s v="A"/>
    <n v="3000"/>
    <n v="8.33"/>
    <s v="Major Loss"/>
    <n v="100"/>
    <n v="29"/>
    <n v="1"/>
    <n v="3"/>
    <s v="L"/>
    <x v="2"/>
    <x v="1"/>
    <s v="Rent"/>
    <n v="1"/>
    <n v="1"/>
    <n v="11868.2508"/>
    <n v="8663.8230839999997"/>
    <n v="5663.8230839999997"/>
  </r>
  <r>
    <s v="TXN00002822"/>
    <s v="A00003173"/>
    <s v="PLC00009942"/>
    <d v="2018-12-05T00:00:00"/>
    <d v="2020-09-06T00:00:00"/>
    <d v="2020-09-11T00:00:00"/>
    <n v="5"/>
    <n v="111.67"/>
    <n v="1340.04"/>
    <n v="6000"/>
    <s v="A"/>
    <n v="6000"/>
    <n v="3.83"/>
    <s v="Total Loss"/>
    <n v="46"/>
    <n v="25"/>
    <n v="1"/>
    <n v="3"/>
    <s v="H"/>
    <x v="0"/>
    <x v="1"/>
    <s v="Mortgage"/>
    <n v="0"/>
    <n v="1"/>
    <n v="5132.3531999999996"/>
    <n v="3746.6178359999994"/>
    <n v="-2253.3821640000006"/>
  </r>
  <r>
    <s v="TXN00002827"/>
    <s v="A00009534"/>
    <s v="PLC00003263"/>
    <d v="2016-06-18T00:00:00"/>
    <d v="2020-09-07T00:00:00"/>
    <d v="2020-09-12T00:00:00"/>
    <n v="5"/>
    <n v="129.79"/>
    <n v="1557.48"/>
    <n v="2000"/>
    <s v="A"/>
    <n v="2000"/>
    <n v="9.5"/>
    <s v="Major Loss"/>
    <n v="114"/>
    <n v="40"/>
    <n v="0"/>
    <n v="7"/>
    <s v="M"/>
    <x v="0"/>
    <x v="0"/>
    <s v="Own"/>
    <n v="1"/>
    <n v="0"/>
    <n v="14796.06"/>
    <n v="10801.123799999999"/>
    <n v="8801.1237999999994"/>
  </r>
  <r>
    <s v="TXN00002828"/>
    <s v="A00008177"/>
    <s v="PLC00002787"/>
    <d v="2017-06-12T00:00:00"/>
    <d v="2020-09-20T00:00:00"/>
    <d v="2020-09-20T00:00:00"/>
    <n v="0"/>
    <n v="80.22"/>
    <n v="962.64"/>
    <n v="9000"/>
    <s v="A"/>
    <n v="9000"/>
    <n v="1.58"/>
    <s v="Total Loss"/>
    <n v="19"/>
    <n v="36"/>
    <n v="0"/>
    <n v="2"/>
    <s v="L"/>
    <x v="0"/>
    <x v="1"/>
    <s v="Rent"/>
    <n v="0"/>
    <n v="1"/>
    <n v="1520.9712"/>
    <n v="1110.308976"/>
    <n v="-7889.6910239999997"/>
  </r>
  <r>
    <s v="TXN00002831"/>
    <s v="A00005530"/>
    <s v="PLC00001626"/>
    <d v="2013-03-15T00:00:00"/>
    <d v="2020-09-14T00:00:00"/>
    <d v="2020-09-17T00:00:00"/>
    <n v="3"/>
    <n v="110.54"/>
    <n v="1326.48"/>
    <n v="8000"/>
    <s v="A"/>
    <n v="8000"/>
    <n v="5.42"/>
    <s v="Minor Loss"/>
    <n v="65"/>
    <n v="62"/>
    <n v="1"/>
    <n v="4"/>
    <s v="M"/>
    <x v="2"/>
    <x v="1"/>
    <s v="Mortgage"/>
    <n v="0"/>
    <n v="1"/>
    <n v="7189.5216"/>
    <n v="5248.3507680000002"/>
    <n v="-2751.6492319999998"/>
  </r>
  <r>
    <s v="TXN00002839"/>
    <s v="A00009801"/>
    <s v="PLC00007565"/>
    <d v="2016-11-28T00:00:00"/>
    <d v="2020-09-22T00:00:00"/>
    <d v="2020-09-22T00:00:00"/>
    <n v="0"/>
    <n v="81.88"/>
    <n v="982.56"/>
    <n v="3000"/>
    <s v="A"/>
    <n v="3000"/>
    <n v="6.33"/>
    <s v="Major Loss"/>
    <n v="76"/>
    <n v="55"/>
    <n v="1"/>
    <n v="2"/>
    <s v="L"/>
    <x v="0"/>
    <x v="2"/>
    <s v="Mortgage"/>
    <n v="1"/>
    <n v="0"/>
    <n v="6219.6048000000001"/>
    <n v="4540.3115040000002"/>
    <n v="1540.3115040000002"/>
  </r>
  <r>
    <s v="TXN00002841"/>
    <s v="A00004031"/>
    <s v="PLC00009719"/>
    <d v="2018-06-03T00:00:00"/>
    <d v="2020-09-06T00:00:00"/>
    <d v="2020-09-11T00:00:00"/>
    <n v="5"/>
    <n v="75"/>
    <n v="900"/>
    <n v="1000"/>
    <s v="A"/>
    <n v="1000"/>
    <n v="9.67"/>
    <s v="Total Loss"/>
    <n v="116"/>
    <n v="55"/>
    <n v="1"/>
    <n v="5"/>
    <s v="L"/>
    <x v="0"/>
    <x v="0"/>
    <s v="Rent"/>
    <n v="0"/>
    <n v="1"/>
    <n v="8703"/>
    <n v="6353.19"/>
    <n v="5353.19"/>
  </r>
  <r>
    <s v="TXN00002850"/>
    <s v="A00008327"/>
    <s v="PLC00001956"/>
    <d v="2019-04-28T00:00:00"/>
    <d v="2020-09-18T00:00:00"/>
    <d v="2020-09-20T00:00:00"/>
    <n v="2"/>
    <n v="99.44"/>
    <n v="1193.28"/>
    <n v="7000"/>
    <s v="A"/>
    <n v="7000"/>
    <n v="4"/>
    <s v="Total Loss"/>
    <n v="48"/>
    <n v="44"/>
    <n v="1"/>
    <n v="3"/>
    <s v="M"/>
    <x v="1"/>
    <x v="1"/>
    <s v="Rent"/>
    <n v="0"/>
    <n v="1"/>
    <n v="4773.12"/>
    <n v="3484.3775999999998"/>
    <n v="-3515.6224000000002"/>
  </r>
  <r>
    <s v="TXN00002858"/>
    <s v="A00005891"/>
    <s v="PLC00004522"/>
    <d v="2018-03-20T00:00:00"/>
    <d v="2020-09-14T00:00:00"/>
    <d v="2020-09-17T00:00:00"/>
    <n v="3"/>
    <n v="74.25"/>
    <n v="891"/>
    <n v="6000"/>
    <s v="A"/>
    <n v="6000"/>
    <n v="0.92"/>
    <s v="Total Loss"/>
    <n v="11"/>
    <n v="32"/>
    <n v="1"/>
    <n v="4"/>
    <s v="H"/>
    <x v="1"/>
    <x v="3"/>
    <s v="Rent"/>
    <n v="0"/>
    <n v="1"/>
    <n v="819.72"/>
    <n v="598.39560000000006"/>
    <n v="-5401.6044000000002"/>
  </r>
  <r>
    <s v="TXN00002868"/>
    <s v="A00009033"/>
    <s v="PLC00004258"/>
    <d v="2013-01-19T00:00:00"/>
    <d v="2020-09-19T00:00:00"/>
    <d v="2020-09-20T00:00:00"/>
    <n v="1"/>
    <n v="112.24"/>
    <n v="1346.88"/>
    <n v="8000"/>
    <s v="A"/>
    <n v="8000"/>
    <n v="2.58"/>
    <s v="Minor Loss"/>
    <n v="31"/>
    <n v="64"/>
    <n v="1"/>
    <n v="4"/>
    <s v="L"/>
    <x v="2"/>
    <x v="0"/>
    <s v="Rent"/>
    <n v="0"/>
    <n v="1"/>
    <n v="3474.9504000000002"/>
    <n v="2536.713792"/>
    <n v="-5463.2862079999995"/>
  </r>
  <r>
    <s v="TXN00002871"/>
    <s v="A00005499"/>
    <s v="PLC00003655"/>
    <d v="2013-01-26T00:00:00"/>
    <d v="2020-09-22T00:00:00"/>
    <d v="2020-09-22T00:00:00"/>
    <n v="0"/>
    <n v="86.06"/>
    <n v="1032.72"/>
    <n v="4000"/>
    <s v="A"/>
    <n v="4000"/>
    <n v="6.83"/>
    <s v="Minor Loss"/>
    <n v="82"/>
    <n v="54"/>
    <n v="1"/>
    <n v="2"/>
    <s v="M"/>
    <x v="0"/>
    <x v="1"/>
    <s v="Own"/>
    <n v="1"/>
    <n v="0"/>
    <n v="7053.4776000000002"/>
    <n v="5149.0386479999997"/>
    <n v="1149.0386479999997"/>
  </r>
  <r>
    <s v="TXN00002874"/>
    <s v="A00001227"/>
    <s v="PLC00008629"/>
    <d v="2012-04-08T00:00:00"/>
    <d v="2020-09-05T00:00:00"/>
    <d v="2020-09-10T00:00:00"/>
    <n v="5"/>
    <n v="106.01"/>
    <n v="1272.1199999999999"/>
    <n v="3000"/>
    <s v="A"/>
    <n v="3000"/>
    <n v="0.75"/>
    <s v="Major Loss"/>
    <n v="9"/>
    <n v="46"/>
    <n v="1"/>
    <n v="7"/>
    <s v="M"/>
    <x v="0"/>
    <x v="1"/>
    <s v="Rent"/>
    <n v="1"/>
    <n v="0"/>
    <n v="954.08999999999992"/>
    <n v="696.48569999999995"/>
    <n v="-2303.5142999999998"/>
  </r>
  <r>
    <s v="TXN00002879"/>
    <s v="A00007427"/>
    <s v="PLC00006444"/>
    <d v="2010-09-22T00:00:00"/>
    <d v="2020-09-17T00:00:00"/>
    <d v="2020-09-20T00:00:00"/>
    <n v="3"/>
    <n v="113.14"/>
    <n v="1357.68"/>
    <n v="4000"/>
    <s v="A"/>
    <n v="4000"/>
    <n v="8.58"/>
    <s v="Total Loss"/>
    <n v="103"/>
    <n v="48"/>
    <n v="1"/>
    <n v="7"/>
    <s v="L"/>
    <x v="1"/>
    <x v="1"/>
    <s v="Mortgage"/>
    <n v="0"/>
    <n v="1"/>
    <n v="11648.894400000001"/>
    <n v="8503.6929120000004"/>
    <n v="4503.6929120000004"/>
  </r>
  <r>
    <s v="TXN00002883"/>
    <s v="A00008281"/>
    <s v="PLC00007080"/>
    <d v="2016-04-07T00:00:00"/>
    <d v="2020-09-20T00:00:00"/>
    <d v="2020-09-21T00:00:00"/>
    <n v="1"/>
    <n v="134.6"/>
    <n v="1615.2"/>
    <n v="5000"/>
    <s v="D"/>
    <n v="0"/>
    <n v="1.92"/>
    <s v="Minor Loss"/>
    <n v="23"/>
    <n v="35"/>
    <n v="0"/>
    <n v="3"/>
    <s v="L"/>
    <x v="2"/>
    <x v="3"/>
    <s v="Own"/>
    <n v="1"/>
    <n v="0"/>
    <n v="3101.1840000000002"/>
    <n v="2263.8643200000001"/>
    <n v="2263.8643200000001"/>
  </r>
  <r>
    <s v="TXN00002885"/>
    <s v="A00002914"/>
    <s v="PLC00003094"/>
    <d v="2011-01-25T00:00:00"/>
    <d v="2020-09-24T00:00:00"/>
    <d v="2020-09-24T00:00:00"/>
    <n v="0"/>
    <n v="122.52"/>
    <n v="1470.24"/>
    <n v="5000"/>
    <s v="A"/>
    <n v="5000"/>
    <n v="4.25"/>
    <s v="Minor Loss"/>
    <n v="51"/>
    <n v="58"/>
    <n v="1"/>
    <n v="7"/>
    <s v="L"/>
    <x v="0"/>
    <x v="1"/>
    <s v="Own"/>
    <n v="1"/>
    <n v="1"/>
    <n v="6248.52"/>
    <n v="4561.4196000000002"/>
    <n v="-438.58039999999983"/>
  </r>
  <r>
    <s v="TXN00002886"/>
    <s v="A00007651"/>
    <s v="PLC00002795"/>
    <d v="2012-02-27T00:00:00"/>
    <d v="2020-09-06T00:00:00"/>
    <d v="2020-09-11T00:00:00"/>
    <n v="5"/>
    <n v="114.63"/>
    <n v="1375.56"/>
    <n v="2000"/>
    <s v="A"/>
    <n v="2000"/>
    <n v="2.08"/>
    <s v="Minor Loss"/>
    <n v="25"/>
    <n v="38"/>
    <n v="0"/>
    <n v="4"/>
    <s v="M"/>
    <x v="2"/>
    <x v="0"/>
    <s v="Mortgage"/>
    <n v="1"/>
    <n v="0"/>
    <n v="2861.1648"/>
    <n v="2088.6503039999998"/>
    <n v="88.650303999999778"/>
  </r>
  <r>
    <s v="TXN00002889"/>
    <s v="A00007066"/>
    <s v="PLC00006730"/>
    <d v="2011-06-29T00:00:00"/>
    <d v="2020-09-07T00:00:00"/>
    <d v="2020-09-12T00:00:00"/>
    <n v="5"/>
    <n v="101.27"/>
    <n v="1215.24"/>
    <n v="5000"/>
    <s v="A"/>
    <n v="5000"/>
    <n v="2.58"/>
    <s v="Major Loss"/>
    <n v="31"/>
    <n v="35"/>
    <n v="1"/>
    <n v="4"/>
    <s v="H"/>
    <x v="2"/>
    <x v="0"/>
    <s v="Rent"/>
    <n v="1"/>
    <n v="1"/>
    <n v="3135.3191999999999"/>
    <n v="2288.7830159999999"/>
    <n v="-2711.2169840000001"/>
  </r>
  <r>
    <s v="TXN00002897"/>
    <s v="A00003025"/>
    <s v="PLC00000063"/>
    <d v="2013-07-10T00:00:00"/>
    <d v="2020-09-14T00:00:00"/>
    <d v="2020-09-19T00:00:00"/>
    <n v="5"/>
    <n v="118.98"/>
    <n v="1427.76"/>
    <n v="10000"/>
    <s v="A"/>
    <n v="10000"/>
    <n v="9.25"/>
    <s v="Total Loss"/>
    <n v="111"/>
    <n v="55"/>
    <n v="0"/>
    <n v="6"/>
    <s v="L"/>
    <x v="0"/>
    <x v="1"/>
    <s v="Own"/>
    <n v="0"/>
    <n v="1"/>
    <n v="13206.78"/>
    <n v="9640.9493999999995"/>
    <n v="-359.05060000000049"/>
  </r>
  <r>
    <s v="TXN00002898"/>
    <s v="A00007391"/>
    <s v="PLC00004620"/>
    <d v="2018-12-11T00:00:00"/>
    <d v="2020-09-19T00:00:00"/>
    <d v="2020-09-21T00:00:00"/>
    <n v="2"/>
    <n v="85.8"/>
    <n v="1029.5999999999999"/>
    <n v="7000"/>
    <s v="A"/>
    <n v="7000"/>
    <n v="1.67"/>
    <s v="Total Loss"/>
    <n v="20"/>
    <n v="54"/>
    <n v="1"/>
    <n v="2"/>
    <s v="M"/>
    <x v="2"/>
    <x v="2"/>
    <s v="Rent"/>
    <n v="0"/>
    <n v="1"/>
    <n v="1719.4319999999998"/>
    <n v="1255.1853599999997"/>
    <n v="-5744.8146400000005"/>
  </r>
  <r>
    <s v="TXN00002903"/>
    <s v="A00007518"/>
    <s v="PLC00000959"/>
    <d v="2017-05-15T00:00:00"/>
    <d v="2020-09-22T00:00:00"/>
    <d v="2020-09-23T00:00:00"/>
    <n v="1"/>
    <n v="80.319999999999993"/>
    <n v="963.84"/>
    <n v="6000"/>
    <s v="A"/>
    <n v="6000"/>
    <n v="7.42"/>
    <s v="Major Loss"/>
    <n v="89"/>
    <n v="42"/>
    <n v="1"/>
    <n v="5"/>
    <s v="L"/>
    <x v="2"/>
    <x v="1"/>
    <s v="Rent"/>
    <n v="0"/>
    <n v="1"/>
    <n v="7151.6927999999998"/>
    <n v="5220.7357439999996"/>
    <n v="-779.26425600000039"/>
  </r>
  <r>
    <s v="TXN00002907"/>
    <s v="A00001763"/>
    <s v="PLC00005105"/>
    <d v="2010-09-25T00:00:00"/>
    <d v="2020-09-12T00:00:00"/>
    <d v="2020-09-17T00:00:00"/>
    <n v="5"/>
    <n v="111.87"/>
    <n v="1342.44"/>
    <n v="10000"/>
    <s v="A"/>
    <n v="10000"/>
    <n v="4.08"/>
    <s v="Total Loss"/>
    <n v="49"/>
    <n v="55"/>
    <n v="0"/>
    <n v="2"/>
    <s v="H"/>
    <x v="1"/>
    <x v="1"/>
    <s v="Own"/>
    <n v="1"/>
    <n v="0"/>
    <n v="5477.1552000000001"/>
    <n v="3998.323296"/>
    <n v="-6001.6767039999995"/>
  </r>
  <r>
    <s v="TXN00002912"/>
    <s v="A00008979"/>
    <s v="PLC00009882"/>
    <d v="2012-12-11T00:00:00"/>
    <d v="2020-09-07T00:00:00"/>
    <d v="2020-09-12T00:00:00"/>
    <n v="5"/>
    <n v="75.28"/>
    <n v="903.36"/>
    <n v="6000"/>
    <s v="A"/>
    <n v="6000"/>
    <n v="7.58"/>
    <s v="Minor Loss"/>
    <n v="91"/>
    <n v="39"/>
    <n v="1"/>
    <n v="7"/>
    <s v="M"/>
    <x v="0"/>
    <x v="3"/>
    <s v="Mortgage"/>
    <n v="1"/>
    <n v="0"/>
    <n v="6847.4688000000006"/>
    <n v="4998.6522240000004"/>
    <n v="-1001.3477759999996"/>
  </r>
  <r>
    <s v="TXN00002913"/>
    <s v="A00004776"/>
    <s v="PLC00007414"/>
    <d v="2015-01-20T00:00:00"/>
    <d v="2020-09-09T00:00:00"/>
    <d v="2020-09-14T00:00:00"/>
    <n v="5"/>
    <n v="85"/>
    <n v="1020"/>
    <n v="7000"/>
    <s v="A"/>
    <n v="7000"/>
    <n v="5.42"/>
    <s v="Major Loss"/>
    <n v="65"/>
    <n v="36"/>
    <n v="1"/>
    <n v="7"/>
    <s v="L"/>
    <x v="0"/>
    <x v="5"/>
    <s v="Own"/>
    <n v="0"/>
    <n v="1"/>
    <n v="5528.4"/>
    <n v="4035.7319999999995"/>
    <n v="-2964.2680000000005"/>
  </r>
  <r>
    <s v="TXN00002917"/>
    <s v="A00009907"/>
    <s v="PLC00001602"/>
    <d v="2011-09-14T00:00:00"/>
    <d v="2020-09-15T00:00:00"/>
    <d v="2020-09-20T00:00:00"/>
    <n v="5"/>
    <n v="117"/>
    <n v="1404"/>
    <n v="9000"/>
    <s v="A"/>
    <n v="9000"/>
    <n v="2.58"/>
    <s v="Total Loss"/>
    <n v="31"/>
    <n v="42"/>
    <n v="1"/>
    <n v="3"/>
    <s v="L"/>
    <x v="0"/>
    <x v="2"/>
    <s v="Own"/>
    <n v="1"/>
    <n v="1"/>
    <n v="3622.32"/>
    <n v="2644.2936"/>
    <n v="-6355.7064"/>
  </r>
  <r>
    <s v="TXN00002918"/>
    <s v="A00005232"/>
    <s v="PLC00009740"/>
    <d v="2010-10-09T00:00:00"/>
    <d v="2020-09-22T00:00:00"/>
    <d v="2020-09-23T00:00:00"/>
    <n v="1"/>
    <n v="103.2"/>
    <n v="1238.4000000000001"/>
    <n v="2000"/>
    <s v="D"/>
    <n v="0"/>
    <n v="5.17"/>
    <s v="Total Loss"/>
    <n v="62"/>
    <n v="30"/>
    <n v="0"/>
    <n v="2"/>
    <s v="L"/>
    <x v="0"/>
    <x v="1"/>
    <s v="Rent"/>
    <n v="0"/>
    <n v="0"/>
    <n v="6402.5280000000002"/>
    <n v="4673.8454400000001"/>
    <n v="4673.8454400000001"/>
  </r>
  <r>
    <s v="TXN00002921"/>
    <s v="A00007991"/>
    <s v="PLC00004303"/>
    <d v="2016-12-25T00:00:00"/>
    <d v="2020-09-13T00:00:00"/>
    <d v="2020-09-18T00:00:00"/>
    <n v="5"/>
    <n v="119.35"/>
    <n v="1432.2"/>
    <n v="5000"/>
    <s v="A"/>
    <n v="5000"/>
    <n v="8.67"/>
    <s v="Total Loss"/>
    <n v="104"/>
    <n v="34"/>
    <n v="1"/>
    <n v="6"/>
    <s v="L"/>
    <x v="0"/>
    <x v="0"/>
    <s v="Own"/>
    <n v="1"/>
    <n v="0"/>
    <n v="12417.174000000001"/>
    <n v="9064.5370199999998"/>
    <n v="4064.5370199999998"/>
  </r>
  <r>
    <s v="TXN00002923"/>
    <s v="A00001519"/>
    <s v="PLC00007077"/>
    <d v="2017-02-03T00:00:00"/>
    <d v="2020-09-24T00:00:00"/>
    <d v="2020-09-24T00:00:00"/>
    <n v="0"/>
    <n v="107.18"/>
    <n v="1286.1600000000001"/>
    <n v="8000"/>
    <s v="A"/>
    <n v="8000"/>
    <n v="7.5"/>
    <s v="Major Loss"/>
    <n v="90"/>
    <n v="50"/>
    <n v="0"/>
    <n v="3"/>
    <s v="M"/>
    <x v="1"/>
    <x v="4"/>
    <s v="Own"/>
    <n v="1"/>
    <n v="1"/>
    <n v="9646.2000000000007"/>
    <n v="7041.7260000000006"/>
    <n v="-958.27399999999943"/>
  </r>
  <r>
    <s v="TXN00002925"/>
    <s v="A00003917"/>
    <s v="PLC00003723"/>
    <d v="2014-02-08T00:00:00"/>
    <d v="2020-09-16T00:00:00"/>
    <d v="2020-09-21T00:00:00"/>
    <n v="5"/>
    <n v="122.34"/>
    <n v="1468.08"/>
    <n v="4000"/>
    <s v="A"/>
    <n v="4000"/>
    <n v="9.17"/>
    <s v="Major Loss"/>
    <n v="110"/>
    <n v="62"/>
    <n v="1"/>
    <n v="3"/>
    <s v="H"/>
    <x v="0"/>
    <x v="1"/>
    <s v="Rent"/>
    <n v="1"/>
    <n v="1"/>
    <n v="13462.293599999999"/>
    <n v="9827.4743279999984"/>
    <n v="5827.4743279999984"/>
  </r>
  <r>
    <s v="TXN00002927"/>
    <s v="A00003914"/>
    <s v="PLC00000703"/>
    <d v="2013-03-31T00:00:00"/>
    <d v="2020-09-26T00:00:00"/>
    <d v="2020-09-26T00:00:00"/>
    <n v="0"/>
    <n v="132.26"/>
    <n v="1587.12"/>
    <n v="4000"/>
    <s v="A"/>
    <n v="4000"/>
    <n v="2.92"/>
    <s v="Minor Loss"/>
    <n v="35"/>
    <n v="35"/>
    <n v="1"/>
    <n v="4"/>
    <s v="L"/>
    <x v="0"/>
    <x v="0"/>
    <s v="Rent"/>
    <n v="0"/>
    <n v="1"/>
    <n v="4634.3903999999993"/>
    <n v="3383.1049919999996"/>
    <n v="-616.89500800000042"/>
  </r>
  <r>
    <s v="TXN00002928"/>
    <s v="A00006061"/>
    <s v="PLC00004038"/>
    <d v="2013-02-15T00:00:00"/>
    <d v="2020-09-21T00:00:00"/>
    <d v="2020-09-23T00:00:00"/>
    <n v="2"/>
    <n v="118.4"/>
    <n v="1420.8"/>
    <n v="1000"/>
    <s v="A"/>
    <n v="1000"/>
    <n v="5.75"/>
    <s v="Total Loss"/>
    <n v="69"/>
    <n v="54"/>
    <n v="0"/>
    <n v="5"/>
    <s v="M"/>
    <x v="2"/>
    <x v="6"/>
    <s v="Own"/>
    <n v="1"/>
    <n v="1"/>
    <n v="8169.5999999999995"/>
    <n v="5963.8079999999991"/>
    <n v="4963.8079999999991"/>
  </r>
  <r>
    <s v="TXN00002946"/>
    <s v="A00009389"/>
    <s v="PLC00009053"/>
    <d v="2010-06-10T00:00:00"/>
    <d v="2020-09-11T00:00:00"/>
    <d v="2020-09-16T00:00:00"/>
    <n v="5"/>
    <n v="134.96"/>
    <n v="1619.52"/>
    <n v="7000"/>
    <s v="A"/>
    <n v="7000"/>
    <n v="0.67"/>
    <s v="Major Loss"/>
    <n v="8"/>
    <n v="44"/>
    <n v="1"/>
    <n v="4"/>
    <s v="L"/>
    <x v="0"/>
    <x v="2"/>
    <s v="Own"/>
    <n v="1"/>
    <n v="1"/>
    <n v="1085.0784000000001"/>
    <n v="792.10723200000007"/>
    <n v="-6207.8927679999997"/>
  </r>
  <r>
    <s v="TXN00002948"/>
    <s v="A00009150"/>
    <s v="PLC00001033"/>
    <d v="2014-09-24T00:00:00"/>
    <d v="2020-09-21T00:00:00"/>
    <d v="2020-09-23T00:00:00"/>
    <n v="2"/>
    <n v="87.89"/>
    <n v="1054.68"/>
    <n v="3000"/>
    <s v="A"/>
    <n v="3000"/>
    <n v="3.33"/>
    <s v="Major Loss"/>
    <n v="40"/>
    <n v="47"/>
    <n v="1"/>
    <n v="6"/>
    <s v="M"/>
    <x v="0"/>
    <x v="3"/>
    <s v="Rent"/>
    <n v="1"/>
    <n v="1"/>
    <n v="3512.0844000000002"/>
    <n v="2563.8216120000002"/>
    <n v="-436.17838799999981"/>
  </r>
  <r>
    <s v="TXN00002954"/>
    <s v="A00002364"/>
    <s v="PLC00005877"/>
    <d v="2012-04-17T00:00:00"/>
    <d v="2020-09-21T00:00:00"/>
    <d v="2020-09-23T00:00:00"/>
    <n v="2"/>
    <n v="83.05"/>
    <n v="996.6"/>
    <n v="8000"/>
    <s v="A"/>
    <n v="8000"/>
    <n v="2"/>
    <s v="Total Loss"/>
    <n v="24"/>
    <n v="49"/>
    <n v="1"/>
    <n v="6"/>
    <s v="L"/>
    <x v="0"/>
    <x v="1"/>
    <s v="Rent"/>
    <n v="1"/>
    <n v="1"/>
    <n v="1993.2"/>
    <n v="1455.0360000000001"/>
    <n v="-6544.9639999999999"/>
  </r>
  <r>
    <s v="TXN00002959"/>
    <s v="A00007409"/>
    <s v="PLC00001826"/>
    <d v="2010-07-09T00:00:00"/>
    <d v="2020-09-12T00:00:00"/>
    <d v="2020-09-17T00:00:00"/>
    <n v="5"/>
    <n v="82.99"/>
    <n v="995.88"/>
    <n v="4000"/>
    <s v="A"/>
    <n v="4000"/>
    <n v="3.25"/>
    <s v="Minor Loss"/>
    <n v="39"/>
    <n v="33"/>
    <n v="0"/>
    <n v="3"/>
    <s v="L"/>
    <x v="0"/>
    <x v="0"/>
    <s v="Mortgage"/>
    <n v="1"/>
    <n v="0"/>
    <n v="3236.61"/>
    <n v="2362.7253000000001"/>
    <n v="-1637.2746999999999"/>
  </r>
  <r>
    <s v="TXN00002964"/>
    <s v="A00003967"/>
    <s v="PLC00003679"/>
    <d v="2010-06-28T00:00:00"/>
    <d v="2020-09-23T00:00:00"/>
    <d v="2020-09-24T00:00:00"/>
    <n v="1"/>
    <n v="122.88"/>
    <n v="1474.56"/>
    <n v="1000"/>
    <s v="D"/>
    <n v="0"/>
    <n v="4"/>
    <s v="Major Loss"/>
    <n v="48"/>
    <n v="44"/>
    <n v="1"/>
    <n v="6"/>
    <s v="M"/>
    <x v="0"/>
    <x v="4"/>
    <s v="Rent"/>
    <n v="0"/>
    <n v="1"/>
    <n v="5898.24"/>
    <n v="4305.7151999999996"/>
    <n v="4305.7151999999996"/>
  </r>
  <r>
    <s v="TXN00002965"/>
    <s v="A00009258"/>
    <s v="PLC00002473"/>
    <d v="2013-04-17T00:00:00"/>
    <d v="2020-09-27T00:00:00"/>
    <d v="2020-09-27T00:00:00"/>
    <n v="0"/>
    <n v="96.33"/>
    <n v="1155.96"/>
    <n v="7000"/>
    <s v="A"/>
    <n v="7000"/>
    <n v="0.57999999999999996"/>
    <s v="Total Loss"/>
    <n v="7"/>
    <n v="38"/>
    <n v="1"/>
    <n v="5"/>
    <s v="M"/>
    <x v="0"/>
    <x v="1"/>
    <s v="Mortgage"/>
    <n v="1"/>
    <n v="1"/>
    <n v="670.45679999999993"/>
    <n v="489.43346399999996"/>
    <n v="-6510.5665360000003"/>
  </r>
  <r>
    <s v="TXN00002968"/>
    <s v="A00006507"/>
    <s v="PLC00003416"/>
    <d v="2014-12-19T00:00:00"/>
    <d v="2020-09-24T00:00:00"/>
    <d v="2020-09-25T00:00:00"/>
    <n v="1"/>
    <n v="109.97"/>
    <n v="1319.64"/>
    <n v="3000"/>
    <s v="A"/>
    <n v="3000"/>
    <n v="4.92"/>
    <s v="Major Loss"/>
    <n v="59"/>
    <n v="48"/>
    <n v="1"/>
    <n v="7"/>
    <s v="L"/>
    <x v="2"/>
    <x v="1"/>
    <s v="Mortgage"/>
    <n v="1"/>
    <n v="1"/>
    <n v="6492.6288000000004"/>
    <n v="4739.6190240000005"/>
    <n v="1739.6190240000005"/>
  </r>
  <r>
    <s v="TXN00002973"/>
    <s v="A00001228"/>
    <s v="PLC00001304"/>
    <d v="2019-04-19T00:00:00"/>
    <d v="2020-09-28T00:00:00"/>
    <d v="2020-09-28T00:00:00"/>
    <n v="0"/>
    <n v="71.319999999999993"/>
    <n v="855.84"/>
    <n v="8000"/>
    <s v="A"/>
    <n v="8000"/>
    <n v="2.92"/>
    <s v="Major Loss"/>
    <n v="35"/>
    <n v="57"/>
    <n v="0"/>
    <n v="4"/>
    <s v="L"/>
    <x v="0"/>
    <x v="2"/>
    <s v="Rent"/>
    <n v="1"/>
    <n v="0"/>
    <n v="2499.0527999999999"/>
    <n v="1824.308544"/>
    <n v="-6175.6914560000005"/>
  </r>
  <r>
    <s v="TXN00002977"/>
    <s v="A00007532"/>
    <s v="PLC00008205"/>
    <d v="2013-03-26T00:00:00"/>
    <d v="2020-09-12T00:00:00"/>
    <d v="2020-09-17T00:00:00"/>
    <n v="5"/>
    <n v="84.77"/>
    <n v="1017.24"/>
    <n v="4000"/>
    <s v="A"/>
    <n v="4000"/>
    <n v="8"/>
    <s v="Minor Loss"/>
    <n v="96"/>
    <n v="56"/>
    <n v="1"/>
    <n v="6"/>
    <s v="M"/>
    <x v="0"/>
    <x v="1"/>
    <s v="Own"/>
    <n v="1"/>
    <n v="1"/>
    <n v="8137.92"/>
    <n v="5940.6815999999999"/>
    <n v="1940.6815999999999"/>
  </r>
  <r>
    <s v="TXN00002990"/>
    <s v="A00003687"/>
    <s v="PLC00000428"/>
    <d v="2015-01-02T00:00:00"/>
    <d v="2020-09-28T00:00:00"/>
    <d v="2020-09-28T00:00:00"/>
    <n v="0"/>
    <n v="78.97"/>
    <n v="947.64"/>
    <n v="1000"/>
    <s v="A"/>
    <n v="1000"/>
    <n v="6.5"/>
    <s v="Total Loss"/>
    <n v="78"/>
    <n v="26"/>
    <n v="1"/>
    <n v="2"/>
    <s v="L"/>
    <x v="1"/>
    <x v="1"/>
    <s v="Mortgage"/>
    <n v="1"/>
    <n v="0"/>
    <n v="6159.66"/>
    <n v="4496.5518000000002"/>
    <n v="3496.5518000000002"/>
  </r>
  <r>
    <s v="TXN00003011"/>
    <s v="A00009967"/>
    <s v="PLC00000569"/>
    <d v="2010-10-31T00:00:00"/>
    <d v="2020-09-28T00:00:00"/>
    <d v="2020-09-28T00:00:00"/>
    <n v="0"/>
    <n v="138.21"/>
    <n v="1658.52"/>
    <n v="3000"/>
    <s v="A"/>
    <n v="3000"/>
    <n v="9.92"/>
    <s v="Total Loss"/>
    <n v="119"/>
    <n v="59"/>
    <n v="1"/>
    <n v="5"/>
    <s v="L"/>
    <x v="0"/>
    <x v="4"/>
    <s v="Rent"/>
    <n v="1"/>
    <n v="0"/>
    <n v="16452.518400000001"/>
    <n v="12010.338432"/>
    <n v="9010.3384320000005"/>
  </r>
  <r>
    <s v="TXN00003012"/>
    <s v="A00002885"/>
    <s v="PLC00001007"/>
    <d v="2015-05-27T00:00:00"/>
    <d v="2020-09-23T00:00:00"/>
    <d v="2020-09-25T00:00:00"/>
    <n v="2"/>
    <n v="93.44"/>
    <n v="1121.28"/>
    <n v="5000"/>
    <s v="A"/>
    <n v="5000"/>
    <n v="7.17"/>
    <s v="Major Loss"/>
    <n v="86"/>
    <n v="55"/>
    <n v="1"/>
    <n v="5"/>
    <s v="L"/>
    <x v="0"/>
    <x v="3"/>
    <s v="Rent"/>
    <n v="1"/>
    <n v="0"/>
    <n v="8039.5775999999996"/>
    <n v="5868.8916479999998"/>
    <n v="868.8916479999998"/>
  </r>
  <r>
    <s v="TXN00003021"/>
    <s v="A00008449"/>
    <s v="PLC00008161"/>
    <d v="2016-09-30T00:00:00"/>
    <d v="2020-09-16T00:00:00"/>
    <d v="2020-09-21T00:00:00"/>
    <n v="5"/>
    <n v="130.11000000000001"/>
    <n v="1561.32"/>
    <n v="6000"/>
    <s v="A"/>
    <n v="6000"/>
    <n v="8.83"/>
    <s v="Major Loss"/>
    <n v="106"/>
    <n v="30"/>
    <n v="1"/>
    <n v="7"/>
    <s v="L"/>
    <x v="0"/>
    <x v="5"/>
    <s v="Rent"/>
    <n v="1"/>
    <n v="0"/>
    <n v="13786.455599999999"/>
    <n v="10064.112588"/>
    <n v="4064.112588"/>
  </r>
  <r>
    <s v="TXN00003038"/>
    <s v="A00006147"/>
    <s v="PLC00009345"/>
    <d v="2015-10-04T00:00:00"/>
    <d v="2020-09-15T00:00:00"/>
    <d v="2020-09-20T00:00:00"/>
    <n v="5"/>
    <n v="112.26"/>
    <n v="1347.12"/>
    <n v="8000"/>
    <s v="A"/>
    <n v="8000"/>
    <n v="8.75"/>
    <s v="Major Loss"/>
    <n v="105"/>
    <n v="53"/>
    <n v="1"/>
    <n v="4"/>
    <s v="L"/>
    <x v="1"/>
    <x v="0"/>
    <s v="Mortgage"/>
    <n v="0"/>
    <n v="1"/>
    <n v="11787.3"/>
    <n v="8604.7289999999994"/>
    <n v="604.72899999999936"/>
  </r>
  <r>
    <s v="TXN00003040"/>
    <s v="A00000518"/>
    <s v="PLC00005541"/>
    <d v="2017-04-08T00:00:00"/>
    <d v="2020-09-20T00:00:00"/>
    <d v="2020-09-25T00:00:00"/>
    <n v="5"/>
    <n v="116.83"/>
    <n v="1401.96"/>
    <n v="10000"/>
    <s v="A"/>
    <n v="10000"/>
    <n v="5.75"/>
    <s v="Major Loss"/>
    <n v="69"/>
    <n v="45"/>
    <n v="1"/>
    <n v="3"/>
    <s v="H"/>
    <x v="1"/>
    <x v="2"/>
    <s v="Rent"/>
    <n v="0"/>
    <n v="0"/>
    <n v="8061.27"/>
    <n v="5884.7271000000001"/>
    <n v="-4115.2728999999999"/>
  </r>
  <r>
    <s v="TXN00003041"/>
    <s v="A00004887"/>
    <s v="PLC00007692"/>
    <d v="2019-04-09T00:00:00"/>
    <d v="2020-09-20T00:00:00"/>
    <d v="2020-09-25T00:00:00"/>
    <n v="5"/>
    <n v="101.29"/>
    <n v="1215.48"/>
    <n v="1000"/>
    <s v="A"/>
    <n v="1000"/>
    <n v="8"/>
    <s v="Minor Loss"/>
    <n v="96"/>
    <n v="64"/>
    <n v="1"/>
    <n v="5"/>
    <s v="L"/>
    <x v="0"/>
    <x v="1"/>
    <s v="Mortgage"/>
    <n v="1"/>
    <n v="1"/>
    <n v="9723.84"/>
    <n v="7098.4031999999997"/>
    <n v="6098.4031999999997"/>
  </r>
  <r>
    <s v="TXN00003050"/>
    <s v="A00003229"/>
    <s v="PLC00008029"/>
    <d v="2011-01-07T00:00:00"/>
    <d v="2020-09-12T00:00:00"/>
    <d v="2020-09-17T00:00:00"/>
    <n v="5"/>
    <n v="107.09"/>
    <n v="1285.08"/>
    <n v="10000"/>
    <s v="A"/>
    <n v="10000"/>
    <n v="7.33"/>
    <s v="Major Loss"/>
    <n v="88"/>
    <n v="25"/>
    <n v="0"/>
    <n v="2"/>
    <s v="H"/>
    <x v="0"/>
    <x v="1"/>
    <s v="Own"/>
    <n v="1"/>
    <n v="1"/>
    <n v="9419.6363999999994"/>
    <n v="6876.3345719999998"/>
    <n v="-3123.6654280000002"/>
  </r>
  <r>
    <s v="TXN00003067"/>
    <s v="A00007045"/>
    <s v="PLC00000977"/>
    <d v="2016-08-12T00:00:00"/>
    <d v="2020-09-15T00:00:00"/>
    <d v="2020-09-20T00:00:00"/>
    <n v="5"/>
    <n v="97.92"/>
    <n v="1175.04"/>
    <n v="1000"/>
    <s v="A"/>
    <n v="1000"/>
    <n v="5"/>
    <s v="Major Loss"/>
    <n v="60"/>
    <n v="49"/>
    <n v="1"/>
    <n v="6"/>
    <s v="L"/>
    <x v="1"/>
    <x v="5"/>
    <s v="Mortgage"/>
    <n v="1"/>
    <n v="1"/>
    <n v="5875.2"/>
    <n v="4288.8959999999997"/>
    <n v="3288.8959999999997"/>
  </r>
  <r>
    <s v="TXN00003069"/>
    <s v="A00009820"/>
    <s v="PLC00002621"/>
    <d v="2019-10-21T00:00:00"/>
    <d v="2020-09-29T00:00:00"/>
    <d v="2020-09-30T00:00:00"/>
    <n v="1"/>
    <n v="118.21"/>
    <n v="1418.52"/>
    <n v="3000"/>
    <s v="A"/>
    <n v="3000"/>
    <n v="0.75"/>
    <s v="Major Loss"/>
    <n v="9"/>
    <n v="25"/>
    <n v="1"/>
    <n v="2"/>
    <s v="M"/>
    <x v="2"/>
    <x v="1"/>
    <s v="Mortgage"/>
    <n v="1"/>
    <n v="0"/>
    <n v="1063.8899999999999"/>
    <n v="776.63969999999983"/>
    <n v="-2223.3603000000003"/>
  </r>
  <r>
    <s v="TXN00003074"/>
    <s v="A00002877"/>
    <s v="PLC00006401"/>
    <d v="2017-02-11T00:00:00"/>
    <d v="2020-09-27T00:00:00"/>
    <d v="2020-09-29T00:00:00"/>
    <n v="2"/>
    <n v="98.63"/>
    <n v="1183.56"/>
    <n v="3000"/>
    <s v="D"/>
    <n v="0"/>
    <n v="1.08"/>
    <s v="Major Loss"/>
    <n v="13"/>
    <n v="33"/>
    <n v="0"/>
    <n v="7"/>
    <s v="M"/>
    <x v="1"/>
    <x v="0"/>
    <s v="Rent"/>
    <n v="1"/>
    <n v="1"/>
    <n v="1278.2447999999999"/>
    <n v="933.11870399999998"/>
    <n v="933.11870399999998"/>
  </r>
  <r>
    <s v="TXN00003080"/>
    <s v="A00007953"/>
    <s v="PLC00001265"/>
    <d v="2018-06-03T00:00:00"/>
    <d v="2020-09-28T00:00:00"/>
    <d v="2020-09-30T00:00:00"/>
    <n v="2"/>
    <n v="92.58"/>
    <n v="1110.96"/>
    <n v="1000"/>
    <s v="A"/>
    <n v="1000"/>
    <n v="8.33"/>
    <s v="Minor Loss"/>
    <n v="100"/>
    <n v="58"/>
    <n v="1"/>
    <n v="6"/>
    <s v="M"/>
    <x v="2"/>
    <x v="3"/>
    <s v="Rent"/>
    <n v="1"/>
    <n v="0"/>
    <n v="9254.2968000000001"/>
    <n v="6755.6366639999997"/>
    <n v="5755.6366639999997"/>
  </r>
  <r>
    <s v="TXN00003082"/>
    <s v="A00000229"/>
    <s v="PLC00006528"/>
    <d v="2015-09-09T00:00:00"/>
    <d v="2020-09-15T00:00:00"/>
    <d v="2020-09-20T00:00:00"/>
    <n v="5"/>
    <n v="100.27"/>
    <n v="1203.24"/>
    <n v="4000"/>
    <s v="A"/>
    <n v="4000"/>
    <n v="6.58"/>
    <s v="Minor Loss"/>
    <n v="79"/>
    <n v="44"/>
    <n v="1"/>
    <n v="4"/>
    <s v="M"/>
    <x v="1"/>
    <x v="1"/>
    <s v="Mortgage"/>
    <n v="1"/>
    <n v="0"/>
    <n v="7917.3191999999999"/>
    <n v="5779.643016"/>
    <n v="1779.643016"/>
  </r>
  <r>
    <s v="TXN00003085"/>
    <s v="A00004637"/>
    <s v="PLC00008657"/>
    <d v="2016-01-11T00:00:00"/>
    <d v="2020-09-15T00:00:00"/>
    <d v="2020-09-20T00:00:00"/>
    <n v="5"/>
    <n v="79.16"/>
    <n v="949.92"/>
    <n v="7000"/>
    <s v="A"/>
    <n v="7000"/>
    <n v="9.58"/>
    <s v="Major Loss"/>
    <n v="115"/>
    <n v="27"/>
    <n v="1"/>
    <n v="4"/>
    <s v="H"/>
    <x v="0"/>
    <x v="0"/>
    <s v="Own"/>
    <n v="1"/>
    <n v="1"/>
    <n v="9100.2335999999996"/>
    <n v="6643.1705279999996"/>
    <n v="-356.82947200000035"/>
  </r>
  <r>
    <s v="TXN00003093"/>
    <s v="A00002254"/>
    <s v="PLC00000137"/>
    <d v="2017-01-14T00:00:00"/>
    <d v="2020-09-22T00:00:00"/>
    <d v="2020-09-27T00:00:00"/>
    <n v="5"/>
    <n v="120.64"/>
    <n v="1447.68"/>
    <n v="6000"/>
    <s v="A"/>
    <n v="6000"/>
    <n v="8.83"/>
    <s v="Major Loss"/>
    <n v="106"/>
    <n v="28"/>
    <n v="1"/>
    <n v="4"/>
    <s v="M"/>
    <x v="2"/>
    <x v="1"/>
    <s v="Own"/>
    <n v="1"/>
    <n v="1"/>
    <n v="12783.0144"/>
    <n v="9331.6005119999991"/>
    <n v="3331.6005119999991"/>
  </r>
  <r>
    <s v="TXN00003097"/>
    <s v="A00003567"/>
    <s v="PLC00009654"/>
    <d v="2013-02-07T00:00:00"/>
    <d v="2020-10-01T00:00:00"/>
    <d v="2020-10-01T00:00:00"/>
    <n v="0"/>
    <n v="112.17"/>
    <n v="1346.04"/>
    <n v="9000"/>
    <s v="A"/>
    <n v="9000"/>
    <n v="8.08"/>
    <s v="Major Loss"/>
    <n v="97"/>
    <n v="50"/>
    <n v="0"/>
    <n v="7"/>
    <s v="M"/>
    <x v="1"/>
    <x v="0"/>
    <s v="Rent"/>
    <n v="1"/>
    <n v="0"/>
    <n v="10876.003199999999"/>
    <n v="7939.4823359999991"/>
    <n v="-1060.5176640000009"/>
  </r>
  <r>
    <s v="TXN00003100"/>
    <s v="A00001671"/>
    <s v="PLC00004096"/>
    <d v="2014-12-03T00:00:00"/>
    <d v="2020-09-30T00:00:00"/>
    <d v="2020-10-01T00:00:00"/>
    <n v="1"/>
    <n v="90.52"/>
    <n v="1086.24"/>
    <n v="7000"/>
    <s v="A"/>
    <n v="7000"/>
    <n v="8.75"/>
    <s v="Minor Loss"/>
    <n v="105"/>
    <n v="54"/>
    <n v="1"/>
    <n v="6"/>
    <s v="L"/>
    <x v="0"/>
    <x v="5"/>
    <s v="Own"/>
    <n v="1"/>
    <n v="0"/>
    <n v="9504.6"/>
    <n v="6938.3580000000002"/>
    <n v="-61.641999999999825"/>
  </r>
  <r>
    <s v="TXN00003103"/>
    <s v="A00005666"/>
    <s v="PLC00003771"/>
    <d v="2013-02-25T00:00:00"/>
    <d v="2020-09-25T00:00:00"/>
    <d v="2020-09-28T00:00:00"/>
    <n v="3"/>
    <n v="139.93"/>
    <n v="1679.16"/>
    <n v="7000"/>
    <s v="A"/>
    <n v="7000"/>
    <n v="6.33"/>
    <s v="Major Loss"/>
    <n v="76"/>
    <n v="52"/>
    <n v="1"/>
    <n v="6"/>
    <s v="H"/>
    <x v="2"/>
    <x v="1"/>
    <s v="Mortgage"/>
    <n v="0"/>
    <n v="1"/>
    <n v="10629.0828"/>
    <n v="7759.2304439999998"/>
    <n v="759.23044399999981"/>
  </r>
  <r>
    <s v="TXN00003116"/>
    <s v="A00002482"/>
    <s v="PLC00006578"/>
    <d v="2015-02-02T00:00:00"/>
    <d v="2020-09-25T00:00:00"/>
    <d v="2020-09-28T00:00:00"/>
    <n v="3"/>
    <n v="132.30000000000001"/>
    <n v="1587.6"/>
    <n v="3000"/>
    <s v="A"/>
    <n v="3000"/>
    <n v="6.08"/>
    <s v="Major Loss"/>
    <n v="73"/>
    <n v="41"/>
    <n v="0"/>
    <n v="5"/>
    <s v="L"/>
    <x v="1"/>
    <x v="4"/>
    <s v="Rent"/>
    <n v="1"/>
    <n v="1"/>
    <n v="9652.6080000000002"/>
    <n v="7046.4038399999999"/>
    <n v="4046.4038399999999"/>
  </r>
  <r>
    <s v="TXN00003117"/>
    <s v="A00006703"/>
    <s v="PLC00006340"/>
    <d v="2019-04-26T00:00:00"/>
    <d v="2020-09-24T00:00:00"/>
    <d v="2020-09-29T00:00:00"/>
    <n v="5"/>
    <n v="76.349999999999994"/>
    <n v="916.2"/>
    <n v="7000"/>
    <s v="A"/>
    <n v="7000"/>
    <n v="2.5"/>
    <s v="Minor Loss"/>
    <n v="30"/>
    <n v="60"/>
    <n v="0"/>
    <n v="6"/>
    <s v="M"/>
    <x v="2"/>
    <x v="0"/>
    <s v="Mortgage"/>
    <n v="0"/>
    <n v="0"/>
    <n v="2290.5"/>
    <n v="1672.0650000000001"/>
    <n v="-5327.9349999999995"/>
  </r>
  <r>
    <s v="TXN00003118"/>
    <s v="A00001212"/>
    <s v="PLC00007365"/>
    <d v="2016-03-29T00:00:00"/>
    <d v="2020-09-30T00:00:00"/>
    <d v="2020-10-01T00:00:00"/>
    <n v="1"/>
    <n v="133.82"/>
    <n v="1605.84"/>
    <n v="6000"/>
    <s v="A"/>
    <n v="6000"/>
    <n v="8.75"/>
    <s v="Minor Loss"/>
    <n v="105"/>
    <n v="49"/>
    <n v="0"/>
    <n v="4"/>
    <s v="L"/>
    <x v="0"/>
    <x v="4"/>
    <s v="Mortgage"/>
    <n v="0"/>
    <n v="1"/>
    <n v="14051.099999999999"/>
    <n v="10257.302999999998"/>
    <n v="4257.3029999999981"/>
  </r>
  <r>
    <s v="TXN00003122"/>
    <s v="A00003635"/>
    <s v="PLC00002556"/>
    <d v="2018-11-11T00:00:00"/>
    <d v="2020-09-24T00:00:00"/>
    <d v="2020-09-29T00:00:00"/>
    <n v="5"/>
    <n v="96.18"/>
    <n v="1154.1600000000001"/>
    <n v="6000"/>
    <s v="A"/>
    <n v="6000"/>
    <n v="7"/>
    <s v="Major Loss"/>
    <n v="84"/>
    <n v="62"/>
    <n v="0"/>
    <n v="3"/>
    <s v="M"/>
    <x v="2"/>
    <x v="4"/>
    <s v="Mortgage"/>
    <n v="1"/>
    <n v="1"/>
    <n v="8079.1200000000008"/>
    <n v="5897.7576000000008"/>
    <n v="-102.24239999999918"/>
  </r>
  <r>
    <s v="TXN00003123"/>
    <s v="A00004004"/>
    <s v="PLC00006980"/>
    <d v="2016-04-26T00:00:00"/>
    <d v="2020-09-21T00:00:00"/>
    <d v="2020-09-26T00:00:00"/>
    <n v="5"/>
    <n v="89.19"/>
    <n v="1070.28"/>
    <n v="8000"/>
    <s v="A"/>
    <n v="8000"/>
    <n v="6.83"/>
    <s v="Major Loss"/>
    <n v="82"/>
    <n v="33"/>
    <n v="1"/>
    <n v="7"/>
    <s v="M"/>
    <x v="0"/>
    <x v="0"/>
    <s v="Mortgage"/>
    <n v="0"/>
    <n v="1"/>
    <n v="7310.0123999999996"/>
    <n v="5336.3090519999996"/>
    <n v="-2663.6909480000004"/>
  </r>
  <r>
    <s v="TXN00003124"/>
    <s v="A00001050"/>
    <s v="PLC00004490"/>
    <d v="2011-06-17T00:00:00"/>
    <d v="2020-09-19T00:00:00"/>
    <d v="2020-09-24T00:00:00"/>
    <n v="5"/>
    <n v="133.76"/>
    <n v="1605.12"/>
    <n v="4000"/>
    <s v="A"/>
    <n v="4000"/>
    <n v="2.42"/>
    <s v="Major Loss"/>
    <n v="29"/>
    <n v="30"/>
    <n v="1"/>
    <n v="6"/>
    <s v="M"/>
    <x v="1"/>
    <x v="1"/>
    <s v="Mortgage"/>
    <n v="1"/>
    <n v="0"/>
    <n v="3884.3903999999998"/>
    <n v="2835.6049919999996"/>
    <n v="-1164.3950080000004"/>
  </r>
  <r>
    <s v="TXN00003135"/>
    <s v="A00003208"/>
    <s v="PLC00004929"/>
    <d v="2014-10-23T00:00:00"/>
    <d v="2020-09-20T00:00:00"/>
    <d v="2020-09-25T00:00:00"/>
    <n v="5"/>
    <n v="75"/>
    <n v="900"/>
    <n v="4000"/>
    <s v="A"/>
    <n v="4000"/>
    <n v="4.08"/>
    <s v="Minor Loss"/>
    <n v="49"/>
    <n v="60"/>
    <n v="1"/>
    <n v="7"/>
    <s v="L"/>
    <x v="2"/>
    <x v="0"/>
    <s v="Own"/>
    <n v="1"/>
    <n v="0"/>
    <n v="3672"/>
    <n v="2680.56"/>
    <n v="-1319.44"/>
  </r>
  <r>
    <s v="TXN00003137"/>
    <s v="A00005355"/>
    <s v="PLC00002290"/>
    <d v="2013-01-23T00:00:00"/>
    <d v="2020-09-23T00:00:00"/>
    <d v="2020-09-28T00:00:00"/>
    <n v="5"/>
    <n v="72.45"/>
    <n v="869.4"/>
    <n v="7000"/>
    <s v="A"/>
    <n v="7000"/>
    <n v="5.58"/>
    <s v="Major Loss"/>
    <n v="67"/>
    <n v="39"/>
    <n v="1"/>
    <n v="6"/>
    <s v="H"/>
    <x v="0"/>
    <x v="3"/>
    <s v="Mortgage"/>
    <n v="1"/>
    <n v="1"/>
    <n v="4851.2519999999995"/>
    <n v="3541.4139599999994"/>
    <n v="-3458.5860400000006"/>
  </r>
  <r>
    <s v="TXN00003146"/>
    <s v="A00009911"/>
    <s v="PLC00005456"/>
    <d v="2018-07-06T00:00:00"/>
    <d v="2020-09-29T00:00:00"/>
    <d v="2020-10-01T00:00:00"/>
    <n v="2"/>
    <n v="120.94"/>
    <n v="1451.28"/>
    <n v="2000"/>
    <s v="A"/>
    <n v="2000"/>
    <n v="8.17"/>
    <s v="Total Loss"/>
    <n v="98"/>
    <n v="60"/>
    <n v="1"/>
    <n v="5"/>
    <s v="L"/>
    <x v="2"/>
    <x v="0"/>
    <s v="Mortgage"/>
    <n v="0"/>
    <n v="1"/>
    <n v="11856.9576"/>
    <n v="8655.5790479999996"/>
    <n v="6655.5790479999996"/>
  </r>
  <r>
    <s v="TXN00003147"/>
    <s v="A00001458"/>
    <s v="PLC00006533"/>
    <d v="2016-08-08T00:00:00"/>
    <d v="2020-09-25T00:00:00"/>
    <d v="2020-09-30T00:00:00"/>
    <n v="5"/>
    <n v="129.26"/>
    <n v="1551.12"/>
    <n v="5000"/>
    <s v="A"/>
    <n v="5000"/>
    <n v="6.17"/>
    <s v="Minor Loss"/>
    <n v="74"/>
    <n v="31"/>
    <n v="0"/>
    <n v="4"/>
    <s v="H"/>
    <x v="0"/>
    <x v="0"/>
    <s v="Rent"/>
    <n v="1"/>
    <n v="0"/>
    <n v="9570.4103999999988"/>
    <n v="6986.3995919999988"/>
    <n v="1986.3995919999988"/>
  </r>
  <r>
    <s v="TXN00003159"/>
    <s v="A00001644"/>
    <s v="PLC00005898"/>
    <d v="2013-10-31T00:00:00"/>
    <d v="2020-09-23T00:00:00"/>
    <d v="2020-09-28T00:00:00"/>
    <n v="5"/>
    <n v="100.63"/>
    <n v="1207.56"/>
    <n v="3000"/>
    <s v="A"/>
    <n v="3000"/>
    <n v="3.08"/>
    <s v="Total Loss"/>
    <n v="37"/>
    <n v="29"/>
    <n v="1"/>
    <n v="4"/>
    <s v="M"/>
    <x v="2"/>
    <x v="0"/>
    <s v="Mortgage"/>
    <n v="1"/>
    <n v="1"/>
    <n v="3719.2847999999999"/>
    <n v="2715.0779039999998"/>
    <n v="-284.92209600000024"/>
  </r>
  <r>
    <s v="TXN00003165"/>
    <s v="A00002936"/>
    <s v="PLC00006564"/>
    <d v="2012-10-13T00:00:00"/>
    <d v="2020-09-24T00:00:00"/>
    <d v="2020-09-29T00:00:00"/>
    <n v="5"/>
    <n v="112.69"/>
    <n v="1352.28"/>
    <n v="1000"/>
    <s v="A"/>
    <n v="1000"/>
    <n v="7.83"/>
    <s v="Major Loss"/>
    <n v="94"/>
    <n v="52"/>
    <n v="1"/>
    <n v="3"/>
    <s v="M"/>
    <x v="0"/>
    <x v="0"/>
    <s v="Mortgage"/>
    <n v="1"/>
    <n v="1"/>
    <n v="10588.3524"/>
    <n v="7729.4972519999992"/>
    <n v="6729.4972519999992"/>
  </r>
  <r>
    <s v="TXN00003170"/>
    <s v="A00006362"/>
    <s v="PLC00007201"/>
    <d v="2010-12-06T00:00:00"/>
    <d v="2020-09-30T00:00:00"/>
    <d v="2020-10-02T00:00:00"/>
    <n v="2"/>
    <n v="124.71"/>
    <n v="1496.52"/>
    <n v="6000"/>
    <s v="A"/>
    <n v="6000"/>
    <n v="6.92"/>
    <s v="Minor Loss"/>
    <n v="83"/>
    <n v="52"/>
    <n v="1"/>
    <n v="3"/>
    <s v="M"/>
    <x v="0"/>
    <x v="1"/>
    <s v="Mortgage"/>
    <n v="1"/>
    <n v="1"/>
    <n v="10355.9184"/>
    <n v="7559.8204320000004"/>
    <n v="1559.8204320000004"/>
  </r>
  <r>
    <s v="TXN00003177"/>
    <s v="A00000073"/>
    <s v="PLC00004090"/>
    <d v="2018-05-23T00:00:00"/>
    <d v="2020-10-01T00:00:00"/>
    <d v="2020-10-03T00:00:00"/>
    <n v="2"/>
    <n v="133.41999999999999"/>
    <n v="1601.04"/>
    <n v="9000"/>
    <s v="A"/>
    <n v="9000"/>
    <n v="7"/>
    <s v="Minor Loss"/>
    <n v="84"/>
    <n v="57"/>
    <n v="1"/>
    <n v="4"/>
    <s v="M"/>
    <x v="0"/>
    <x v="0"/>
    <s v="Mortgage"/>
    <n v="1"/>
    <n v="1"/>
    <n v="11207.279999999999"/>
    <n v="8181.3143999999993"/>
    <n v="-818.6856000000007"/>
  </r>
  <r>
    <s v="TXN00003181"/>
    <s v="A00003847"/>
    <s v="PLC00008737"/>
    <d v="2011-02-21T00:00:00"/>
    <d v="2020-09-18T00:00:00"/>
    <d v="2020-09-23T00:00:00"/>
    <n v="5"/>
    <n v="127.43"/>
    <n v="1529.16"/>
    <n v="5000"/>
    <s v="A"/>
    <n v="5000"/>
    <n v="6.5"/>
    <s v="Major Loss"/>
    <n v="78"/>
    <n v="42"/>
    <n v="0"/>
    <n v="3"/>
    <s v="L"/>
    <x v="0"/>
    <x v="6"/>
    <s v="Rent"/>
    <n v="1"/>
    <n v="0"/>
    <n v="9939.5400000000009"/>
    <n v="7255.8642000000009"/>
    <n v="2255.8642000000009"/>
  </r>
  <r>
    <s v="TXN00003185"/>
    <s v="A00003082"/>
    <s v="PLC00003792"/>
    <d v="2013-09-19T00:00:00"/>
    <d v="2020-10-05T00:00:00"/>
    <d v="2020-10-05T00:00:00"/>
    <n v="0"/>
    <n v="94.53"/>
    <n v="1134.3599999999999"/>
    <n v="5000"/>
    <s v="A"/>
    <n v="5000"/>
    <n v="9"/>
    <s v="Major Loss"/>
    <n v="108"/>
    <n v="38"/>
    <n v="0"/>
    <n v="3"/>
    <s v="H"/>
    <x v="1"/>
    <x v="1"/>
    <s v="Own"/>
    <n v="1"/>
    <n v="0"/>
    <n v="10209.24"/>
    <n v="7452.7451999999994"/>
    <n v="2452.7451999999994"/>
  </r>
  <r>
    <s v="TXN00003187"/>
    <s v="A00002092"/>
    <s v="PLC00007173"/>
    <d v="2015-05-25T00:00:00"/>
    <d v="2020-10-05T00:00:00"/>
    <d v="2020-10-05T00:00:00"/>
    <n v="0"/>
    <n v="81.77"/>
    <n v="981.24"/>
    <n v="2000"/>
    <s v="A"/>
    <n v="2000"/>
    <n v="3.08"/>
    <s v="Major Loss"/>
    <n v="37"/>
    <n v="64"/>
    <n v="1"/>
    <n v="5"/>
    <s v="L"/>
    <x v="0"/>
    <x v="1"/>
    <s v="Own"/>
    <n v="1"/>
    <n v="1"/>
    <n v="3022.2192"/>
    <n v="2206.2200159999998"/>
    <n v="206.22001599999976"/>
  </r>
  <r>
    <s v="TXN00003190"/>
    <s v="A00009491"/>
    <s v="PLC00006109"/>
    <d v="2016-07-26T00:00:00"/>
    <d v="2020-10-07T00:00:00"/>
    <d v="2020-10-07T00:00:00"/>
    <n v="0"/>
    <n v="100.99"/>
    <n v="1211.8800000000001"/>
    <n v="9000"/>
    <s v="A"/>
    <n v="9000"/>
    <n v="4.83"/>
    <s v="Total Loss"/>
    <n v="58"/>
    <n v="32"/>
    <n v="1"/>
    <n v="3"/>
    <s v="M"/>
    <x v="1"/>
    <x v="3"/>
    <s v="Mortgage"/>
    <n v="1"/>
    <n v="1"/>
    <n v="5853.3804000000009"/>
    <n v="4272.9676920000002"/>
    <n v="-4727.0323079999998"/>
  </r>
  <r>
    <s v="TXN00003191"/>
    <s v="A00000508"/>
    <s v="PLC00008381"/>
    <d v="2018-10-09T00:00:00"/>
    <d v="2020-09-20T00:00:00"/>
    <d v="2020-09-25T00:00:00"/>
    <n v="5"/>
    <n v="121.72"/>
    <n v="1460.64"/>
    <n v="5000"/>
    <s v="A"/>
    <n v="5000"/>
    <n v="6.83"/>
    <s v="Total Loss"/>
    <n v="82"/>
    <n v="63"/>
    <n v="1"/>
    <n v="7"/>
    <s v="M"/>
    <x v="2"/>
    <x v="5"/>
    <s v="Own"/>
    <n v="1"/>
    <n v="1"/>
    <n v="9976.1712000000007"/>
    <n v="7282.6049760000005"/>
    <n v="2282.6049760000005"/>
  </r>
  <r>
    <s v="TXN00003193"/>
    <s v="A00002192"/>
    <s v="PLC00007151"/>
    <d v="2013-02-07T00:00:00"/>
    <d v="2020-09-28T00:00:00"/>
    <d v="2020-10-01T00:00:00"/>
    <n v="3"/>
    <n v="85.6"/>
    <n v="1027.2"/>
    <n v="6000"/>
    <s v="D"/>
    <n v="0"/>
    <n v="6.67"/>
    <s v="Total Loss"/>
    <n v="80"/>
    <n v="61"/>
    <n v="1"/>
    <n v="5"/>
    <s v="L"/>
    <x v="1"/>
    <x v="4"/>
    <s v="Own"/>
    <n v="1"/>
    <n v="1"/>
    <n v="6851.424"/>
    <n v="5001.5395200000003"/>
    <n v="5001.5395200000003"/>
  </r>
  <r>
    <s v="TXN00003197"/>
    <s v="A00001831"/>
    <s v="PLC00001927"/>
    <d v="2011-09-17T00:00:00"/>
    <d v="2020-09-27T00:00:00"/>
    <d v="2020-10-02T00:00:00"/>
    <n v="5"/>
    <n v="86.02"/>
    <n v="1032.24"/>
    <n v="8000"/>
    <s v="A"/>
    <n v="8000"/>
    <n v="6.42"/>
    <s v="Total Loss"/>
    <n v="77"/>
    <n v="57"/>
    <n v="1"/>
    <n v="4"/>
    <s v="L"/>
    <x v="1"/>
    <x v="0"/>
    <s v="Own"/>
    <n v="1"/>
    <n v="0"/>
    <n v="6626.9808000000003"/>
    <n v="4837.695984"/>
    <n v="-3162.304016"/>
  </r>
  <r>
    <s v="TXN00003200"/>
    <s v="A00005827"/>
    <s v="PLC00005299"/>
    <d v="2012-06-05T00:00:00"/>
    <d v="2020-09-28T00:00:00"/>
    <d v="2020-10-01T00:00:00"/>
    <n v="3"/>
    <n v="122.58"/>
    <n v="1470.96"/>
    <n v="1000"/>
    <s v="A"/>
    <n v="1000"/>
    <n v="4.83"/>
    <s v="Total Loss"/>
    <n v="58"/>
    <n v="53"/>
    <n v="1"/>
    <n v="6"/>
    <s v="L"/>
    <x v="0"/>
    <x v="1"/>
    <s v="Rent"/>
    <n v="1"/>
    <n v="1"/>
    <n v="7104.7368000000006"/>
    <n v="5186.457864"/>
    <n v="4186.457864"/>
  </r>
  <r>
    <s v="TXN00003204"/>
    <s v="A00004430"/>
    <s v="PLC00009198"/>
    <d v="2016-10-24T00:00:00"/>
    <d v="2020-09-24T00:00:00"/>
    <d v="2020-09-29T00:00:00"/>
    <n v="5"/>
    <n v="91.99"/>
    <n v="1103.8800000000001"/>
    <n v="9000"/>
    <s v="A"/>
    <n v="9000"/>
    <n v="1.42"/>
    <s v="Total Loss"/>
    <n v="17"/>
    <n v="55"/>
    <n v="1"/>
    <n v="6"/>
    <s v="L"/>
    <x v="0"/>
    <x v="4"/>
    <s v="Mortgage"/>
    <n v="0"/>
    <n v="0"/>
    <n v="1567.5096000000001"/>
    <n v="1144.2820080000001"/>
    <n v="-7855.7179919999999"/>
  </r>
  <r>
    <s v="TXN00003205"/>
    <s v="A00000208"/>
    <s v="PLC00003087"/>
    <d v="2013-06-03T00:00:00"/>
    <d v="2020-09-27T00:00:00"/>
    <d v="2020-10-02T00:00:00"/>
    <n v="5"/>
    <n v="129.85"/>
    <n v="1558.2"/>
    <n v="2000"/>
    <s v="A"/>
    <n v="2000"/>
    <n v="8.58"/>
    <s v="Total Loss"/>
    <n v="103"/>
    <n v="48"/>
    <n v="1"/>
    <n v="7"/>
    <s v="L"/>
    <x v="1"/>
    <x v="1"/>
    <s v="Rent"/>
    <n v="0"/>
    <n v="1"/>
    <n v="13369.356"/>
    <n v="9759.6298800000004"/>
    <n v="7759.6298800000004"/>
  </r>
  <r>
    <s v="TXN00003219"/>
    <s v="A00007425"/>
    <s v="PLC00008379"/>
    <d v="2014-08-24T00:00:00"/>
    <d v="2020-09-30T00:00:00"/>
    <d v="2020-10-03T00:00:00"/>
    <n v="3"/>
    <n v="121.95"/>
    <n v="1463.4"/>
    <n v="5000"/>
    <s v="A"/>
    <n v="5000"/>
    <n v="7"/>
    <s v="Major Loss"/>
    <n v="84"/>
    <n v="45"/>
    <n v="0"/>
    <n v="4"/>
    <s v="H"/>
    <x v="2"/>
    <x v="4"/>
    <s v="Rent"/>
    <n v="1"/>
    <n v="1"/>
    <n v="10243.800000000001"/>
    <n v="7477.9740000000002"/>
    <n v="2477.9740000000002"/>
  </r>
  <r>
    <s v="TXN00003226"/>
    <s v="A00007314"/>
    <s v="PLC00008952"/>
    <d v="2012-04-05T00:00:00"/>
    <d v="2020-09-28T00:00:00"/>
    <d v="2020-10-03T00:00:00"/>
    <n v="5"/>
    <n v="83.65"/>
    <n v="1003.8"/>
    <n v="8000"/>
    <s v="A"/>
    <n v="8000"/>
    <n v="6.42"/>
    <s v="Major Loss"/>
    <n v="77"/>
    <n v="50"/>
    <n v="1"/>
    <n v="7"/>
    <s v="M"/>
    <x v="0"/>
    <x v="1"/>
    <s v="Mortgage"/>
    <n v="1"/>
    <n v="0"/>
    <n v="6444.3959999999997"/>
    <n v="4704.4090799999994"/>
    <n v="-3295.5909200000006"/>
  </r>
  <r>
    <s v="TXN00003242"/>
    <s v="A00000162"/>
    <s v="PLC00009262"/>
    <d v="2016-02-29T00:00:00"/>
    <d v="2020-10-01T00:00:00"/>
    <d v="2020-10-04T00:00:00"/>
    <n v="3"/>
    <n v="125.96"/>
    <n v="1511.52"/>
    <n v="9000"/>
    <s v="A"/>
    <n v="9000"/>
    <n v="2.75"/>
    <s v="Major Loss"/>
    <n v="33"/>
    <n v="37"/>
    <n v="1"/>
    <n v="6"/>
    <s v="M"/>
    <x v="0"/>
    <x v="0"/>
    <s v="Mortgage"/>
    <n v="1"/>
    <n v="1"/>
    <n v="4156.68"/>
    <n v="3034.3764000000001"/>
    <n v="-5965.6235999999999"/>
  </r>
  <r>
    <s v="TXN00003244"/>
    <s v="A00002685"/>
    <s v="PLC00003568"/>
    <d v="2013-10-09T00:00:00"/>
    <d v="2020-09-30T00:00:00"/>
    <d v="2020-10-03T00:00:00"/>
    <n v="3"/>
    <n v="127.06"/>
    <n v="1524.72"/>
    <n v="5000"/>
    <s v="A"/>
    <n v="5000"/>
    <n v="3.08"/>
    <s v="Major Loss"/>
    <n v="37"/>
    <n v="27"/>
    <n v="1"/>
    <n v="3"/>
    <s v="L"/>
    <x v="2"/>
    <x v="1"/>
    <s v="Rent"/>
    <n v="0"/>
    <n v="0"/>
    <n v="4696.1376"/>
    <n v="3428.1804480000001"/>
    <n v="-1571.8195519999999"/>
  </r>
  <r>
    <s v="TXN00003247"/>
    <s v="A00000081"/>
    <s v="PLC00004060"/>
    <d v="2012-06-02T00:00:00"/>
    <d v="2020-09-27T00:00:00"/>
    <d v="2020-10-02T00:00:00"/>
    <n v="5"/>
    <n v="71.19"/>
    <n v="854.28"/>
    <n v="8000"/>
    <s v="A"/>
    <n v="8000"/>
    <n v="3.33"/>
    <s v="Major Loss"/>
    <n v="40"/>
    <n v="43"/>
    <n v="1"/>
    <n v="6"/>
    <s v="H"/>
    <x v="1"/>
    <x v="1"/>
    <s v="Own"/>
    <n v="1"/>
    <n v="1"/>
    <n v="2844.7523999999999"/>
    <n v="2076.6692519999997"/>
    <n v="-5923.3307480000003"/>
  </r>
  <r>
    <s v="TXN00003250"/>
    <s v="A00009168"/>
    <s v="PLC00009946"/>
    <d v="2016-12-09T00:00:00"/>
    <d v="2020-10-01T00:00:00"/>
    <d v="2020-10-04T00:00:00"/>
    <n v="3"/>
    <n v="73.05"/>
    <n v="876.6"/>
    <n v="10000"/>
    <s v="A"/>
    <n v="10000"/>
    <n v="9.83"/>
    <s v="Minor Loss"/>
    <n v="118"/>
    <n v="42"/>
    <n v="1"/>
    <n v="2"/>
    <s v="L"/>
    <x v="1"/>
    <x v="1"/>
    <s v="Own"/>
    <n v="1"/>
    <n v="1"/>
    <n v="8616.978000000001"/>
    <n v="6290.3939400000008"/>
    <n v="-3709.6060599999992"/>
  </r>
  <r>
    <s v="TXN00003255"/>
    <s v="A00008659"/>
    <s v="PLC00002166"/>
    <d v="2016-06-14T00:00:00"/>
    <d v="2020-09-24T00:00:00"/>
    <d v="2020-09-29T00:00:00"/>
    <n v="5"/>
    <n v="116.91"/>
    <n v="1402.92"/>
    <n v="9000"/>
    <s v="A"/>
    <n v="9000"/>
    <n v="3.25"/>
    <s v="Minor Loss"/>
    <n v="39"/>
    <n v="51"/>
    <n v="0"/>
    <n v="5"/>
    <s v="H"/>
    <x v="0"/>
    <x v="3"/>
    <s v="Mortgage"/>
    <n v="1"/>
    <n v="1"/>
    <n v="4559.49"/>
    <n v="3328.4276999999997"/>
    <n v="-5671.5722999999998"/>
  </r>
  <r>
    <s v="TXN00003258"/>
    <s v="A00006359"/>
    <s v="PLC00005202"/>
    <d v="2014-11-10T00:00:00"/>
    <d v="2020-09-23T00:00:00"/>
    <d v="2020-09-28T00:00:00"/>
    <n v="5"/>
    <n v="70.19"/>
    <n v="842.28"/>
    <n v="5000"/>
    <s v="A"/>
    <n v="5000"/>
    <n v="2.92"/>
    <s v="Total Loss"/>
    <n v="35"/>
    <n v="58"/>
    <n v="0"/>
    <n v="4"/>
    <s v="M"/>
    <x v="0"/>
    <x v="1"/>
    <s v="Rent"/>
    <n v="1"/>
    <n v="1"/>
    <n v="2459.4575999999997"/>
    <n v="1795.4040479999996"/>
    <n v="-3204.5959520000006"/>
  </r>
  <r>
    <s v="TXN00003263"/>
    <s v="A00003720"/>
    <s v="PLC00007419"/>
    <d v="2019-01-09T00:00:00"/>
    <d v="2020-09-29T00:00:00"/>
    <d v="2020-10-04T00:00:00"/>
    <n v="5"/>
    <n v="95.53"/>
    <n v="1146.3599999999999"/>
    <n v="6000"/>
    <s v="A"/>
    <n v="6000"/>
    <n v="4.67"/>
    <s v="Total Loss"/>
    <n v="56"/>
    <n v="53"/>
    <n v="1"/>
    <n v="6"/>
    <s v="M"/>
    <x v="0"/>
    <x v="1"/>
    <s v="Rent"/>
    <n v="1"/>
    <n v="1"/>
    <n v="5353.5011999999997"/>
    <n v="3908.0558759999999"/>
    <n v="-2091.9441240000001"/>
  </r>
  <r>
    <s v="TXN00003270"/>
    <s v="A00006060"/>
    <s v="PLC00009577"/>
    <d v="2019-02-26T00:00:00"/>
    <d v="2020-09-24T00:00:00"/>
    <d v="2020-09-29T00:00:00"/>
    <n v="5"/>
    <n v="109.8"/>
    <n v="1317.6"/>
    <n v="7000"/>
    <s v="A"/>
    <n v="7000"/>
    <n v="5.33"/>
    <s v="Minor Loss"/>
    <n v="64"/>
    <n v="48"/>
    <n v="1"/>
    <n v="4"/>
    <s v="M"/>
    <x v="2"/>
    <x v="2"/>
    <s v="Rent"/>
    <n v="1"/>
    <n v="0"/>
    <n v="7022.808"/>
    <n v="5126.64984"/>
    <n v="-1873.35016"/>
  </r>
  <r>
    <s v="TXN00003282"/>
    <s v="A00003543"/>
    <s v="PLC00003452"/>
    <d v="2019-08-28T00:00:00"/>
    <d v="2020-10-09T00:00:00"/>
    <d v="2020-10-09T00:00:00"/>
    <n v="0"/>
    <n v="123.79"/>
    <n v="1485.48"/>
    <n v="7000"/>
    <s v="A"/>
    <n v="7000"/>
    <n v="8.92"/>
    <s v="Total Loss"/>
    <n v="107"/>
    <n v="42"/>
    <n v="1"/>
    <n v="5"/>
    <s v="L"/>
    <x v="2"/>
    <x v="1"/>
    <s v="Own"/>
    <n v="1"/>
    <n v="1"/>
    <n v="13250.481599999999"/>
    <n v="9672.851568"/>
    <n v="2672.851568"/>
  </r>
  <r>
    <s v="TXN00003283"/>
    <s v="A00004732"/>
    <s v="PLC00001675"/>
    <d v="2011-03-30T00:00:00"/>
    <d v="2020-10-07T00:00:00"/>
    <d v="2020-10-08T00:00:00"/>
    <n v="1"/>
    <n v="120.39"/>
    <n v="1444.68"/>
    <n v="4000"/>
    <s v="A"/>
    <n v="4000"/>
    <n v="9.92"/>
    <s v="Total Loss"/>
    <n v="119"/>
    <n v="45"/>
    <n v="1"/>
    <n v="2"/>
    <s v="L"/>
    <x v="1"/>
    <x v="1"/>
    <s v="Rent"/>
    <n v="1"/>
    <n v="0"/>
    <n v="14331.2256"/>
    <n v="10461.794688"/>
    <n v="6461.794688"/>
  </r>
  <r>
    <s v="TXN00003286"/>
    <s v="A00009727"/>
    <s v="PLC00000385"/>
    <d v="2010-12-04T00:00:00"/>
    <d v="2020-09-24T00:00:00"/>
    <d v="2020-09-29T00:00:00"/>
    <n v="5"/>
    <n v="116.15"/>
    <n v="1393.8"/>
    <n v="2000"/>
    <s v="D"/>
    <n v="0"/>
    <n v="8.17"/>
    <s v="Minor Loss"/>
    <n v="98"/>
    <n v="55"/>
    <n v="1"/>
    <n v="4"/>
    <s v="M"/>
    <x v="1"/>
    <x v="4"/>
    <s v="Mortgage"/>
    <n v="1"/>
    <n v="0"/>
    <n v="11387.346"/>
    <n v="8312.7625799999987"/>
    <n v="8312.7625799999987"/>
  </r>
  <r>
    <s v="TXN00003294"/>
    <s v="A00002011"/>
    <s v="PLC00007790"/>
    <d v="2017-10-09T00:00:00"/>
    <d v="2020-10-02T00:00:00"/>
    <d v="2020-10-05T00:00:00"/>
    <n v="3"/>
    <n v="70.87"/>
    <n v="850.44"/>
    <n v="3000"/>
    <s v="A"/>
    <n v="3000"/>
    <n v="6.08"/>
    <s v="Major Loss"/>
    <n v="73"/>
    <n v="27"/>
    <n v="1"/>
    <n v="5"/>
    <s v="M"/>
    <x v="0"/>
    <x v="0"/>
    <s v="Mortgage"/>
    <n v="1"/>
    <n v="1"/>
    <n v="5170.6752000000006"/>
    <n v="3774.5928960000001"/>
    <n v="774.59289600000011"/>
  </r>
  <r>
    <s v="TXN00003295"/>
    <s v="A00001869"/>
    <s v="PLC00005157"/>
    <d v="2012-05-15T00:00:00"/>
    <d v="2020-09-25T00:00:00"/>
    <d v="2020-09-30T00:00:00"/>
    <n v="5"/>
    <n v="126.55"/>
    <n v="1518.6"/>
    <n v="2000"/>
    <s v="A"/>
    <n v="2000"/>
    <n v="4.75"/>
    <s v="Total Loss"/>
    <n v="57"/>
    <n v="37"/>
    <n v="0"/>
    <n v="2"/>
    <s v="M"/>
    <x v="0"/>
    <x v="4"/>
    <s v="Rent"/>
    <n v="0"/>
    <n v="0"/>
    <n v="7213.3499999999995"/>
    <n v="5265.7454999999991"/>
    <n v="3265.7454999999991"/>
  </r>
  <r>
    <s v="TXN00003300"/>
    <s v="A00007232"/>
    <s v="PLC00006945"/>
    <d v="2011-07-31T00:00:00"/>
    <d v="2020-10-05T00:00:00"/>
    <d v="2020-10-07T00:00:00"/>
    <n v="2"/>
    <n v="70.97"/>
    <n v="851.64"/>
    <n v="4000"/>
    <s v="A"/>
    <n v="4000"/>
    <n v="3.17"/>
    <s v="Minor Loss"/>
    <n v="38"/>
    <n v="45"/>
    <n v="0"/>
    <n v="2"/>
    <s v="M"/>
    <x v="0"/>
    <x v="5"/>
    <s v="Rent"/>
    <n v="1"/>
    <n v="1"/>
    <n v="2699.6988000000001"/>
    <n v="1970.7801240000001"/>
    <n v="-2029.2198759999999"/>
  </r>
  <r>
    <s v="TXN00003313"/>
    <s v="A00002509"/>
    <s v="PLC00003260"/>
    <d v="2015-12-21T00:00:00"/>
    <d v="2020-09-25T00:00:00"/>
    <d v="2020-09-30T00:00:00"/>
    <n v="5"/>
    <n v="95.43"/>
    <n v="1145.1600000000001"/>
    <n v="1000"/>
    <s v="A"/>
    <n v="1000"/>
    <n v="7.58"/>
    <s v="Major Loss"/>
    <n v="91"/>
    <n v="41"/>
    <n v="1"/>
    <n v="6"/>
    <s v="M"/>
    <x v="0"/>
    <x v="3"/>
    <s v="Rent"/>
    <n v="1"/>
    <n v="0"/>
    <n v="8680.3128000000015"/>
    <n v="6336.6283440000007"/>
    <n v="5336.6283440000007"/>
  </r>
  <r>
    <s v="TXN00003320"/>
    <s v="A00002421"/>
    <s v="PLC00006898"/>
    <d v="2017-04-08T00:00:00"/>
    <d v="2020-09-28T00:00:00"/>
    <d v="2020-10-03T00:00:00"/>
    <n v="5"/>
    <n v="99.99"/>
    <n v="1199.8800000000001"/>
    <n v="3000"/>
    <s v="A"/>
    <n v="3000"/>
    <n v="8.92"/>
    <s v="Major Loss"/>
    <n v="107"/>
    <n v="50"/>
    <n v="1"/>
    <n v="2"/>
    <s v="H"/>
    <x v="2"/>
    <x v="1"/>
    <s v="Rent"/>
    <n v="1"/>
    <n v="1"/>
    <n v="10702.929600000001"/>
    <n v="7813.1386080000011"/>
    <n v="4813.1386080000011"/>
  </r>
  <r>
    <s v="TXN00003326"/>
    <s v="A00007728"/>
    <s v="PLC00004255"/>
    <d v="2016-03-26T00:00:00"/>
    <d v="2020-10-05T00:00:00"/>
    <d v="2020-10-08T00:00:00"/>
    <n v="3"/>
    <n v="72.36"/>
    <n v="868.32"/>
    <n v="3000"/>
    <s v="A"/>
    <n v="3000"/>
    <n v="5.33"/>
    <s v="Major Loss"/>
    <n v="64"/>
    <n v="46"/>
    <n v="0"/>
    <n v="7"/>
    <s v="L"/>
    <x v="0"/>
    <x v="2"/>
    <s v="Mortgage"/>
    <n v="0"/>
    <n v="1"/>
    <n v="4628.1456000000007"/>
    <n v="3378.5462880000005"/>
    <n v="378.54628800000046"/>
  </r>
  <r>
    <s v="TXN00003331"/>
    <s v="A00009667"/>
    <s v="PLC00000672"/>
    <d v="2015-04-12T00:00:00"/>
    <d v="2020-09-27T00:00:00"/>
    <d v="2020-10-02T00:00:00"/>
    <n v="5"/>
    <n v="126.03"/>
    <n v="1512.36"/>
    <n v="6000"/>
    <s v="A"/>
    <n v="6000"/>
    <n v="5.33"/>
    <s v="Total Loss"/>
    <n v="64"/>
    <n v="41"/>
    <n v="1"/>
    <n v="4"/>
    <s v="L"/>
    <x v="1"/>
    <x v="0"/>
    <s v="Mortgage"/>
    <n v="1"/>
    <n v="1"/>
    <n v="8060.8787999999995"/>
    <n v="5884.4415239999998"/>
    <n v="-115.55847600000016"/>
  </r>
  <r>
    <s v="TXN00003335"/>
    <s v="A00004097"/>
    <s v="PLC00003114"/>
    <d v="2019-12-04T00:00:00"/>
    <d v="2020-10-12T00:00:00"/>
    <d v="2020-10-12T00:00:00"/>
    <n v="0"/>
    <n v="80.87"/>
    <n v="970.44"/>
    <n v="10000"/>
    <s v="D"/>
    <n v="0"/>
    <n v="2"/>
    <s v="Total Loss"/>
    <n v="24"/>
    <n v="56"/>
    <n v="1"/>
    <n v="3"/>
    <s v="M"/>
    <x v="1"/>
    <x v="4"/>
    <s v="Mortgage"/>
    <n v="1"/>
    <n v="0"/>
    <n v="1940.88"/>
    <n v="1416.8424"/>
    <n v="1416.8424"/>
  </r>
  <r>
    <s v="TXN00003352"/>
    <s v="A00009137"/>
    <s v="PLC00003814"/>
    <d v="2013-04-10T00:00:00"/>
    <d v="2020-10-08T00:00:00"/>
    <d v="2020-10-10T00:00:00"/>
    <n v="2"/>
    <n v="128.91"/>
    <n v="1546.92"/>
    <n v="3000"/>
    <s v="A"/>
    <n v="3000"/>
    <n v="7.83"/>
    <s v="Minor Loss"/>
    <n v="94"/>
    <n v="55"/>
    <n v="0"/>
    <n v="6"/>
    <s v="M"/>
    <x v="2"/>
    <x v="4"/>
    <s v="Own"/>
    <n v="0"/>
    <n v="1"/>
    <n v="12112.383600000001"/>
    <n v="8842.0400280000013"/>
    <n v="5842.0400280000013"/>
  </r>
  <r>
    <s v="TXN00003368"/>
    <s v="A00002121"/>
    <s v="PLC00008923"/>
    <d v="2020-01-14T00:00:00"/>
    <d v="2020-09-27T00:00:00"/>
    <d v="2020-10-02T00:00:00"/>
    <n v="5"/>
    <n v="121.27"/>
    <n v="1455.24"/>
    <n v="5000"/>
    <s v="D"/>
    <n v="0"/>
    <n v="1.5"/>
    <s v="Total Loss"/>
    <n v="18"/>
    <n v="53"/>
    <n v="1"/>
    <n v="3"/>
    <s v="M"/>
    <x v="2"/>
    <x v="1"/>
    <s v="Rent"/>
    <n v="0"/>
    <n v="1"/>
    <n v="2182.86"/>
    <n v="1593.4878000000001"/>
    <n v="1593.4878000000001"/>
  </r>
  <r>
    <s v="TXN00003370"/>
    <s v="A00006693"/>
    <s v="PLC00006562"/>
    <d v="2014-03-16T00:00:00"/>
    <d v="2020-09-29T00:00:00"/>
    <d v="2020-10-04T00:00:00"/>
    <n v="5"/>
    <n v="117.82"/>
    <n v="1413.84"/>
    <n v="1000"/>
    <s v="A"/>
    <n v="1000"/>
    <n v="2.75"/>
    <s v="Minor Loss"/>
    <n v="33"/>
    <n v="29"/>
    <n v="1"/>
    <n v="2"/>
    <s v="L"/>
    <x v="1"/>
    <x v="5"/>
    <s v="Mortgage"/>
    <n v="1"/>
    <n v="1"/>
    <n v="3888.06"/>
    <n v="2838.2837999999997"/>
    <n v="1838.2837999999997"/>
  </r>
  <r>
    <s v="TXN00003374"/>
    <s v="A00006645"/>
    <s v="PLC00008789"/>
    <d v="2011-04-24T00:00:00"/>
    <d v="2020-10-03T00:00:00"/>
    <d v="2020-10-08T00:00:00"/>
    <n v="5"/>
    <n v="89.2"/>
    <n v="1070.4000000000001"/>
    <n v="9000"/>
    <s v="A"/>
    <n v="9000"/>
    <n v="5.75"/>
    <s v="Minor Loss"/>
    <n v="69"/>
    <n v="34"/>
    <n v="1"/>
    <n v="2"/>
    <s v="M"/>
    <x v="0"/>
    <x v="1"/>
    <s v="Mortgage"/>
    <n v="1"/>
    <n v="1"/>
    <n v="6154.8"/>
    <n v="4493.0039999999999"/>
    <n v="-4506.9960000000001"/>
  </r>
  <r>
    <s v="TXN00003390"/>
    <s v="A00000539"/>
    <s v="PLC00009998"/>
    <d v="2013-06-09T00:00:00"/>
    <d v="2020-10-13T00:00:00"/>
    <d v="2020-10-13T00:00:00"/>
    <n v="0"/>
    <n v="87.21"/>
    <n v="1046.52"/>
    <n v="10000"/>
    <s v="A"/>
    <n v="10000"/>
    <n v="2"/>
    <s v="Total Loss"/>
    <n v="24"/>
    <n v="35"/>
    <n v="0"/>
    <n v="3"/>
    <s v="L"/>
    <x v="0"/>
    <x v="3"/>
    <s v="Own"/>
    <n v="1"/>
    <n v="1"/>
    <n v="2093.04"/>
    <n v="1527.9192"/>
    <n v="-8472.0807999999997"/>
  </r>
  <r>
    <s v="TXN00003392"/>
    <s v="A00009218"/>
    <s v="PLC00009699"/>
    <d v="2010-11-14T00:00:00"/>
    <d v="2020-10-07T00:00:00"/>
    <d v="2020-10-10T00:00:00"/>
    <n v="3"/>
    <n v="117.26"/>
    <n v="1407.12"/>
    <n v="4000"/>
    <s v="A"/>
    <n v="4000"/>
    <n v="2.58"/>
    <s v="Total Loss"/>
    <n v="31"/>
    <n v="28"/>
    <n v="0"/>
    <n v="5"/>
    <s v="M"/>
    <x v="0"/>
    <x v="1"/>
    <s v="Mortgage"/>
    <n v="1"/>
    <n v="0"/>
    <n v="3630.3696"/>
    <n v="2650.1698080000001"/>
    <n v="-1349.8301919999999"/>
  </r>
  <r>
    <s v="TXN00003393"/>
    <s v="A00007628"/>
    <s v="PLC00009032"/>
    <d v="2012-07-17T00:00:00"/>
    <d v="2020-10-08T00:00:00"/>
    <d v="2020-10-11T00:00:00"/>
    <n v="3"/>
    <n v="70.930000000000007"/>
    <n v="851.16"/>
    <n v="2000"/>
    <s v="A"/>
    <n v="2000"/>
    <n v="3.25"/>
    <s v="Major Loss"/>
    <n v="39"/>
    <n v="50"/>
    <n v="1"/>
    <n v="6"/>
    <s v="M"/>
    <x v="0"/>
    <x v="0"/>
    <s v="Own"/>
    <n v="1"/>
    <n v="1"/>
    <n v="2766.27"/>
    <n v="2019.3770999999999"/>
    <n v="19.377099999999928"/>
  </r>
  <r>
    <s v="TXN00003402"/>
    <s v="A00002329"/>
    <s v="PLC00002491"/>
    <d v="2011-12-11T00:00:00"/>
    <d v="2020-10-03T00:00:00"/>
    <d v="2020-10-08T00:00:00"/>
    <n v="5"/>
    <n v="96.38"/>
    <n v="1156.56"/>
    <n v="1000"/>
    <s v="A"/>
    <n v="1000"/>
    <n v="2.42"/>
    <s v="Major Loss"/>
    <n v="29"/>
    <n v="41"/>
    <n v="0"/>
    <n v="3"/>
    <s v="L"/>
    <x v="0"/>
    <x v="1"/>
    <s v="Mortgage"/>
    <n v="0"/>
    <n v="1"/>
    <n v="2798.8751999999999"/>
    <n v="2043.1788959999999"/>
    <n v="1043.1788959999999"/>
  </r>
  <r>
    <s v="TXN00003410"/>
    <s v="A00004295"/>
    <s v="PLC00004428"/>
    <d v="2015-09-10T00:00:00"/>
    <d v="2020-10-04T00:00:00"/>
    <d v="2020-10-09T00:00:00"/>
    <n v="5"/>
    <n v="76.14"/>
    <n v="913.68"/>
    <n v="5000"/>
    <s v="A"/>
    <n v="5000"/>
    <n v="6.25"/>
    <s v="Minor Loss"/>
    <n v="75"/>
    <n v="56"/>
    <n v="1"/>
    <n v="2"/>
    <s v="M"/>
    <x v="0"/>
    <x v="1"/>
    <s v="Mortgage"/>
    <n v="0"/>
    <n v="1"/>
    <n v="5710.5"/>
    <n v="4168.665"/>
    <n v="-831.33500000000004"/>
  </r>
  <r>
    <s v="TXN00003414"/>
    <s v="A00002203"/>
    <s v="PLC00001687"/>
    <d v="2014-11-27T00:00:00"/>
    <d v="2020-09-30T00:00:00"/>
    <d v="2020-10-05T00:00:00"/>
    <n v="5"/>
    <n v="90.58"/>
    <n v="1086.96"/>
    <n v="8000"/>
    <s v="A"/>
    <n v="8000"/>
    <n v="4.67"/>
    <s v="Major Loss"/>
    <n v="56"/>
    <n v="35"/>
    <n v="1"/>
    <n v="2"/>
    <s v="L"/>
    <x v="2"/>
    <x v="4"/>
    <s v="Own"/>
    <n v="1"/>
    <n v="1"/>
    <n v="5076.1032000000005"/>
    <n v="3705.5553360000004"/>
    <n v="-4294.4446639999996"/>
  </r>
  <r>
    <s v="TXN00003419"/>
    <s v="A00006511"/>
    <s v="PLC00006443"/>
    <d v="2019-05-27T00:00:00"/>
    <d v="2020-10-10T00:00:00"/>
    <d v="2020-10-12T00:00:00"/>
    <n v="2"/>
    <n v="88.69"/>
    <n v="1064.28"/>
    <n v="8000"/>
    <s v="A"/>
    <n v="8000"/>
    <n v="7.25"/>
    <s v="Major Loss"/>
    <n v="87"/>
    <n v="29"/>
    <n v="0"/>
    <n v="2"/>
    <s v="M"/>
    <x v="2"/>
    <x v="0"/>
    <s v="Rent"/>
    <n v="1"/>
    <n v="1"/>
    <n v="7716.03"/>
    <n v="5632.7019"/>
    <n v="-2367.2981"/>
  </r>
  <r>
    <s v="TXN00003420"/>
    <s v="A00002021"/>
    <s v="PLC00000576"/>
    <d v="2015-03-03T00:00:00"/>
    <d v="2020-09-29T00:00:00"/>
    <d v="2020-10-04T00:00:00"/>
    <n v="5"/>
    <n v="132.62"/>
    <n v="1591.44"/>
    <n v="10000"/>
    <s v="A"/>
    <n v="10000"/>
    <n v="9.25"/>
    <s v="Total Loss"/>
    <n v="111"/>
    <n v="35"/>
    <n v="1"/>
    <n v="7"/>
    <s v="M"/>
    <x v="1"/>
    <x v="3"/>
    <s v="Own"/>
    <n v="0"/>
    <n v="1"/>
    <n v="14720.82"/>
    <n v="10746.1986"/>
    <n v="746.19859999999971"/>
  </r>
  <r>
    <s v="TXN00003426"/>
    <s v="A00000646"/>
    <s v="PLC00000439"/>
    <d v="2015-06-12T00:00:00"/>
    <d v="2020-10-10T00:00:00"/>
    <d v="2020-10-12T00:00:00"/>
    <n v="2"/>
    <n v="79.849999999999994"/>
    <n v="958.2"/>
    <n v="3000"/>
    <s v="A"/>
    <n v="3000"/>
    <n v="7.58"/>
    <s v="Total Loss"/>
    <n v="91"/>
    <n v="25"/>
    <n v="1"/>
    <n v="3"/>
    <s v="M"/>
    <x v="0"/>
    <x v="0"/>
    <s v="Own"/>
    <n v="1"/>
    <n v="1"/>
    <n v="7263.1560000000009"/>
    <n v="5302.1038800000006"/>
    <n v="2302.1038800000006"/>
  </r>
  <r>
    <s v="TXN00003435"/>
    <s v="A00009162"/>
    <s v="PLC00000130"/>
    <d v="2018-01-15T00:00:00"/>
    <d v="2020-10-11T00:00:00"/>
    <d v="2020-10-13T00:00:00"/>
    <n v="2"/>
    <n v="116.46"/>
    <n v="1397.52"/>
    <n v="6000"/>
    <s v="A"/>
    <n v="6000"/>
    <n v="2.58"/>
    <s v="Total Loss"/>
    <n v="31"/>
    <n v="61"/>
    <n v="1"/>
    <n v="3"/>
    <s v="M"/>
    <x v="2"/>
    <x v="2"/>
    <s v="Rent"/>
    <n v="0"/>
    <n v="0"/>
    <n v="3605.6016"/>
    <n v="2632.089168"/>
    <n v="-3367.910832"/>
  </r>
  <r>
    <s v="TXN00003444"/>
    <s v="A00005575"/>
    <s v="PLC00002909"/>
    <d v="2017-06-07T00:00:00"/>
    <d v="2020-10-09T00:00:00"/>
    <d v="2020-10-12T00:00:00"/>
    <n v="3"/>
    <n v="135.80000000000001"/>
    <n v="1629.6"/>
    <n v="7000"/>
    <s v="A"/>
    <n v="7000"/>
    <n v="3.17"/>
    <s v="Total Loss"/>
    <n v="38"/>
    <n v="41"/>
    <n v="1"/>
    <n v="5"/>
    <s v="M"/>
    <x v="1"/>
    <x v="0"/>
    <s v="Rent"/>
    <n v="1"/>
    <n v="1"/>
    <n v="5165.8319999999994"/>
    <n v="3771.0573599999993"/>
    <n v="-3228.9426400000007"/>
  </r>
  <r>
    <s v="TXN00003456"/>
    <s v="A00002053"/>
    <s v="PLC00006827"/>
    <d v="2017-02-16T00:00:00"/>
    <d v="2020-10-02T00:00:00"/>
    <d v="2020-10-07T00:00:00"/>
    <n v="5"/>
    <n v="91.86"/>
    <n v="1102.32"/>
    <n v="2000"/>
    <s v="A"/>
    <n v="2000"/>
    <n v="6.08"/>
    <s v="Total Loss"/>
    <n v="73"/>
    <n v="54"/>
    <n v="1"/>
    <n v="2"/>
    <s v="H"/>
    <x v="2"/>
    <x v="1"/>
    <s v="Rent"/>
    <n v="0"/>
    <n v="1"/>
    <n v="6702.1055999999999"/>
    <n v="4892.537088"/>
    <n v="2892.537088"/>
  </r>
  <r>
    <s v="TXN00003457"/>
    <s v="A00006857"/>
    <s v="PLC00007821"/>
    <d v="2012-03-16T00:00:00"/>
    <d v="2020-10-05T00:00:00"/>
    <d v="2020-10-10T00:00:00"/>
    <n v="5"/>
    <n v="112.27"/>
    <n v="1347.24"/>
    <n v="10000"/>
    <s v="A"/>
    <n v="10000"/>
    <n v="5.25"/>
    <s v="Minor Loss"/>
    <n v="63"/>
    <n v="47"/>
    <n v="0"/>
    <n v="7"/>
    <s v="L"/>
    <x v="2"/>
    <x v="0"/>
    <s v="Rent"/>
    <n v="1"/>
    <n v="1"/>
    <n v="7073.01"/>
    <n v="5163.2973000000002"/>
    <n v="-4836.7026999999998"/>
  </r>
  <r>
    <s v="TXN00003458"/>
    <s v="A00000303"/>
    <s v="PLC00008937"/>
    <d v="2019-05-21T00:00:00"/>
    <d v="2020-10-05T00:00:00"/>
    <d v="2020-10-10T00:00:00"/>
    <n v="5"/>
    <n v="138.61000000000001"/>
    <n v="1663.32"/>
    <n v="10000"/>
    <s v="A"/>
    <n v="10000"/>
    <n v="8.33"/>
    <s v="Total Loss"/>
    <n v="100"/>
    <n v="46"/>
    <n v="1"/>
    <n v="3"/>
    <s v="M"/>
    <x v="2"/>
    <x v="5"/>
    <s v="Mortgage"/>
    <n v="1"/>
    <n v="0"/>
    <n v="13855.455599999999"/>
    <n v="10114.482587999999"/>
    <n v="114.48258799999894"/>
  </r>
  <r>
    <s v="TXN00003463"/>
    <s v="A00007951"/>
    <s v="PLC00007347"/>
    <d v="2016-01-02T00:00:00"/>
    <d v="2020-10-18T00:00:00"/>
    <d v="2020-10-18T00:00:00"/>
    <n v="0"/>
    <n v="94.61"/>
    <n v="1135.32"/>
    <n v="3000"/>
    <s v="A"/>
    <n v="3000"/>
    <n v="4.83"/>
    <s v="Total Loss"/>
    <n v="58"/>
    <n v="27"/>
    <n v="1"/>
    <n v="6"/>
    <s v="M"/>
    <x v="1"/>
    <x v="1"/>
    <s v="Rent"/>
    <n v="0"/>
    <n v="1"/>
    <n v="5483.5955999999996"/>
    <n v="4003.0247879999997"/>
    <n v="1003.0247879999997"/>
  </r>
  <r>
    <s v="TXN00003466"/>
    <s v="A00002234"/>
    <s v="PLC00005833"/>
    <d v="2017-05-26T00:00:00"/>
    <d v="2020-10-16T00:00:00"/>
    <d v="2020-10-16T00:00:00"/>
    <n v="0"/>
    <n v="106.07"/>
    <n v="1272.8399999999999"/>
    <n v="9000"/>
    <s v="A"/>
    <n v="9000"/>
    <n v="1.42"/>
    <s v="Minor Loss"/>
    <n v="17"/>
    <n v="30"/>
    <n v="1"/>
    <n v="3"/>
    <s v="M"/>
    <x v="0"/>
    <x v="1"/>
    <s v="Rent"/>
    <n v="0"/>
    <n v="0"/>
    <n v="1807.4327999999998"/>
    <n v="1319.4259439999998"/>
    <n v="-7680.5740560000004"/>
  </r>
  <r>
    <s v="TXN00003481"/>
    <s v="A00009375"/>
    <s v="PLC00008397"/>
    <d v="2015-05-12T00:00:00"/>
    <d v="2020-10-19T00:00:00"/>
    <d v="2020-10-19T00:00:00"/>
    <n v="0"/>
    <n v="105.4"/>
    <n v="1264.8"/>
    <n v="5000"/>
    <s v="A"/>
    <n v="5000"/>
    <n v="8.08"/>
    <s v="Major Loss"/>
    <n v="97"/>
    <n v="33"/>
    <n v="0"/>
    <n v="4"/>
    <s v="L"/>
    <x v="0"/>
    <x v="0"/>
    <s v="Rent"/>
    <n v="0"/>
    <n v="1"/>
    <n v="10219.583999999999"/>
    <n v="7460.2963199999995"/>
    <n v="2460.2963199999995"/>
  </r>
  <r>
    <s v="TXN00003496"/>
    <s v="A00005241"/>
    <s v="PLC00006663"/>
    <d v="2014-04-28T00:00:00"/>
    <d v="2020-09-30T00:00:00"/>
    <d v="2020-10-05T00:00:00"/>
    <n v="5"/>
    <n v="134.88"/>
    <n v="1618.56"/>
    <n v="3000"/>
    <s v="A"/>
    <n v="3000"/>
    <n v="0.5"/>
    <s v="Minor Loss"/>
    <n v="6"/>
    <n v="37"/>
    <n v="1"/>
    <n v="2"/>
    <s v="L"/>
    <x v="1"/>
    <x v="0"/>
    <s v="Own"/>
    <n v="1"/>
    <n v="0"/>
    <n v="809.28"/>
    <n v="590.77440000000001"/>
    <n v="-2409.2255999999998"/>
  </r>
  <r>
    <s v="TXN00003505"/>
    <s v="A00007257"/>
    <s v="PLC00008899"/>
    <d v="2017-04-18T00:00:00"/>
    <d v="2020-10-12T00:00:00"/>
    <d v="2020-10-15T00:00:00"/>
    <n v="3"/>
    <n v="137.52000000000001"/>
    <n v="1650.24"/>
    <n v="3000"/>
    <s v="A"/>
    <n v="3000"/>
    <n v="6.33"/>
    <s v="Total Loss"/>
    <n v="76"/>
    <n v="64"/>
    <n v="1"/>
    <n v="5"/>
    <s v="L"/>
    <x v="0"/>
    <x v="6"/>
    <s v="Own"/>
    <n v="1"/>
    <n v="1"/>
    <n v="10446.019200000001"/>
    <n v="7625.594016"/>
    <n v="4625.594016"/>
  </r>
  <r>
    <s v="TXN00003508"/>
    <s v="A00008790"/>
    <s v="PLC00004863"/>
    <d v="2012-10-09T00:00:00"/>
    <d v="2020-10-07T00:00:00"/>
    <d v="2020-10-12T00:00:00"/>
    <n v="5"/>
    <n v="117.15"/>
    <n v="1405.8"/>
    <n v="4000"/>
    <s v="A"/>
    <n v="4000"/>
    <n v="1.5"/>
    <s v="Major Loss"/>
    <n v="18"/>
    <n v="32"/>
    <n v="1"/>
    <n v="6"/>
    <s v="L"/>
    <x v="0"/>
    <x v="1"/>
    <s v="Rent"/>
    <n v="0"/>
    <n v="0"/>
    <n v="2108.6999999999998"/>
    <n v="1539.3509999999999"/>
    <n v="-2460.6490000000003"/>
  </r>
  <r>
    <s v="TXN00003522"/>
    <s v="A00008266"/>
    <s v="PLC00000924"/>
    <d v="2015-06-26T00:00:00"/>
    <d v="2020-10-03T00:00:00"/>
    <d v="2020-10-08T00:00:00"/>
    <n v="5"/>
    <n v="101.46"/>
    <n v="1217.52"/>
    <n v="6000"/>
    <s v="A"/>
    <n v="6000"/>
    <n v="5.08"/>
    <s v="Minor Loss"/>
    <n v="61"/>
    <n v="48"/>
    <n v="1"/>
    <n v="2"/>
    <s v="H"/>
    <x v="0"/>
    <x v="4"/>
    <s v="Mortgage"/>
    <n v="0"/>
    <n v="0"/>
    <n v="6185.0015999999996"/>
    <n v="4515.051168"/>
    <n v="-1484.948832"/>
  </r>
  <r>
    <s v="TXN00003523"/>
    <s v="A00002912"/>
    <s v="PLC00001282"/>
    <d v="2011-08-01T00:00:00"/>
    <d v="2020-10-20T00:00:00"/>
    <d v="2020-10-20T00:00:00"/>
    <n v="0"/>
    <n v="130.84"/>
    <n v="1570.08"/>
    <n v="5000"/>
    <s v="A"/>
    <n v="5000"/>
    <n v="3.5"/>
    <s v="Major Loss"/>
    <n v="42"/>
    <n v="59"/>
    <n v="1"/>
    <n v="3"/>
    <s v="L"/>
    <x v="0"/>
    <x v="0"/>
    <s v="Own"/>
    <n v="0"/>
    <n v="0"/>
    <n v="5495.28"/>
    <n v="4011.5543999999995"/>
    <n v="-988.44560000000047"/>
  </r>
  <r>
    <s v="TXN00003526"/>
    <s v="A00003391"/>
    <s v="PLC00003520"/>
    <d v="2011-03-04T00:00:00"/>
    <d v="2020-10-16T00:00:00"/>
    <d v="2020-10-17T00:00:00"/>
    <n v="1"/>
    <n v="82.94"/>
    <n v="995.28"/>
    <n v="7000"/>
    <s v="A"/>
    <n v="7000"/>
    <n v="5.75"/>
    <s v="Minor Loss"/>
    <n v="69"/>
    <n v="27"/>
    <n v="1"/>
    <n v="4"/>
    <s v="L"/>
    <x v="2"/>
    <x v="5"/>
    <s v="Mortgage"/>
    <n v="1"/>
    <n v="1"/>
    <n v="5722.86"/>
    <n v="4177.6877999999997"/>
    <n v="-2822.3122000000003"/>
  </r>
  <r>
    <s v="TXN00003541"/>
    <s v="A00004969"/>
    <s v="PLC00005694"/>
    <d v="2013-03-21T00:00:00"/>
    <d v="2020-10-18T00:00:00"/>
    <d v="2020-10-19T00:00:00"/>
    <n v="1"/>
    <n v="133.62"/>
    <n v="1603.44"/>
    <n v="2000"/>
    <s v="D"/>
    <n v="0"/>
    <n v="5"/>
    <s v="Major Loss"/>
    <n v="60"/>
    <n v="31"/>
    <n v="1"/>
    <n v="5"/>
    <s v="L"/>
    <x v="1"/>
    <x v="4"/>
    <s v="Mortgage"/>
    <n v="1"/>
    <n v="1"/>
    <n v="8017.2000000000007"/>
    <n v="5852.5560000000005"/>
    <n v="5852.5560000000005"/>
  </r>
  <r>
    <s v="TXN00003544"/>
    <s v="A00003192"/>
    <s v="PLC00002885"/>
    <d v="2017-12-04T00:00:00"/>
    <d v="2020-10-09T00:00:00"/>
    <d v="2020-10-14T00:00:00"/>
    <n v="5"/>
    <n v="87.51"/>
    <n v="1050.1199999999999"/>
    <n v="5000"/>
    <s v="A"/>
    <n v="5000"/>
    <n v="7"/>
    <s v="Minor Loss"/>
    <n v="84"/>
    <n v="42"/>
    <n v="1"/>
    <n v="5"/>
    <s v="H"/>
    <x v="0"/>
    <x v="1"/>
    <s v="Rent"/>
    <n v="0"/>
    <n v="1"/>
    <n v="7350.8399999999992"/>
    <n v="5366.1131999999989"/>
    <n v="366.11319999999887"/>
  </r>
  <r>
    <s v="TXN00003564"/>
    <s v="A00001141"/>
    <s v="PLC00000146"/>
    <d v="2011-11-18T00:00:00"/>
    <d v="2020-10-16T00:00:00"/>
    <d v="2020-10-18T00:00:00"/>
    <n v="2"/>
    <n v="122.72"/>
    <n v="1472.64"/>
    <n v="7000"/>
    <s v="A"/>
    <n v="7000"/>
    <n v="7.67"/>
    <s v="Major Loss"/>
    <n v="92"/>
    <n v="26"/>
    <n v="1"/>
    <n v="2"/>
    <s v="M"/>
    <x v="0"/>
    <x v="5"/>
    <s v="Rent"/>
    <n v="1"/>
    <n v="1"/>
    <n v="11295.148800000001"/>
    <n v="8245.4586240000008"/>
    <n v="1245.4586240000008"/>
  </r>
  <r>
    <s v="TXN00003566"/>
    <s v="A00008282"/>
    <s v="PLC00003818"/>
    <d v="2011-05-17T00:00:00"/>
    <d v="2020-10-05T00:00:00"/>
    <d v="2020-10-10T00:00:00"/>
    <n v="5"/>
    <n v="127.22"/>
    <n v="1526.64"/>
    <n v="4000"/>
    <s v="A"/>
    <n v="4000"/>
    <n v="9"/>
    <s v="Total Loss"/>
    <n v="108"/>
    <n v="63"/>
    <n v="1"/>
    <n v="5"/>
    <s v="L"/>
    <x v="0"/>
    <x v="4"/>
    <s v="Mortgage"/>
    <n v="0"/>
    <n v="1"/>
    <n v="13739.76"/>
    <n v="10030.024799999999"/>
    <n v="6030.0247999999992"/>
  </r>
  <r>
    <s v="TXN00003584"/>
    <s v="A00009944"/>
    <s v="PLC00000035"/>
    <d v="2018-02-17T00:00:00"/>
    <d v="2020-10-16T00:00:00"/>
    <d v="2020-10-19T00:00:00"/>
    <n v="3"/>
    <n v="89.42"/>
    <n v="1073.04"/>
    <n v="2000"/>
    <s v="A"/>
    <n v="2000"/>
    <n v="5.83"/>
    <s v="Total Loss"/>
    <n v="70"/>
    <n v="64"/>
    <n v="1"/>
    <n v="7"/>
    <s v="M"/>
    <x v="0"/>
    <x v="0"/>
    <s v="Rent"/>
    <n v="1"/>
    <n v="1"/>
    <n v="6255.8231999999998"/>
    <n v="4566.7509359999995"/>
    <n v="2566.7509359999995"/>
  </r>
  <r>
    <s v="TXN00003598"/>
    <s v="A00006298"/>
    <s v="PLC00002271"/>
    <d v="2017-08-31T00:00:00"/>
    <d v="2020-10-16T00:00:00"/>
    <d v="2020-10-19T00:00:00"/>
    <n v="3"/>
    <n v="79.150000000000006"/>
    <n v="949.8"/>
    <n v="7000"/>
    <s v="A"/>
    <n v="7000"/>
    <n v="9.83"/>
    <s v="Minor Loss"/>
    <n v="118"/>
    <n v="53"/>
    <n v="1"/>
    <n v="6"/>
    <s v="L"/>
    <x v="1"/>
    <x v="3"/>
    <s v="Rent"/>
    <n v="1"/>
    <n v="1"/>
    <n v="9336.5339999999997"/>
    <n v="6815.6698199999992"/>
    <n v="-184.33018000000084"/>
  </r>
  <r>
    <s v="TXN00003602"/>
    <s v="A00006861"/>
    <s v="PLC00002111"/>
    <d v="2012-09-06T00:00:00"/>
    <d v="2020-10-21T00:00:00"/>
    <d v="2020-10-22T00:00:00"/>
    <n v="1"/>
    <n v="107.02"/>
    <n v="1284.24"/>
    <n v="7000"/>
    <s v="D"/>
    <n v="0"/>
    <n v="2.75"/>
    <s v="Minor Loss"/>
    <n v="33"/>
    <n v="47"/>
    <n v="1"/>
    <n v="3"/>
    <s v="L"/>
    <x v="1"/>
    <x v="0"/>
    <s v="Mortgage"/>
    <n v="1"/>
    <n v="0"/>
    <n v="3531.66"/>
    <n v="2578.1117999999997"/>
    <n v="2578.1117999999997"/>
  </r>
  <r>
    <s v="TXN00003604"/>
    <s v="A00006720"/>
    <s v="PLC00002677"/>
    <d v="2016-05-09T00:00:00"/>
    <d v="2020-10-17T00:00:00"/>
    <d v="2020-10-20T00:00:00"/>
    <n v="3"/>
    <n v="128.47"/>
    <n v="1541.64"/>
    <n v="8000"/>
    <s v="A"/>
    <n v="8000"/>
    <n v="4.08"/>
    <s v="Total Loss"/>
    <n v="49"/>
    <n v="39"/>
    <n v="1"/>
    <n v="4"/>
    <s v="M"/>
    <x v="0"/>
    <x v="1"/>
    <s v="Mortgage"/>
    <n v="1"/>
    <n v="0"/>
    <n v="6289.8912000000009"/>
    <n v="4591.6205760000003"/>
    <n v="-3408.3794239999997"/>
  </r>
  <r>
    <s v="TXN00003605"/>
    <s v="A00006757"/>
    <s v="PLC00007610"/>
    <d v="2010-12-12T00:00:00"/>
    <d v="2020-10-17T00:00:00"/>
    <d v="2020-10-20T00:00:00"/>
    <n v="3"/>
    <n v="100.62"/>
    <n v="1207.44"/>
    <n v="10000"/>
    <s v="D"/>
    <n v="0"/>
    <n v="4.25"/>
    <s v="Major Loss"/>
    <n v="51"/>
    <n v="54"/>
    <n v="1"/>
    <n v="7"/>
    <s v="H"/>
    <x v="1"/>
    <x v="4"/>
    <s v="Rent"/>
    <n v="0"/>
    <n v="1"/>
    <n v="5131.62"/>
    <n v="3746.0825999999997"/>
    <n v="3746.0825999999997"/>
  </r>
  <r>
    <s v="TXN00003611"/>
    <s v="A00009174"/>
    <s v="PLC00008902"/>
    <d v="2012-03-28T00:00:00"/>
    <d v="2020-10-14T00:00:00"/>
    <d v="2020-10-19T00:00:00"/>
    <n v="5"/>
    <n v="135.16999999999999"/>
    <n v="1622.04"/>
    <n v="4000"/>
    <s v="A"/>
    <n v="4000"/>
    <n v="4.08"/>
    <s v="Total Loss"/>
    <n v="49"/>
    <n v="55"/>
    <n v="1"/>
    <n v="7"/>
    <s v="M"/>
    <x v="2"/>
    <x v="0"/>
    <s v="Rent"/>
    <n v="1"/>
    <n v="0"/>
    <n v="6617.9232000000002"/>
    <n v="4831.083936"/>
    <n v="831.08393599999999"/>
  </r>
  <r>
    <s v="TXN00003612"/>
    <s v="A00005722"/>
    <s v="PLC00002678"/>
    <d v="2014-08-25T00:00:00"/>
    <d v="2020-10-06T00:00:00"/>
    <d v="2020-10-11T00:00:00"/>
    <n v="5"/>
    <n v="97.78"/>
    <n v="1173.3599999999999"/>
    <n v="1000"/>
    <s v="A"/>
    <n v="1000"/>
    <n v="0.67"/>
    <s v="Major Loss"/>
    <n v="8"/>
    <n v="30"/>
    <n v="1"/>
    <n v="7"/>
    <s v="M"/>
    <x v="0"/>
    <x v="5"/>
    <s v="Mortgage"/>
    <n v="1"/>
    <n v="1"/>
    <n v="786.15120000000002"/>
    <n v="573.89037599999995"/>
    <n v="-426.10962400000005"/>
  </r>
  <r>
    <s v="TXN00003630"/>
    <s v="A00009379"/>
    <s v="PLC00004977"/>
    <d v="2013-02-24T00:00:00"/>
    <d v="2020-10-18T00:00:00"/>
    <d v="2020-10-21T00:00:00"/>
    <n v="3"/>
    <n v="109.01"/>
    <n v="1308.1199999999999"/>
    <n v="4000"/>
    <s v="A"/>
    <n v="4000"/>
    <n v="6.17"/>
    <s v="Total Loss"/>
    <n v="74"/>
    <n v="50"/>
    <n v="1"/>
    <n v="6"/>
    <s v="M"/>
    <x v="0"/>
    <x v="3"/>
    <s v="Own"/>
    <n v="0"/>
    <n v="0"/>
    <n v="8071.1003999999994"/>
    <n v="5891.9032919999991"/>
    <n v="1891.9032919999991"/>
  </r>
  <r>
    <s v="TXN00003635"/>
    <s v="A00001343"/>
    <s v="PLC00006408"/>
    <d v="2019-02-10T00:00:00"/>
    <d v="2020-10-19T00:00:00"/>
    <d v="2020-10-21T00:00:00"/>
    <n v="2"/>
    <n v="98.11"/>
    <n v="1177.32"/>
    <n v="1000"/>
    <s v="A"/>
    <n v="1000"/>
    <n v="4.17"/>
    <s v="Minor Loss"/>
    <n v="50"/>
    <n v="25"/>
    <n v="1"/>
    <n v="5"/>
    <s v="L"/>
    <x v="0"/>
    <x v="1"/>
    <s v="Rent"/>
    <n v="1"/>
    <n v="1"/>
    <n v="4909.4243999999999"/>
    <n v="3583.8798119999997"/>
    <n v="2583.8798119999997"/>
  </r>
  <r>
    <s v="TXN00003656"/>
    <s v="A00000085"/>
    <s v="PLC00000395"/>
    <d v="2011-11-23T00:00:00"/>
    <d v="2020-10-07T00:00:00"/>
    <d v="2020-10-12T00:00:00"/>
    <n v="5"/>
    <n v="77.73"/>
    <n v="932.76"/>
    <n v="8000"/>
    <s v="A"/>
    <n v="8000"/>
    <n v="7.83"/>
    <s v="Major Loss"/>
    <n v="94"/>
    <n v="34"/>
    <n v="0"/>
    <n v="6"/>
    <s v="L"/>
    <x v="0"/>
    <x v="4"/>
    <s v="Rent"/>
    <n v="1"/>
    <n v="1"/>
    <n v="7303.5108"/>
    <n v="5331.5628839999999"/>
    <n v="-2668.4371160000001"/>
  </r>
  <r>
    <s v="TXN00003666"/>
    <s v="A00003050"/>
    <s v="PLC00003926"/>
    <d v="2016-03-23T00:00:00"/>
    <d v="2020-10-22T00:00:00"/>
    <d v="2020-10-23T00:00:00"/>
    <n v="1"/>
    <n v="120.8"/>
    <n v="1449.6"/>
    <n v="5000"/>
    <s v="A"/>
    <n v="5000"/>
    <n v="6.92"/>
    <s v="Major Loss"/>
    <n v="83"/>
    <n v="49"/>
    <n v="1"/>
    <n v="2"/>
    <s v="M"/>
    <x v="2"/>
    <x v="0"/>
    <s v="Mortgage"/>
    <n v="1"/>
    <n v="1"/>
    <n v="10031.232"/>
    <n v="7322.79936"/>
    <n v="2322.79936"/>
  </r>
  <r>
    <s v="TXN00003674"/>
    <s v="A00008098"/>
    <s v="PLC00000985"/>
    <d v="2010-10-12T00:00:00"/>
    <d v="2020-10-07T00:00:00"/>
    <d v="2020-10-12T00:00:00"/>
    <n v="5"/>
    <n v="136.11000000000001"/>
    <n v="1633.32"/>
    <n v="10000"/>
    <s v="A"/>
    <n v="10000"/>
    <n v="0.57999999999999996"/>
    <s v="Total Loss"/>
    <n v="7"/>
    <n v="61"/>
    <n v="0"/>
    <n v="6"/>
    <s v="L"/>
    <x v="0"/>
    <x v="1"/>
    <s v="Mortgage"/>
    <n v="0"/>
    <n v="1"/>
    <n v="947.32559999999989"/>
    <n v="691.54768799999988"/>
    <n v="-9308.4523119999994"/>
  </r>
  <r>
    <s v="TXN00003675"/>
    <s v="A00006022"/>
    <s v="PLC00004281"/>
    <d v="2017-01-12T00:00:00"/>
    <d v="2020-10-12T00:00:00"/>
    <d v="2020-10-17T00:00:00"/>
    <n v="5"/>
    <n v="113.48"/>
    <n v="1361.76"/>
    <n v="10000"/>
    <s v="A"/>
    <n v="10000"/>
    <n v="3"/>
    <s v="Major Loss"/>
    <n v="36"/>
    <n v="60"/>
    <n v="1"/>
    <n v="7"/>
    <s v="L"/>
    <x v="2"/>
    <x v="1"/>
    <s v="Mortgage"/>
    <n v="1"/>
    <n v="0"/>
    <n v="4085.2799999999997"/>
    <n v="2982.2543999999998"/>
    <n v="-7017.7456000000002"/>
  </r>
  <r>
    <s v="TXN00003676"/>
    <s v="A00001411"/>
    <s v="PLC00002186"/>
    <d v="2015-03-09T00:00:00"/>
    <d v="2020-10-10T00:00:00"/>
    <d v="2020-10-15T00:00:00"/>
    <n v="5"/>
    <n v="102.16"/>
    <n v="1225.92"/>
    <n v="2000"/>
    <s v="A"/>
    <n v="2000"/>
    <n v="8.25"/>
    <s v="Minor Loss"/>
    <n v="99"/>
    <n v="58"/>
    <n v="0"/>
    <n v="7"/>
    <s v="M"/>
    <x v="1"/>
    <x v="1"/>
    <s v="Rent"/>
    <n v="1"/>
    <n v="1"/>
    <n v="10113.84"/>
    <n v="7383.1031999999996"/>
    <n v="5383.1031999999996"/>
  </r>
  <r>
    <s v="TXN00003686"/>
    <s v="A00007697"/>
    <s v="PLC00002941"/>
    <d v="2013-09-02T00:00:00"/>
    <d v="2020-10-13T00:00:00"/>
    <d v="2020-10-18T00:00:00"/>
    <n v="5"/>
    <n v="90.57"/>
    <n v="1086.8399999999999"/>
    <n v="6000"/>
    <s v="A"/>
    <n v="6000"/>
    <n v="9"/>
    <s v="Major Loss"/>
    <n v="108"/>
    <n v="34"/>
    <n v="1"/>
    <n v="3"/>
    <s v="L"/>
    <x v="2"/>
    <x v="4"/>
    <s v="Own"/>
    <n v="1"/>
    <n v="1"/>
    <n v="9781.56"/>
    <n v="7140.5387999999994"/>
    <n v="1140.5387999999994"/>
  </r>
  <r>
    <s v="TXN00003688"/>
    <s v="A00005297"/>
    <s v="PLC00000668"/>
    <d v="2015-05-09T00:00:00"/>
    <d v="2020-10-11T00:00:00"/>
    <d v="2020-10-16T00:00:00"/>
    <n v="5"/>
    <n v="131.91999999999999"/>
    <n v="1583.04"/>
    <n v="8000"/>
    <s v="A"/>
    <n v="8000"/>
    <n v="8.25"/>
    <s v="Major Loss"/>
    <n v="99"/>
    <n v="26"/>
    <n v="0"/>
    <n v="7"/>
    <s v="L"/>
    <x v="2"/>
    <x v="1"/>
    <s v="Mortgage"/>
    <n v="1"/>
    <n v="1"/>
    <n v="13060.08"/>
    <n v="9533.8583999999992"/>
    <n v="1533.8583999999992"/>
  </r>
  <r>
    <s v="TXN00003697"/>
    <s v="A00004898"/>
    <s v="PLC00003017"/>
    <d v="2018-07-11T00:00:00"/>
    <d v="2020-10-20T00:00:00"/>
    <d v="2020-10-23T00:00:00"/>
    <n v="3"/>
    <n v="137.13"/>
    <n v="1645.56"/>
    <n v="5000"/>
    <s v="A"/>
    <n v="5000"/>
    <n v="4.92"/>
    <s v="Minor Loss"/>
    <n v="59"/>
    <n v="64"/>
    <n v="1"/>
    <n v="5"/>
    <s v="M"/>
    <x v="0"/>
    <x v="5"/>
    <s v="Mortgage"/>
    <n v="1"/>
    <n v="0"/>
    <n v="8096.1551999999992"/>
    <n v="5910.1932959999995"/>
    <n v="910.19329599999946"/>
  </r>
  <r>
    <s v="TXN00003700"/>
    <s v="A00007400"/>
    <s v="PLC00002786"/>
    <d v="2012-08-16T00:00:00"/>
    <d v="2020-10-08T00:00:00"/>
    <d v="2020-10-13T00:00:00"/>
    <n v="5"/>
    <n v="102.46"/>
    <n v="1229.52"/>
    <n v="2000"/>
    <s v="A"/>
    <n v="2000"/>
    <n v="0.67"/>
    <s v="Major Loss"/>
    <n v="8"/>
    <n v="52"/>
    <n v="1"/>
    <n v="2"/>
    <s v="L"/>
    <x v="0"/>
    <x v="1"/>
    <s v="Own"/>
    <n v="1"/>
    <n v="0"/>
    <n v="823.77840000000003"/>
    <n v="601.35823200000004"/>
    <n v="-1398.641768"/>
  </r>
  <r>
    <s v="TXN00003701"/>
    <s v="A00008560"/>
    <s v="PLC00009917"/>
    <d v="2016-09-27T00:00:00"/>
    <d v="2020-10-14T00:00:00"/>
    <d v="2020-10-19T00:00:00"/>
    <n v="5"/>
    <n v="130.36000000000001"/>
    <n v="1564.32"/>
    <n v="3000"/>
    <s v="A"/>
    <n v="3000"/>
    <n v="6.08"/>
    <s v="Total Loss"/>
    <n v="73"/>
    <n v="44"/>
    <n v="1"/>
    <n v="4"/>
    <s v="M"/>
    <x v="2"/>
    <x v="0"/>
    <s v="Own"/>
    <n v="1"/>
    <n v="1"/>
    <n v="9511.0655999999999"/>
    <n v="6943.0778879999998"/>
    <n v="3943.0778879999998"/>
  </r>
  <r>
    <s v="TXN00003714"/>
    <s v="A00001996"/>
    <s v="PLC00000739"/>
    <d v="2017-09-09T00:00:00"/>
    <d v="2020-10-24T00:00:00"/>
    <d v="2020-10-25T00:00:00"/>
    <n v="1"/>
    <n v="81.58"/>
    <n v="978.96"/>
    <n v="4000"/>
    <s v="A"/>
    <n v="4000"/>
    <n v="6.25"/>
    <s v="Minor Loss"/>
    <n v="75"/>
    <n v="37"/>
    <n v="1"/>
    <n v="7"/>
    <s v="L"/>
    <x v="0"/>
    <x v="0"/>
    <s v="Mortgage"/>
    <n v="0"/>
    <n v="0"/>
    <n v="6118.5"/>
    <n v="4466.5050000000001"/>
    <n v="466.50500000000011"/>
  </r>
  <r>
    <s v="TXN00003715"/>
    <s v="A00003601"/>
    <s v="PLC00003439"/>
    <d v="2019-07-11T00:00:00"/>
    <d v="2020-10-13T00:00:00"/>
    <d v="2020-10-18T00:00:00"/>
    <n v="5"/>
    <n v="129.18"/>
    <n v="1550.16"/>
    <n v="2000"/>
    <s v="A"/>
    <n v="2000"/>
    <n v="3.08"/>
    <s v="Minor Loss"/>
    <n v="37"/>
    <n v="33"/>
    <n v="1"/>
    <n v="7"/>
    <s v="M"/>
    <x v="0"/>
    <x v="1"/>
    <s v="Mortgage"/>
    <n v="1"/>
    <n v="1"/>
    <n v="4774.4928"/>
    <n v="3485.3797439999998"/>
    <n v="1485.3797439999998"/>
  </r>
  <r>
    <s v="TXN00003720"/>
    <s v="A00002355"/>
    <s v="PLC00003690"/>
    <d v="2019-07-20T00:00:00"/>
    <d v="2020-10-24T00:00:00"/>
    <d v="2020-10-25T00:00:00"/>
    <n v="1"/>
    <n v="116.14"/>
    <n v="1393.68"/>
    <n v="2000"/>
    <s v="A"/>
    <n v="2000"/>
    <n v="8.33"/>
    <s v="Major Loss"/>
    <n v="100"/>
    <n v="35"/>
    <n v="0"/>
    <n v="7"/>
    <s v="L"/>
    <x v="2"/>
    <x v="3"/>
    <s v="Rent"/>
    <n v="1"/>
    <n v="1"/>
    <n v="11609.3544"/>
    <n v="8474.8287120000005"/>
    <n v="6474.8287120000005"/>
  </r>
  <r>
    <s v="TXN00003721"/>
    <s v="A00005529"/>
    <s v="PLC00000304"/>
    <d v="2014-06-07T00:00:00"/>
    <d v="2020-10-26T00:00:00"/>
    <d v="2020-10-26T00:00:00"/>
    <n v="0"/>
    <n v="113.73"/>
    <n v="1364.76"/>
    <n v="7000"/>
    <s v="A"/>
    <n v="7000"/>
    <n v="4.67"/>
    <s v="Total Loss"/>
    <n v="56"/>
    <n v="49"/>
    <n v="1"/>
    <n v="5"/>
    <s v="M"/>
    <x v="0"/>
    <x v="6"/>
    <s v="Mortgage"/>
    <n v="1"/>
    <n v="1"/>
    <n v="6373.4291999999996"/>
    <n v="4652.6033159999997"/>
    <n v="-2347.3966840000003"/>
  </r>
  <r>
    <s v="TXN00003729"/>
    <s v="A00008987"/>
    <s v="PLC00000059"/>
    <d v="2011-07-25T00:00:00"/>
    <d v="2020-10-17T00:00:00"/>
    <d v="2020-10-22T00:00:00"/>
    <n v="5"/>
    <n v="119.95"/>
    <n v="1439.4"/>
    <n v="8000"/>
    <s v="A"/>
    <n v="8000"/>
    <n v="7.08"/>
    <s v="Total Loss"/>
    <n v="85"/>
    <n v="55"/>
    <n v="1"/>
    <n v="4"/>
    <s v="M"/>
    <x v="1"/>
    <x v="1"/>
    <s v="Own"/>
    <n v="1"/>
    <n v="0"/>
    <n v="10190.952000000001"/>
    <n v="7439.3949600000005"/>
    <n v="-560.60503999999946"/>
  </r>
  <r>
    <s v="TXN00003730"/>
    <s v="A00003008"/>
    <s v="PLC00004236"/>
    <d v="2018-08-31T00:00:00"/>
    <d v="2020-10-27T00:00:00"/>
    <d v="2020-10-27T00:00:00"/>
    <n v="0"/>
    <n v="109.19"/>
    <n v="1310.28"/>
    <n v="10000"/>
    <s v="A"/>
    <n v="10000"/>
    <n v="2.75"/>
    <s v="Minor Loss"/>
    <n v="33"/>
    <n v="52"/>
    <n v="1"/>
    <n v="4"/>
    <s v="L"/>
    <x v="2"/>
    <x v="1"/>
    <s v="Mortgage"/>
    <n v="1"/>
    <n v="1"/>
    <n v="3603.27"/>
    <n v="2630.3870999999999"/>
    <n v="-7369.6129000000001"/>
  </r>
  <r>
    <s v="TXN00003735"/>
    <s v="A00009079"/>
    <s v="PLC00005569"/>
    <d v="2010-07-11T00:00:00"/>
    <d v="2020-10-18T00:00:00"/>
    <d v="2020-10-23T00:00:00"/>
    <n v="5"/>
    <n v="120.12"/>
    <n v="1441.44"/>
    <n v="10000"/>
    <s v="A"/>
    <n v="10000"/>
    <n v="7.42"/>
    <s v="Total Loss"/>
    <n v="89"/>
    <n v="53"/>
    <n v="0"/>
    <n v="6"/>
    <s v="M"/>
    <x v="0"/>
    <x v="0"/>
    <s v="Rent"/>
    <n v="1"/>
    <n v="0"/>
    <n v="10695.4848"/>
    <n v="7807.703904"/>
    <n v="-2192.296096"/>
  </r>
  <r>
    <s v="TXN00003749"/>
    <s v="A00009313"/>
    <s v="PLC00005012"/>
    <d v="2012-04-22T00:00:00"/>
    <d v="2020-10-25T00:00:00"/>
    <d v="2020-10-26T00:00:00"/>
    <n v="1"/>
    <n v="84.92"/>
    <n v="1019.04"/>
    <n v="10000"/>
    <s v="A"/>
    <n v="10000"/>
    <n v="5.42"/>
    <s v="Major Loss"/>
    <n v="65"/>
    <n v="41"/>
    <n v="1"/>
    <n v="6"/>
    <s v="L"/>
    <x v="2"/>
    <x v="3"/>
    <s v="Rent"/>
    <n v="1"/>
    <n v="1"/>
    <n v="5523.1967999999997"/>
    <n v="4031.9336639999997"/>
    <n v="-5968.0663359999999"/>
  </r>
  <r>
    <s v="TXN00003753"/>
    <s v="A00003746"/>
    <s v="PLC00008288"/>
    <d v="2011-07-27T00:00:00"/>
    <d v="2020-10-24T00:00:00"/>
    <d v="2020-10-26T00:00:00"/>
    <n v="2"/>
    <n v="107.01"/>
    <n v="1284.1199999999999"/>
    <n v="6000"/>
    <s v="A"/>
    <n v="6000"/>
    <n v="6"/>
    <s v="Minor Loss"/>
    <n v="72"/>
    <n v="61"/>
    <n v="0"/>
    <n v="4"/>
    <s v="H"/>
    <x v="1"/>
    <x v="4"/>
    <s v="Rent"/>
    <n v="1"/>
    <n v="1"/>
    <n v="7704.7199999999993"/>
    <n v="5624.4455999999991"/>
    <n v="-375.5544000000009"/>
  </r>
  <r>
    <s v="TXN00003757"/>
    <s v="A00001764"/>
    <s v="PLC00003588"/>
    <d v="2011-06-19T00:00:00"/>
    <d v="2020-10-30T00:00:00"/>
    <d v="2020-10-30T00:00:00"/>
    <n v="0"/>
    <n v="78.739999999999995"/>
    <n v="944.88"/>
    <n v="3000"/>
    <s v="A"/>
    <n v="3000"/>
    <n v="7.42"/>
    <s v="Major Loss"/>
    <n v="89"/>
    <n v="35"/>
    <n v="0"/>
    <n v="6"/>
    <s v="M"/>
    <x v="0"/>
    <x v="0"/>
    <s v="Mortgage"/>
    <n v="0"/>
    <n v="0"/>
    <n v="7011.0096000000003"/>
    <n v="5118.0370080000002"/>
    <n v="2118.0370080000002"/>
  </r>
  <r>
    <s v="TXN00003764"/>
    <s v="A00008632"/>
    <s v="PLC00001324"/>
    <d v="2012-05-18T00:00:00"/>
    <d v="2020-10-11T00:00:00"/>
    <d v="2020-10-16T00:00:00"/>
    <n v="5"/>
    <n v="96.03"/>
    <n v="1152.3599999999999"/>
    <n v="1000"/>
    <s v="A"/>
    <n v="1000"/>
    <n v="8.42"/>
    <s v="Minor Loss"/>
    <n v="101"/>
    <n v="52"/>
    <n v="0"/>
    <n v="7"/>
    <s v="L"/>
    <x v="0"/>
    <x v="1"/>
    <s v="Own"/>
    <n v="1"/>
    <n v="1"/>
    <n v="9702.8711999999996"/>
    <n v="7083.0959759999996"/>
    <n v="6083.0959759999996"/>
  </r>
  <r>
    <s v="TXN00003789"/>
    <s v="A00007866"/>
    <s v="PLC00000162"/>
    <d v="2011-12-19T00:00:00"/>
    <d v="2020-10-22T00:00:00"/>
    <d v="2020-10-25T00:00:00"/>
    <n v="3"/>
    <n v="70.760000000000005"/>
    <n v="849.12"/>
    <n v="3000"/>
    <s v="A"/>
    <n v="3000"/>
    <n v="9.5"/>
    <s v="Major Loss"/>
    <n v="114"/>
    <n v="36"/>
    <n v="1"/>
    <n v="4"/>
    <s v="M"/>
    <x v="0"/>
    <x v="5"/>
    <s v="Mortgage"/>
    <n v="1"/>
    <n v="0"/>
    <n v="8066.64"/>
    <n v="5888.6472000000003"/>
    <n v="2888.6472000000003"/>
  </r>
  <r>
    <s v="TXN00003790"/>
    <s v="A00008647"/>
    <s v="PLC00006423"/>
    <d v="2019-12-05T00:00:00"/>
    <d v="2020-10-24T00:00:00"/>
    <d v="2020-10-27T00:00:00"/>
    <n v="3"/>
    <n v="105.37"/>
    <n v="1264.44"/>
    <n v="10000"/>
    <s v="A"/>
    <n v="10000"/>
    <n v="9.17"/>
    <s v="Minor Loss"/>
    <n v="110"/>
    <n v="59"/>
    <n v="1"/>
    <n v="2"/>
    <s v="L"/>
    <x v="0"/>
    <x v="5"/>
    <s v="Mortgage"/>
    <n v="1"/>
    <n v="1"/>
    <n v="11594.9148"/>
    <n v="8464.2878039999996"/>
    <n v="-1535.7121960000004"/>
  </r>
  <r>
    <s v="TXN00003792"/>
    <s v="A00000823"/>
    <s v="PLC00008093"/>
    <d v="2014-03-14T00:00:00"/>
    <d v="2020-10-24T00:00:00"/>
    <d v="2020-10-27T00:00:00"/>
    <n v="3"/>
    <n v="78.260000000000005"/>
    <n v="939.12"/>
    <n v="7000"/>
    <s v="D"/>
    <n v="0"/>
    <n v="8.92"/>
    <s v="Major Loss"/>
    <n v="107"/>
    <n v="46"/>
    <n v="1"/>
    <n v="4"/>
    <s v="M"/>
    <x v="2"/>
    <x v="0"/>
    <s v="Mortgage"/>
    <n v="0"/>
    <n v="1"/>
    <n v="8376.9503999999997"/>
    <n v="6115.1737919999996"/>
    <n v="6115.1737919999996"/>
  </r>
  <r>
    <s v="TXN00003794"/>
    <s v="A00003159"/>
    <s v="PLC00005392"/>
    <d v="2010-07-21T00:00:00"/>
    <d v="2020-10-31T00:00:00"/>
    <d v="2020-10-31T00:00:00"/>
    <n v="0"/>
    <n v="139.11000000000001"/>
    <n v="1669.32"/>
    <n v="3000"/>
    <s v="A"/>
    <n v="3000"/>
    <n v="0.75"/>
    <s v="Total Loss"/>
    <n v="9"/>
    <n v="27"/>
    <n v="1"/>
    <n v="4"/>
    <s v="L"/>
    <x v="0"/>
    <x v="1"/>
    <s v="Mortgage"/>
    <n v="1"/>
    <n v="1"/>
    <n v="1251.99"/>
    <n v="913.95269999999994"/>
    <n v="-2086.0473000000002"/>
  </r>
  <r>
    <s v="TXN00003807"/>
    <s v="A00009595"/>
    <s v="PLC00004708"/>
    <d v="2017-08-29T00:00:00"/>
    <d v="2020-10-31T00:00:00"/>
    <d v="2020-10-31T00:00:00"/>
    <n v="0"/>
    <n v="100.57"/>
    <n v="1206.8399999999999"/>
    <n v="6000"/>
    <s v="A"/>
    <n v="6000"/>
    <n v="3.75"/>
    <s v="Total Loss"/>
    <n v="45"/>
    <n v="64"/>
    <n v="1"/>
    <n v="5"/>
    <s v="H"/>
    <x v="0"/>
    <x v="0"/>
    <s v="Own"/>
    <n v="0"/>
    <n v="1"/>
    <n v="4525.6499999999996"/>
    <n v="3303.7244999999998"/>
    <n v="-2696.2755000000002"/>
  </r>
  <r>
    <s v="TXN00003813"/>
    <s v="A00002826"/>
    <s v="PLC00000942"/>
    <d v="2011-07-18T00:00:00"/>
    <d v="2020-10-24T00:00:00"/>
    <d v="2020-10-27T00:00:00"/>
    <n v="3"/>
    <n v="73.489999999999995"/>
    <n v="881.88"/>
    <n v="4000"/>
    <s v="A"/>
    <n v="4000"/>
    <n v="7.75"/>
    <s v="Major Loss"/>
    <n v="93"/>
    <n v="50"/>
    <n v="0"/>
    <n v="4"/>
    <s v="M"/>
    <x v="0"/>
    <x v="0"/>
    <s v="Own"/>
    <n v="1"/>
    <n v="0"/>
    <n v="6834.57"/>
    <n v="4989.2361000000001"/>
    <n v="989.23610000000008"/>
  </r>
  <r>
    <s v="TXN00003819"/>
    <s v="A00000344"/>
    <s v="PLC00006946"/>
    <d v="2016-12-25T00:00:00"/>
    <d v="2020-10-21T00:00:00"/>
    <d v="2020-10-26T00:00:00"/>
    <n v="5"/>
    <n v="70.88"/>
    <n v="850.56"/>
    <n v="6000"/>
    <s v="A"/>
    <n v="6000"/>
    <n v="4"/>
    <s v="Minor Loss"/>
    <n v="48"/>
    <n v="32"/>
    <n v="0"/>
    <n v="3"/>
    <s v="M"/>
    <x v="0"/>
    <x v="6"/>
    <s v="Mortgage"/>
    <n v="1"/>
    <n v="1"/>
    <n v="3402.24"/>
    <n v="2483.6351999999997"/>
    <n v="-3516.3648000000003"/>
  </r>
  <r>
    <s v="TXN00003826"/>
    <s v="A00009053"/>
    <s v="PLC00009498"/>
    <d v="2016-09-29T00:00:00"/>
    <d v="2020-10-22T00:00:00"/>
    <d v="2020-10-27T00:00:00"/>
    <n v="5"/>
    <n v="100.5"/>
    <n v="1206"/>
    <n v="1000"/>
    <s v="A"/>
    <n v="1000"/>
    <n v="3.67"/>
    <s v="Major Loss"/>
    <n v="44"/>
    <n v="28"/>
    <n v="0"/>
    <n v="3"/>
    <s v="M"/>
    <x v="0"/>
    <x v="3"/>
    <s v="Rent"/>
    <n v="0"/>
    <n v="1"/>
    <n v="4426.0199999999995"/>
    <n v="3230.9945999999995"/>
    <n v="2230.9945999999995"/>
  </r>
  <r>
    <s v="TXN00003827"/>
    <s v="A00000771"/>
    <s v="PLC00006006"/>
    <d v="2011-05-09T00:00:00"/>
    <d v="2020-10-24T00:00:00"/>
    <d v="2020-10-27T00:00:00"/>
    <n v="3"/>
    <n v="112.42"/>
    <n v="1349.04"/>
    <n v="4000"/>
    <s v="A"/>
    <n v="4000"/>
    <n v="3.5"/>
    <s v="Major Loss"/>
    <n v="42"/>
    <n v="48"/>
    <n v="0"/>
    <n v="5"/>
    <s v="L"/>
    <x v="2"/>
    <x v="0"/>
    <s v="Own"/>
    <n v="0"/>
    <n v="1"/>
    <n v="4721.6399999999994"/>
    <n v="3446.7971999999995"/>
    <n v="-553.20280000000048"/>
  </r>
  <r>
    <s v="TXN00003830"/>
    <s v="A00009788"/>
    <s v="PLC00000252"/>
    <d v="2016-09-24T00:00:00"/>
    <d v="2020-10-14T00:00:00"/>
    <d v="2020-10-19T00:00:00"/>
    <n v="5"/>
    <n v="134.06"/>
    <n v="1608.72"/>
    <n v="3000"/>
    <s v="A"/>
    <n v="3000"/>
    <n v="3.17"/>
    <s v="Major Loss"/>
    <n v="38"/>
    <n v="52"/>
    <n v="1"/>
    <n v="2"/>
    <s v="H"/>
    <x v="0"/>
    <x v="6"/>
    <s v="Rent"/>
    <n v="1"/>
    <n v="1"/>
    <n v="5099.6423999999997"/>
    <n v="3722.7389519999997"/>
    <n v="722.7389519999997"/>
  </r>
  <r>
    <s v="TXN00003833"/>
    <s v="A00003429"/>
    <s v="PLC00005774"/>
    <d v="2013-11-25T00:00:00"/>
    <d v="2020-10-20T00:00:00"/>
    <d v="2020-10-25T00:00:00"/>
    <n v="5"/>
    <n v="94.44"/>
    <n v="1133.28"/>
    <n v="5000"/>
    <s v="D"/>
    <n v="0"/>
    <n v="5.83"/>
    <s v="Major Loss"/>
    <n v="70"/>
    <n v="30"/>
    <n v="1"/>
    <n v="3"/>
    <s v="H"/>
    <x v="0"/>
    <x v="6"/>
    <s v="Own"/>
    <n v="1"/>
    <n v="0"/>
    <n v="6607.0223999999998"/>
    <n v="4823.1263519999993"/>
    <n v="4823.1263519999993"/>
  </r>
  <r>
    <s v="TXN00003837"/>
    <s v="A00004240"/>
    <s v="PLC00004731"/>
    <d v="2018-11-26T00:00:00"/>
    <d v="2020-10-31T00:00:00"/>
    <d v="2020-10-31T00:00:00"/>
    <n v="0"/>
    <n v="120.66"/>
    <n v="1447.92"/>
    <n v="4000"/>
    <s v="A"/>
    <n v="4000"/>
    <n v="6.17"/>
    <s v="Total Loss"/>
    <n v="74"/>
    <n v="44"/>
    <n v="1"/>
    <n v="5"/>
    <s v="M"/>
    <x v="0"/>
    <x v="2"/>
    <s v="Mortgage"/>
    <n v="0"/>
    <n v="1"/>
    <n v="8933.6664000000001"/>
    <n v="6521.5764719999997"/>
    <n v="2521.5764719999997"/>
  </r>
  <r>
    <s v="TXN00003845"/>
    <s v="A00003846"/>
    <s v="PLC00004045"/>
    <d v="2015-08-23T00:00:00"/>
    <d v="2020-10-29T00:00:00"/>
    <d v="2020-10-31T00:00:00"/>
    <n v="2"/>
    <n v="92.69"/>
    <n v="1112.28"/>
    <n v="8000"/>
    <s v="A"/>
    <n v="8000"/>
    <n v="0.57999999999999996"/>
    <s v="Total Loss"/>
    <n v="7"/>
    <n v="39"/>
    <n v="1"/>
    <n v="2"/>
    <s v="L"/>
    <x v="0"/>
    <x v="1"/>
    <s v="Own"/>
    <n v="0"/>
    <n v="0"/>
    <n v="645.12239999999997"/>
    <n v="470.93935199999999"/>
    <n v="-7529.0606479999997"/>
  </r>
  <r>
    <s v="TXN00003847"/>
    <s v="A00008020"/>
    <s v="PLC00004050"/>
    <d v="2016-01-27T00:00:00"/>
    <d v="2020-10-16T00:00:00"/>
    <d v="2020-10-21T00:00:00"/>
    <n v="5"/>
    <n v="81.459999999999994"/>
    <n v="977.52"/>
    <n v="1000"/>
    <s v="A"/>
    <n v="1000"/>
    <n v="6"/>
    <s v="Minor Loss"/>
    <n v="72"/>
    <n v="45"/>
    <n v="1"/>
    <n v="5"/>
    <s v="M"/>
    <x v="2"/>
    <x v="1"/>
    <s v="Own"/>
    <n v="1"/>
    <n v="1"/>
    <n v="5865.12"/>
    <n v="4281.5375999999997"/>
    <n v="3281.5375999999997"/>
  </r>
  <r>
    <s v="TXN00003863"/>
    <s v="A00005019"/>
    <s v="PLC00001031"/>
    <d v="2016-01-26T00:00:00"/>
    <d v="2020-10-18T00:00:00"/>
    <d v="2020-10-23T00:00:00"/>
    <n v="5"/>
    <n v="96.19"/>
    <n v="1154.28"/>
    <n v="9000"/>
    <s v="A"/>
    <n v="9000"/>
    <n v="5.33"/>
    <s v="Total Loss"/>
    <n v="64"/>
    <n v="60"/>
    <n v="1"/>
    <n v="5"/>
    <s v="H"/>
    <x v="1"/>
    <x v="0"/>
    <s v="Mortgage"/>
    <n v="1"/>
    <n v="1"/>
    <n v="6152.3123999999998"/>
    <n v="4491.1880519999995"/>
    <n v="-4508.8119480000005"/>
  </r>
  <r>
    <s v="TXN00003866"/>
    <s v="A00000076"/>
    <s v="PLC00005501"/>
    <d v="2010-09-16T00:00:00"/>
    <d v="2020-10-23T00:00:00"/>
    <d v="2020-10-28T00:00:00"/>
    <n v="5"/>
    <n v="83.03"/>
    <n v="996.36"/>
    <n v="7000"/>
    <s v="A"/>
    <n v="7000"/>
    <n v="2"/>
    <s v="Major Loss"/>
    <n v="24"/>
    <n v="36"/>
    <n v="0"/>
    <n v="6"/>
    <s v="M"/>
    <x v="0"/>
    <x v="0"/>
    <s v="Mortgage"/>
    <n v="0"/>
    <n v="0"/>
    <n v="1992.72"/>
    <n v="1454.6856"/>
    <n v="-5545.3144000000002"/>
  </r>
  <r>
    <s v="TXN00003869"/>
    <s v="A00004585"/>
    <s v="PLC00005506"/>
    <d v="2019-06-27T00:00:00"/>
    <d v="2020-10-30T00:00:00"/>
    <d v="2020-10-31T00:00:00"/>
    <n v="1"/>
    <n v="95.04"/>
    <n v="1140.48"/>
    <n v="2000"/>
    <s v="A"/>
    <n v="2000"/>
    <n v="8.67"/>
    <s v="Minor Loss"/>
    <n v="104"/>
    <n v="36"/>
    <n v="0"/>
    <n v="4"/>
    <s v="M"/>
    <x v="0"/>
    <x v="1"/>
    <s v="Own"/>
    <n v="1"/>
    <n v="1"/>
    <n v="9887.9616000000005"/>
    <n v="7218.2119680000005"/>
    <n v="5218.2119680000005"/>
  </r>
  <r>
    <s v="TXN00003872"/>
    <s v="A00001787"/>
    <s v="PLC00003278"/>
    <d v="2014-06-12T00:00:00"/>
    <d v="2020-10-16T00:00:00"/>
    <d v="2020-10-21T00:00:00"/>
    <n v="5"/>
    <n v="85.27"/>
    <n v="1023.24"/>
    <n v="2000"/>
    <s v="A"/>
    <n v="2000"/>
    <n v="5.25"/>
    <s v="Total Loss"/>
    <n v="63"/>
    <n v="44"/>
    <n v="1"/>
    <n v="7"/>
    <s v="M"/>
    <x v="2"/>
    <x v="5"/>
    <s v="Rent"/>
    <n v="1"/>
    <n v="1"/>
    <n v="5372.01"/>
    <n v="3921.5673000000002"/>
    <n v="1921.5673000000002"/>
  </r>
  <r>
    <s v="TXN00003884"/>
    <s v="A00005247"/>
    <s v="PLC00000802"/>
    <d v="2012-10-27T00:00:00"/>
    <d v="2020-10-17T00:00:00"/>
    <d v="2020-10-22T00:00:00"/>
    <n v="5"/>
    <n v="84.99"/>
    <n v="1019.88"/>
    <n v="7000"/>
    <s v="D"/>
    <n v="0"/>
    <n v="6.83"/>
    <s v="Minor Loss"/>
    <n v="82"/>
    <n v="60"/>
    <n v="1"/>
    <n v="3"/>
    <s v="L"/>
    <x v="0"/>
    <x v="1"/>
    <s v="Rent"/>
    <n v="0"/>
    <n v="1"/>
    <n v="6965.7803999999996"/>
    <n v="5085.0196919999998"/>
    <n v="5085.0196919999998"/>
  </r>
  <r>
    <s v="TXN00003891"/>
    <s v="A00009023"/>
    <s v="PLC00006753"/>
    <d v="2017-03-03T00:00:00"/>
    <d v="2020-10-24T00:00:00"/>
    <d v="2020-10-29T00:00:00"/>
    <n v="5"/>
    <n v="78.08"/>
    <n v="936.96"/>
    <n v="5000"/>
    <s v="A"/>
    <n v="5000"/>
    <n v="5.58"/>
    <s v="Minor Loss"/>
    <n v="67"/>
    <n v="25"/>
    <n v="1"/>
    <n v="5"/>
    <s v="L"/>
    <x v="1"/>
    <x v="5"/>
    <s v="Mortgage"/>
    <n v="0"/>
    <n v="0"/>
    <n v="5228.2368000000006"/>
    <n v="3816.6128640000002"/>
    <n v="-1183.3871359999998"/>
  </r>
  <r>
    <s v="TXN00003899"/>
    <s v="A00008582"/>
    <s v="PLC00007265"/>
    <d v="2013-06-21T00:00:00"/>
    <d v="2020-11-03T00:00:00"/>
    <d v="2020-11-03T00:00:00"/>
    <n v="0"/>
    <n v="129.35"/>
    <n v="1552.2"/>
    <n v="6000"/>
    <s v="A"/>
    <n v="6000"/>
    <n v="7.5"/>
    <s v="Major Loss"/>
    <n v="90"/>
    <n v="26"/>
    <n v="1"/>
    <n v="4"/>
    <s v="M"/>
    <x v="1"/>
    <x v="0"/>
    <s v="Rent"/>
    <n v="0"/>
    <n v="0"/>
    <n v="11641.5"/>
    <n v="8498.2950000000001"/>
    <n v="2498.2950000000001"/>
  </r>
  <r>
    <s v="TXN00003911"/>
    <s v="A00009949"/>
    <s v="PLC00006666"/>
    <d v="2018-03-16T00:00:00"/>
    <d v="2020-10-27T00:00:00"/>
    <d v="2020-10-30T00:00:00"/>
    <n v="3"/>
    <n v="85.53"/>
    <n v="1026.3599999999999"/>
    <n v="8000"/>
    <s v="A"/>
    <n v="8000"/>
    <n v="4.83"/>
    <s v="Minor Loss"/>
    <n v="58"/>
    <n v="44"/>
    <n v="0"/>
    <n v="7"/>
    <s v="M"/>
    <x v="0"/>
    <x v="5"/>
    <s v="Own"/>
    <n v="0"/>
    <n v="1"/>
    <n v="4957.3188"/>
    <n v="3618.8427240000001"/>
    <n v="-4381.1572759999999"/>
  </r>
  <r>
    <s v="TXN00003913"/>
    <s v="A00003918"/>
    <s v="PLC00001790"/>
    <d v="2014-04-21T00:00:00"/>
    <d v="2020-10-22T00:00:00"/>
    <d v="2020-10-27T00:00:00"/>
    <n v="5"/>
    <n v="124.08"/>
    <n v="1488.96"/>
    <n v="9000"/>
    <s v="A"/>
    <n v="9000"/>
    <n v="8.25"/>
    <s v="Minor Loss"/>
    <n v="99"/>
    <n v="62"/>
    <n v="1"/>
    <n v="2"/>
    <s v="L"/>
    <x v="0"/>
    <x v="0"/>
    <s v="Rent"/>
    <n v="1"/>
    <n v="1"/>
    <n v="12283.92"/>
    <n v="8967.2615999999998"/>
    <n v="-32.738400000000183"/>
  </r>
  <r>
    <s v="TXN00003914"/>
    <s v="A00002071"/>
    <s v="PLC00003324"/>
    <d v="2016-05-09T00:00:00"/>
    <d v="2020-11-01T00:00:00"/>
    <d v="2020-11-02T00:00:00"/>
    <n v="1"/>
    <n v="74.87"/>
    <n v="898.44"/>
    <n v="1000"/>
    <s v="A"/>
    <n v="1000"/>
    <n v="4.75"/>
    <s v="Major Loss"/>
    <n v="57"/>
    <n v="33"/>
    <n v="1"/>
    <n v="3"/>
    <s v="L"/>
    <x v="0"/>
    <x v="0"/>
    <s v="Rent"/>
    <n v="1"/>
    <n v="1"/>
    <n v="4267.59"/>
    <n v="3115.3407000000002"/>
    <n v="2115.3407000000002"/>
  </r>
  <r>
    <s v="TXN00003927"/>
    <s v="A00003751"/>
    <s v="PLC00002684"/>
    <d v="2016-05-04T00:00:00"/>
    <d v="2020-10-24T00:00:00"/>
    <d v="2020-10-29T00:00:00"/>
    <n v="5"/>
    <n v="90.53"/>
    <n v="1086.3599999999999"/>
    <n v="2000"/>
    <s v="A"/>
    <n v="2000"/>
    <n v="7.58"/>
    <s v="Major Loss"/>
    <n v="91"/>
    <n v="44"/>
    <n v="1"/>
    <n v="6"/>
    <s v="H"/>
    <x v="2"/>
    <x v="1"/>
    <s v="Rent"/>
    <n v="0"/>
    <n v="0"/>
    <n v="8234.6088"/>
    <n v="6011.264424"/>
    <n v="4011.264424"/>
  </r>
  <r>
    <s v="TXN00003928"/>
    <s v="A00002688"/>
    <s v="PLC00005724"/>
    <d v="2016-04-21T00:00:00"/>
    <d v="2020-10-21T00:00:00"/>
    <d v="2020-10-26T00:00:00"/>
    <n v="5"/>
    <n v="78.13"/>
    <n v="937.56"/>
    <n v="3000"/>
    <s v="A"/>
    <n v="3000"/>
    <n v="8.25"/>
    <s v="Minor Loss"/>
    <n v="99"/>
    <n v="58"/>
    <n v="1"/>
    <n v="3"/>
    <s v="M"/>
    <x v="2"/>
    <x v="0"/>
    <s v="Own"/>
    <n v="0"/>
    <n v="1"/>
    <n v="7734.87"/>
    <n v="5646.4551000000001"/>
    <n v="2646.4551000000001"/>
  </r>
  <r>
    <s v="TXN00003933"/>
    <s v="A00004383"/>
    <s v="PLC00009352"/>
    <d v="2013-02-20T00:00:00"/>
    <d v="2020-11-01T00:00:00"/>
    <d v="2020-11-03T00:00:00"/>
    <n v="2"/>
    <n v="114.01"/>
    <n v="1368.12"/>
    <n v="6000"/>
    <s v="A"/>
    <n v="6000"/>
    <n v="3.92"/>
    <s v="Minor Loss"/>
    <n v="47"/>
    <n v="25"/>
    <n v="0"/>
    <n v="6"/>
    <s v="L"/>
    <x v="1"/>
    <x v="1"/>
    <s v="Rent"/>
    <n v="1"/>
    <n v="1"/>
    <n v="5363.0303999999996"/>
    <n v="3915.0121919999997"/>
    <n v="-2084.9878080000003"/>
  </r>
  <r>
    <s v="TXN00003942"/>
    <s v="A00007036"/>
    <s v="PLC00007824"/>
    <d v="2017-03-18T00:00:00"/>
    <d v="2020-11-05T00:00:00"/>
    <d v="2020-11-05T00:00:00"/>
    <n v="0"/>
    <n v="117.5"/>
    <n v="1410"/>
    <n v="6000"/>
    <s v="A"/>
    <n v="6000"/>
    <n v="5.08"/>
    <s v="Major Loss"/>
    <n v="61"/>
    <n v="52"/>
    <n v="0"/>
    <n v="6"/>
    <s v="L"/>
    <x v="2"/>
    <x v="1"/>
    <s v="Rent"/>
    <n v="1"/>
    <n v="0"/>
    <n v="7162.8"/>
    <n v="5228.8440000000001"/>
    <n v="-771.15599999999995"/>
  </r>
  <r>
    <s v="TXN00003944"/>
    <s v="A00007850"/>
    <s v="PLC00006861"/>
    <d v="2018-08-31T00:00:00"/>
    <d v="2020-11-05T00:00:00"/>
    <d v="2020-11-05T00:00:00"/>
    <n v="0"/>
    <n v="119.49"/>
    <n v="1433.88"/>
    <n v="1000"/>
    <s v="A"/>
    <n v="1000"/>
    <n v="9.83"/>
    <s v="Minor Loss"/>
    <n v="118"/>
    <n v="34"/>
    <n v="1"/>
    <n v="3"/>
    <s v="L"/>
    <x v="1"/>
    <x v="1"/>
    <s v="Mortgage"/>
    <n v="1"/>
    <n v="0"/>
    <n v="14095.040400000002"/>
    <n v="10289.379492000002"/>
    <n v="9289.3794920000018"/>
  </r>
  <r>
    <s v="TXN00003962"/>
    <s v="A00001624"/>
    <s v="PLC00000236"/>
    <d v="2012-12-26T00:00:00"/>
    <d v="2020-11-04T00:00:00"/>
    <d v="2020-11-05T00:00:00"/>
    <n v="1"/>
    <n v="96.97"/>
    <n v="1163.6400000000001"/>
    <n v="2000"/>
    <s v="A"/>
    <n v="2000"/>
    <n v="0.83"/>
    <s v="Minor Loss"/>
    <n v="10"/>
    <n v="38"/>
    <n v="1"/>
    <n v="6"/>
    <s v="M"/>
    <x v="2"/>
    <x v="0"/>
    <s v="Own"/>
    <n v="1"/>
    <n v="1"/>
    <n v="965.82120000000009"/>
    <n v="705.04947600000003"/>
    <n v="-1294.9505239999999"/>
  </r>
  <r>
    <s v="TXN00003968"/>
    <s v="A00001875"/>
    <s v="PLC00006076"/>
    <d v="2015-02-27T00:00:00"/>
    <d v="2020-11-05T00:00:00"/>
    <d v="2020-11-05T00:00:00"/>
    <n v="0"/>
    <n v="107.17"/>
    <n v="1286.04"/>
    <n v="1000"/>
    <s v="A"/>
    <n v="1000"/>
    <n v="4.42"/>
    <s v="Major Loss"/>
    <n v="53"/>
    <n v="46"/>
    <n v="0"/>
    <n v="7"/>
    <s v="L"/>
    <x v="2"/>
    <x v="4"/>
    <s v="Mortgage"/>
    <n v="1"/>
    <n v="0"/>
    <n v="5684.2968000000001"/>
    <n v="4149.5366640000002"/>
    <n v="3149.5366640000002"/>
  </r>
  <r>
    <s v="TXN00003970"/>
    <s v="A00001054"/>
    <s v="PLC00002269"/>
    <d v="2017-12-24T00:00:00"/>
    <d v="2020-11-06T00:00:00"/>
    <d v="2020-11-06T00:00:00"/>
    <n v="0"/>
    <n v="76.5"/>
    <n v="918"/>
    <n v="4000"/>
    <s v="A"/>
    <n v="4000"/>
    <n v="4.67"/>
    <s v="Total Loss"/>
    <n v="56"/>
    <n v="33"/>
    <n v="1"/>
    <n v="6"/>
    <s v="L"/>
    <x v="1"/>
    <x v="0"/>
    <s v="Mortgage"/>
    <n v="1"/>
    <n v="1"/>
    <n v="4287.0599999999995"/>
    <n v="3129.5537999999997"/>
    <n v="-870.44620000000032"/>
  </r>
  <r>
    <s v="TXN00003975"/>
    <s v="A00008128"/>
    <s v="PLC00006406"/>
    <d v="2016-03-14T00:00:00"/>
    <d v="2020-10-21T00:00:00"/>
    <d v="2020-10-26T00:00:00"/>
    <n v="5"/>
    <n v="88.37"/>
    <n v="1060.44"/>
    <n v="4000"/>
    <s v="A"/>
    <n v="4000"/>
    <n v="7.83"/>
    <s v="Total Loss"/>
    <n v="94"/>
    <n v="28"/>
    <n v="0"/>
    <n v="5"/>
    <s v="L"/>
    <x v="2"/>
    <x v="4"/>
    <s v="Rent"/>
    <n v="1"/>
    <n v="1"/>
    <n v="8303.2452000000012"/>
    <n v="6061.3689960000011"/>
    <n v="2061.3689960000011"/>
  </r>
  <r>
    <s v="TXN00003981"/>
    <s v="A00006481"/>
    <s v="PLC00008628"/>
    <d v="2016-06-21T00:00:00"/>
    <d v="2020-10-31T00:00:00"/>
    <d v="2020-11-03T00:00:00"/>
    <n v="3"/>
    <n v="74.06"/>
    <n v="888.72"/>
    <n v="8000"/>
    <s v="A"/>
    <n v="8000"/>
    <n v="1.75"/>
    <s v="Minor Loss"/>
    <n v="21"/>
    <n v="49"/>
    <n v="1"/>
    <n v="6"/>
    <s v="M"/>
    <x v="2"/>
    <x v="1"/>
    <s v="Own"/>
    <n v="1"/>
    <n v="1"/>
    <n v="1555.26"/>
    <n v="1135.3398"/>
    <n v="-6864.6602000000003"/>
  </r>
  <r>
    <s v="TXN00003986"/>
    <s v="A00003425"/>
    <s v="PLC00009516"/>
    <d v="2014-12-22T00:00:00"/>
    <d v="2020-11-03T00:00:00"/>
    <d v="2020-11-05T00:00:00"/>
    <n v="2"/>
    <n v="114.7"/>
    <n v="1376.4"/>
    <n v="9000"/>
    <s v="A"/>
    <n v="9000"/>
    <n v="2.58"/>
    <s v="Major Loss"/>
    <n v="31"/>
    <n v="53"/>
    <n v="1"/>
    <n v="2"/>
    <s v="H"/>
    <x v="1"/>
    <x v="1"/>
    <s v="Mortgage"/>
    <n v="0"/>
    <n v="1"/>
    <n v="3551.1120000000005"/>
    <n v="2592.3117600000005"/>
    <n v="-6407.6882399999995"/>
  </r>
  <r>
    <s v="TXN00003991"/>
    <s v="A00004796"/>
    <s v="PLC00009810"/>
    <d v="2012-09-25T00:00:00"/>
    <d v="2020-11-03T00:00:00"/>
    <d v="2020-11-05T00:00:00"/>
    <n v="2"/>
    <n v="125.65"/>
    <n v="1507.8"/>
    <n v="8000"/>
    <s v="A"/>
    <n v="8000"/>
    <n v="7.08"/>
    <s v="Major Loss"/>
    <n v="85"/>
    <n v="53"/>
    <n v="1"/>
    <n v="5"/>
    <s v="H"/>
    <x v="0"/>
    <x v="3"/>
    <s v="Rent"/>
    <n v="0"/>
    <n v="1"/>
    <n v="10675.224"/>
    <n v="7792.9135200000001"/>
    <n v="-207.08647999999994"/>
  </r>
  <r>
    <s v="TXN00003999"/>
    <s v="A00009342"/>
    <s v="PLC00006404"/>
    <d v="2016-06-25T00:00:00"/>
    <d v="2020-11-03T00:00:00"/>
    <d v="2020-11-05T00:00:00"/>
    <n v="2"/>
    <n v="109.13"/>
    <n v="1309.56"/>
    <n v="4000"/>
    <s v="A"/>
    <n v="4000"/>
    <n v="2.75"/>
    <s v="Major Loss"/>
    <n v="33"/>
    <n v="62"/>
    <n v="0"/>
    <n v="6"/>
    <s v="M"/>
    <x v="0"/>
    <x v="5"/>
    <s v="Own"/>
    <n v="1"/>
    <n v="1"/>
    <n v="3601.29"/>
    <n v="2628.9416999999999"/>
    <n v="-1371.0583000000001"/>
  </r>
  <r>
    <s v="TXN00004001"/>
    <s v="A00005088"/>
    <s v="PLC00006484"/>
    <d v="2011-07-26T00:00:00"/>
    <d v="2020-11-06T00:00:00"/>
    <d v="2020-11-06T00:00:00"/>
    <n v="0"/>
    <n v="118.32"/>
    <n v="1419.84"/>
    <n v="4000"/>
    <s v="A"/>
    <n v="4000"/>
    <n v="2.42"/>
    <s v="Minor Loss"/>
    <n v="29"/>
    <n v="47"/>
    <n v="1"/>
    <n v="5"/>
    <s v="H"/>
    <x v="0"/>
    <x v="0"/>
    <s v="Own"/>
    <n v="1"/>
    <n v="1"/>
    <n v="3436.0127999999995"/>
    <n v="2508.2893439999998"/>
    <n v="-1491.7106560000002"/>
  </r>
  <r>
    <s v="TXN00004006"/>
    <s v="A00009561"/>
    <s v="PLC00000285"/>
    <d v="2014-03-22T00:00:00"/>
    <d v="2020-10-26T00:00:00"/>
    <d v="2020-10-31T00:00:00"/>
    <n v="5"/>
    <n v="106.82"/>
    <n v="1281.8399999999999"/>
    <n v="5000"/>
    <s v="A"/>
    <n v="5000"/>
    <n v="1.17"/>
    <s v="Major Loss"/>
    <n v="14"/>
    <n v="42"/>
    <n v="1"/>
    <n v="5"/>
    <s v="M"/>
    <x v="0"/>
    <x v="0"/>
    <s v="Own"/>
    <n v="1"/>
    <n v="0"/>
    <n v="1499.7527999999998"/>
    <n v="1094.8195439999997"/>
    <n v="-3905.180456"/>
  </r>
  <r>
    <s v="TXN00004014"/>
    <s v="A00004972"/>
    <s v="PLC00000378"/>
    <d v="2014-07-19T00:00:00"/>
    <d v="2020-11-07T00:00:00"/>
    <d v="2020-11-07T00:00:00"/>
    <n v="0"/>
    <n v="111.26"/>
    <n v="1335.12"/>
    <n v="5000"/>
    <s v="A"/>
    <n v="5000"/>
    <n v="2.08"/>
    <s v="Major Loss"/>
    <n v="25"/>
    <n v="52"/>
    <n v="1"/>
    <n v="2"/>
    <s v="L"/>
    <x v="0"/>
    <x v="1"/>
    <s v="Rent"/>
    <n v="0"/>
    <n v="0"/>
    <n v="2777.0495999999998"/>
    <n v="2027.2462079999998"/>
    <n v="-2972.7537920000004"/>
  </r>
  <r>
    <s v="TXN00004031"/>
    <s v="A00004311"/>
    <s v="PLC00001323"/>
    <d v="2012-07-27T00:00:00"/>
    <d v="2020-11-05T00:00:00"/>
    <d v="2020-11-06T00:00:00"/>
    <n v="1"/>
    <n v="83.16"/>
    <n v="997.92"/>
    <n v="3000"/>
    <s v="A"/>
    <n v="3000"/>
    <n v="6.92"/>
    <s v="Total Loss"/>
    <n v="83"/>
    <n v="60"/>
    <n v="0"/>
    <n v="5"/>
    <s v="L"/>
    <x v="1"/>
    <x v="0"/>
    <s v="Own"/>
    <n v="1"/>
    <n v="0"/>
    <n v="6905.6063999999997"/>
    <n v="5041.0926719999998"/>
    <n v="2041.0926719999998"/>
  </r>
  <r>
    <s v="TXN00004035"/>
    <s v="A00005889"/>
    <s v="PLC00003101"/>
    <d v="2018-12-22T00:00:00"/>
    <d v="2020-10-22T00:00:00"/>
    <d v="2020-10-27T00:00:00"/>
    <n v="5"/>
    <n v="137.94999999999999"/>
    <n v="1655.4"/>
    <n v="6000"/>
    <s v="D"/>
    <n v="0"/>
    <n v="2.08"/>
    <s v="Major Loss"/>
    <n v="25"/>
    <n v="48"/>
    <n v="1"/>
    <n v="2"/>
    <s v="M"/>
    <x v="1"/>
    <x v="0"/>
    <s v="Mortgage"/>
    <n v="1"/>
    <n v="0"/>
    <n v="3443.2320000000004"/>
    <n v="2513.5593600000002"/>
    <n v="2513.5593600000002"/>
  </r>
  <r>
    <s v="TXN00004036"/>
    <s v="A00002035"/>
    <s v="PLC00000867"/>
    <d v="2017-01-02T00:00:00"/>
    <d v="2020-10-21T00:00:00"/>
    <d v="2020-10-26T00:00:00"/>
    <n v="5"/>
    <n v="132.18"/>
    <n v="1586.16"/>
    <n v="4000"/>
    <s v="A"/>
    <n v="4000"/>
    <n v="9.17"/>
    <s v="Total Loss"/>
    <n v="110"/>
    <n v="52"/>
    <n v="1"/>
    <n v="7"/>
    <s v="L"/>
    <x v="0"/>
    <x v="0"/>
    <s v="Rent"/>
    <n v="1"/>
    <n v="1"/>
    <n v="14545.0872"/>
    <n v="10617.913655999999"/>
    <n v="6617.9136559999988"/>
  </r>
  <r>
    <s v="TXN00004043"/>
    <s v="A00006264"/>
    <s v="PLC00009375"/>
    <d v="2015-06-27T00:00:00"/>
    <d v="2020-10-25T00:00:00"/>
    <d v="2020-10-30T00:00:00"/>
    <n v="5"/>
    <n v="82.35"/>
    <n v="988.2"/>
    <n v="10000"/>
    <s v="A"/>
    <n v="10000"/>
    <n v="3.25"/>
    <s v="Minor Loss"/>
    <n v="39"/>
    <n v="58"/>
    <n v="1"/>
    <n v="7"/>
    <s v="M"/>
    <x v="0"/>
    <x v="1"/>
    <s v="Own"/>
    <n v="0"/>
    <n v="1"/>
    <n v="3211.65"/>
    <n v="2344.5045"/>
    <n v="-7655.4955"/>
  </r>
  <r>
    <s v="TXN00004044"/>
    <s v="A00008867"/>
    <s v="PLC00004054"/>
    <d v="2015-06-19T00:00:00"/>
    <d v="2020-10-28T00:00:00"/>
    <d v="2020-11-02T00:00:00"/>
    <n v="5"/>
    <n v="77.67"/>
    <n v="932.04"/>
    <n v="2000"/>
    <s v="A"/>
    <n v="2000"/>
    <n v="6.08"/>
    <s v="Major Loss"/>
    <n v="73"/>
    <n v="60"/>
    <n v="1"/>
    <n v="2"/>
    <s v="L"/>
    <x v="1"/>
    <x v="0"/>
    <s v="Own"/>
    <n v="1"/>
    <n v="1"/>
    <n v="5666.8032000000003"/>
    <n v="4136.7663359999997"/>
    <n v="2136.7663359999997"/>
  </r>
  <r>
    <s v="TXN00004053"/>
    <s v="A00007678"/>
    <s v="PLC00001303"/>
    <d v="2012-04-26T00:00:00"/>
    <d v="2020-11-05T00:00:00"/>
    <d v="2020-11-06T00:00:00"/>
    <n v="1"/>
    <n v="129.1"/>
    <n v="1549.2"/>
    <n v="9000"/>
    <s v="A"/>
    <n v="9000"/>
    <n v="6.75"/>
    <s v="Total Loss"/>
    <n v="81"/>
    <n v="64"/>
    <n v="0"/>
    <n v="3"/>
    <s v="M"/>
    <x v="0"/>
    <x v="0"/>
    <s v="Mortgage"/>
    <n v="0"/>
    <n v="1"/>
    <n v="10457.1"/>
    <n v="7633.683"/>
    <n v="-1366.317"/>
  </r>
  <r>
    <s v="TXN00004061"/>
    <s v="A00002782"/>
    <s v="PLC00007680"/>
    <d v="2018-03-25T00:00:00"/>
    <d v="2020-10-27T00:00:00"/>
    <d v="2020-11-01T00:00:00"/>
    <n v="5"/>
    <n v="98.79"/>
    <n v="1185.48"/>
    <n v="9000"/>
    <s v="A"/>
    <n v="9000"/>
    <n v="2.83"/>
    <s v="Major Loss"/>
    <n v="34"/>
    <n v="57"/>
    <n v="1"/>
    <n v="5"/>
    <s v="H"/>
    <x v="0"/>
    <x v="1"/>
    <s v="Own"/>
    <n v="1"/>
    <n v="0"/>
    <n v="3354.9084000000003"/>
    <n v="2449.0831320000002"/>
    <n v="-6550.9168680000002"/>
  </r>
  <r>
    <s v="TXN00004062"/>
    <s v="A00001305"/>
    <s v="PLC00004349"/>
    <d v="2018-09-18T00:00:00"/>
    <d v="2020-10-22T00:00:00"/>
    <d v="2020-10-27T00:00:00"/>
    <n v="5"/>
    <n v="120.74"/>
    <n v="1448.88"/>
    <n v="7000"/>
    <s v="A"/>
    <n v="7000"/>
    <n v="7"/>
    <s v="Minor Loss"/>
    <n v="84"/>
    <n v="64"/>
    <n v="0"/>
    <n v="4"/>
    <s v="M"/>
    <x v="0"/>
    <x v="1"/>
    <s v="Rent"/>
    <n v="1"/>
    <n v="1"/>
    <n v="10142.16"/>
    <n v="7403.7767999999996"/>
    <n v="403.77679999999964"/>
  </r>
  <r>
    <s v="TXN00004083"/>
    <s v="A00006597"/>
    <s v="PLC00008509"/>
    <d v="2013-02-28T00:00:00"/>
    <d v="2020-11-11T00:00:00"/>
    <d v="2020-11-11T00:00:00"/>
    <n v="0"/>
    <n v="112.97"/>
    <n v="1355.64"/>
    <n v="5000"/>
    <s v="A"/>
    <n v="5000"/>
    <n v="2.5"/>
    <s v="Total Loss"/>
    <n v="30"/>
    <n v="52"/>
    <n v="1"/>
    <n v="6"/>
    <s v="M"/>
    <x v="0"/>
    <x v="0"/>
    <s v="Own"/>
    <n v="1"/>
    <n v="0"/>
    <n v="3389.1000000000004"/>
    <n v="2474.0430000000001"/>
    <n v="-2525.9569999999999"/>
  </r>
  <r>
    <s v="TXN00004084"/>
    <s v="A00002905"/>
    <s v="PLC00009618"/>
    <d v="2015-11-08T00:00:00"/>
    <d v="2020-11-09T00:00:00"/>
    <d v="2020-11-09T00:00:00"/>
    <n v="0"/>
    <n v="88.66"/>
    <n v="1063.92"/>
    <n v="7000"/>
    <s v="A"/>
    <n v="7000"/>
    <n v="6.33"/>
    <s v="Major Loss"/>
    <n v="76"/>
    <n v="46"/>
    <n v="1"/>
    <n v="4"/>
    <s v="M"/>
    <x v="2"/>
    <x v="0"/>
    <s v="Rent"/>
    <n v="1"/>
    <n v="1"/>
    <n v="6734.6136000000006"/>
    <n v="4916.2679280000002"/>
    <n v="-2083.7320719999998"/>
  </r>
  <r>
    <s v="TXN00004090"/>
    <s v="A00003455"/>
    <s v="PLC00003054"/>
    <d v="2017-10-17T00:00:00"/>
    <d v="2020-10-28T00:00:00"/>
    <d v="2020-11-02T00:00:00"/>
    <n v="5"/>
    <n v="77.150000000000006"/>
    <n v="925.8"/>
    <n v="3000"/>
    <s v="A"/>
    <n v="3000"/>
    <n v="0.57999999999999996"/>
    <s v="Major Loss"/>
    <n v="7"/>
    <n v="40"/>
    <n v="1"/>
    <n v="4"/>
    <s v="L"/>
    <x v="1"/>
    <x v="4"/>
    <s v="Own"/>
    <n v="0"/>
    <n v="1"/>
    <n v="536.96399999999994"/>
    <n v="391.98371999999995"/>
    <n v="-2608.0162799999998"/>
  </r>
  <r>
    <s v="TXN00004094"/>
    <s v="A00007186"/>
    <s v="PLC00008892"/>
    <d v="2012-02-09T00:00:00"/>
    <d v="2020-11-02T00:00:00"/>
    <d v="2020-11-07T00:00:00"/>
    <n v="5"/>
    <n v="122.56"/>
    <n v="1470.72"/>
    <n v="9000"/>
    <s v="A"/>
    <n v="9000"/>
    <n v="9.75"/>
    <s v="Minor Loss"/>
    <n v="117"/>
    <n v="64"/>
    <n v="1"/>
    <n v="7"/>
    <s v="M"/>
    <x v="0"/>
    <x v="4"/>
    <s v="Own"/>
    <n v="1"/>
    <n v="1"/>
    <n v="14339.52"/>
    <n v="10467.8496"/>
    <n v="1467.8495999999996"/>
  </r>
  <r>
    <s v="TXN00004098"/>
    <s v="A00005890"/>
    <s v="PLC00003124"/>
    <d v="2016-02-07T00:00:00"/>
    <d v="2020-10-26T00:00:00"/>
    <d v="2020-10-31T00:00:00"/>
    <n v="5"/>
    <n v="121.48"/>
    <n v="1457.76"/>
    <n v="7000"/>
    <s v="A"/>
    <n v="7000"/>
    <n v="8.25"/>
    <s v="Minor Loss"/>
    <n v="99"/>
    <n v="40"/>
    <n v="1"/>
    <n v="2"/>
    <s v="M"/>
    <x v="2"/>
    <x v="0"/>
    <s v="Rent"/>
    <n v="1"/>
    <n v="1"/>
    <n v="12026.52"/>
    <n v="8779.3595999999998"/>
    <n v="1779.3595999999998"/>
  </r>
  <r>
    <s v="TXN00004100"/>
    <s v="A00006543"/>
    <s v="PLC00009645"/>
    <d v="2010-09-18T00:00:00"/>
    <d v="2020-11-09T00:00:00"/>
    <d v="2020-11-10T00:00:00"/>
    <n v="1"/>
    <n v="87.89"/>
    <n v="1054.68"/>
    <n v="7000"/>
    <s v="A"/>
    <n v="7000"/>
    <n v="5.5"/>
    <s v="Total Loss"/>
    <n v="66"/>
    <n v="32"/>
    <n v="0"/>
    <n v="6"/>
    <s v="M"/>
    <x v="0"/>
    <x v="1"/>
    <s v="Rent"/>
    <n v="0"/>
    <n v="0"/>
    <n v="5800.7400000000007"/>
    <n v="4234.5402000000004"/>
    <n v="-2765.4597999999996"/>
  </r>
  <r>
    <s v="TXN00004109"/>
    <s v="A00003084"/>
    <s v="PLC00000269"/>
    <d v="2017-02-02T00:00:00"/>
    <d v="2020-11-08T00:00:00"/>
    <d v="2020-11-10T00:00:00"/>
    <n v="2"/>
    <n v="85.74"/>
    <n v="1028.8800000000001"/>
    <n v="3000"/>
    <s v="A"/>
    <n v="3000"/>
    <n v="3.83"/>
    <s v="Minor Loss"/>
    <n v="46"/>
    <n v="49"/>
    <n v="1"/>
    <n v="7"/>
    <s v="L"/>
    <x v="2"/>
    <x v="1"/>
    <s v="Mortgage"/>
    <n v="1"/>
    <n v="0"/>
    <n v="3940.6104000000005"/>
    <n v="2876.6455920000003"/>
    <n v="-123.35440799999969"/>
  </r>
  <r>
    <s v="TXN00004113"/>
    <s v="A00000616"/>
    <s v="PLC00005007"/>
    <d v="2011-03-24T00:00:00"/>
    <d v="2020-10-30T00:00:00"/>
    <d v="2020-11-04T00:00:00"/>
    <n v="5"/>
    <n v="124.89"/>
    <n v="1498.68"/>
    <n v="8000"/>
    <s v="A"/>
    <n v="8000"/>
    <n v="4.25"/>
    <s v="Total Loss"/>
    <n v="51"/>
    <n v="25"/>
    <n v="1"/>
    <n v="5"/>
    <s v="L"/>
    <x v="0"/>
    <x v="0"/>
    <s v="Own"/>
    <n v="0"/>
    <n v="1"/>
    <n v="6369.39"/>
    <n v="4649.6547"/>
    <n v="-3350.3453"/>
  </r>
  <r>
    <s v="TXN00004128"/>
    <s v="A00008957"/>
    <s v="PLC00005223"/>
    <d v="2012-10-25T00:00:00"/>
    <d v="2020-10-28T00:00:00"/>
    <d v="2020-11-02T00:00:00"/>
    <n v="5"/>
    <n v="96.28"/>
    <n v="1155.3599999999999"/>
    <n v="5000"/>
    <s v="A"/>
    <n v="5000"/>
    <n v="9.08"/>
    <s v="Major Loss"/>
    <n v="109"/>
    <n v="35"/>
    <n v="1"/>
    <n v="6"/>
    <s v="L"/>
    <x v="2"/>
    <x v="1"/>
    <s v="Mortgage"/>
    <n v="1"/>
    <n v="0"/>
    <n v="10490.668799999999"/>
    <n v="7658.1882239999995"/>
    <n v="2658.1882239999995"/>
  </r>
  <r>
    <s v="TXN00004132"/>
    <s v="A00009625"/>
    <s v="PLC00002487"/>
    <d v="2011-02-17T00:00:00"/>
    <d v="2020-10-27T00:00:00"/>
    <d v="2020-11-01T00:00:00"/>
    <n v="5"/>
    <n v="91.82"/>
    <n v="1101.8399999999999"/>
    <n v="4000"/>
    <s v="D"/>
    <n v="0"/>
    <n v="7.75"/>
    <s v="Minor Loss"/>
    <n v="93"/>
    <n v="43"/>
    <n v="1"/>
    <n v="7"/>
    <s v="M"/>
    <x v="2"/>
    <x v="1"/>
    <s v="Rent"/>
    <n v="1"/>
    <n v="1"/>
    <n v="8539.26"/>
    <n v="6233.6598000000004"/>
    <n v="6233.6598000000004"/>
  </r>
  <r>
    <s v="TXN00004133"/>
    <s v="A00001889"/>
    <s v="PLC00005436"/>
    <d v="2014-03-04T00:00:00"/>
    <d v="2020-10-30T00:00:00"/>
    <d v="2020-11-04T00:00:00"/>
    <n v="5"/>
    <n v="85.35"/>
    <n v="1024.2"/>
    <n v="3000"/>
    <s v="A"/>
    <n v="3000"/>
    <n v="4.42"/>
    <s v="Major Loss"/>
    <n v="53"/>
    <n v="25"/>
    <n v="1"/>
    <n v="6"/>
    <s v="H"/>
    <x v="2"/>
    <x v="5"/>
    <s v="Own"/>
    <n v="1"/>
    <n v="0"/>
    <n v="4526.9639999999999"/>
    <n v="3304.68372"/>
    <n v="304.68371999999999"/>
  </r>
  <r>
    <s v="TXN00004135"/>
    <s v="A00000807"/>
    <s v="PLC00003815"/>
    <d v="2012-07-22T00:00:00"/>
    <d v="2020-10-31T00:00:00"/>
    <d v="2020-11-05T00:00:00"/>
    <n v="5"/>
    <n v="75.97"/>
    <n v="911.64"/>
    <n v="10000"/>
    <s v="A"/>
    <n v="10000"/>
    <n v="5.33"/>
    <s v="Major Loss"/>
    <n v="64"/>
    <n v="58"/>
    <n v="1"/>
    <n v="2"/>
    <s v="M"/>
    <x v="0"/>
    <x v="3"/>
    <s v="Rent"/>
    <n v="1"/>
    <n v="0"/>
    <n v="4859.0411999999997"/>
    <n v="3547.1000759999997"/>
    <n v="-6452.8999240000003"/>
  </r>
  <r>
    <s v="TXN00004140"/>
    <s v="A00001890"/>
    <s v="PLC00004165"/>
    <d v="2014-05-22T00:00:00"/>
    <d v="2020-11-02T00:00:00"/>
    <d v="2020-11-07T00:00:00"/>
    <n v="5"/>
    <n v="93.88"/>
    <n v="1126.56"/>
    <n v="3000"/>
    <s v="A"/>
    <n v="3000"/>
    <n v="1.25"/>
    <s v="Total Loss"/>
    <n v="15"/>
    <n v="51"/>
    <n v="1"/>
    <n v="3"/>
    <s v="L"/>
    <x v="1"/>
    <x v="3"/>
    <s v="Own"/>
    <n v="1"/>
    <n v="1"/>
    <n v="1408.1999999999998"/>
    <n v="1027.9859999999999"/>
    <n v="-1972.0140000000001"/>
  </r>
  <r>
    <s v="TXN00004143"/>
    <s v="A00003196"/>
    <s v="PLC00006972"/>
    <d v="2013-09-29T00:00:00"/>
    <d v="2020-11-05T00:00:00"/>
    <d v="2020-11-08T00:00:00"/>
    <n v="3"/>
    <n v="126.36"/>
    <n v="1516.32"/>
    <n v="2000"/>
    <s v="A"/>
    <n v="2000"/>
    <n v="1.5"/>
    <s v="Minor Loss"/>
    <n v="18"/>
    <n v="63"/>
    <n v="0"/>
    <n v="2"/>
    <s v="M"/>
    <x v="2"/>
    <x v="1"/>
    <s v="Mortgage"/>
    <n v="0"/>
    <n v="1"/>
    <n v="2274.48"/>
    <n v="1660.3704"/>
    <n v="-339.62959999999998"/>
  </r>
  <r>
    <s v="TXN00004146"/>
    <s v="A00009399"/>
    <s v="PLC00002856"/>
    <d v="2015-03-06T00:00:00"/>
    <d v="2020-11-03T00:00:00"/>
    <d v="2020-11-08T00:00:00"/>
    <n v="5"/>
    <n v="84.58"/>
    <n v="1014.96"/>
    <n v="5000"/>
    <s v="A"/>
    <n v="5000"/>
    <n v="0.5"/>
    <s v="Minor Loss"/>
    <n v="6"/>
    <n v="60"/>
    <n v="0"/>
    <n v="4"/>
    <s v="M"/>
    <x v="2"/>
    <x v="1"/>
    <s v="Mortgage"/>
    <n v="1"/>
    <n v="1"/>
    <n v="507.48"/>
    <n v="370.46039999999999"/>
    <n v="-4629.5396000000001"/>
  </r>
  <r>
    <s v="TXN00004148"/>
    <s v="A00001839"/>
    <s v="PLC00007383"/>
    <d v="2015-11-23T00:00:00"/>
    <d v="2020-10-31T00:00:00"/>
    <d v="2020-11-05T00:00:00"/>
    <n v="5"/>
    <n v="74.739999999999995"/>
    <n v="896.88"/>
    <n v="7000"/>
    <s v="A"/>
    <n v="7000"/>
    <n v="2.08"/>
    <s v="Minor Loss"/>
    <n v="25"/>
    <n v="39"/>
    <n v="1"/>
    <n v="2"/>
    <s v="L"/>
    <x v="2"/>
    <x v="1"/>
    <s v="Own"/>
    <n v="0"/>
    <n v="0"/>
    <n v="1865.5104000000001"/>
    <n v="1361.822592"/>
    <n v="-5638.1774079999996"/>
  </r>
  <r>
    <s v="TXN00004154"/>
    <s v="A00002989"/>
    <s v="PLC00009040"/>
    <d v="2012-06-02T00:00:00"/>
    <d v="2020-11-13T00:00:00"/>
    <d v="2020-11-13T00:00:00"/>
    <n v="0"/>
    <n v="97.41"/>
    <n v="1168.92"/>
    <n v="10000"/>
    <s v="A"/>
    <n v="10000"/>
    <n v="5.83"/>
    <s v="Total Loss"/>
    <n v="70"/>
    <n v="57"/>
    <n v="1"/>
    <n v="5"/>
    <s v="L"/>
    <x v="0"/>
    <x v="1"/>
    <s v="Own"/>
    <n v="1"/>
    <n v="1"/>
    <n v="6814.8036000000002"/>
    <n v="4974.8066280000003"/>
    <n v="-5025.1933719999997"/>
  </r>
  <r>
    <s v="TXN00004157"/>
    <s v="A00007382"/>
    <s v="PLC00009374"/>
    <d v="2015-07-14T00:00:00"/>
    <d v="2020-11-04T00:00:00"/>
    <d v="2020-11-09T00:00:00"/>
    <n v="5"/>
    <n v="104.96"/>
    <n v="1259.52"/>
    <n v="7000"/>
    <s v="A"/>
    <n v="7000"/>
    <n v="7.67"/>
    <s v="Major Loss"/>
    <n v="92"/>
    <n v="38"/>
    <n v="0"/>
    <n v="2"/>
    <s v="L"/>
    <x v="0"/>
    <x v="5"/>
    <s v="Own"/>
    <n v="0"/>
    <n v="1"/>
    <n v="9660.518399999999"/>
    <n v="7052.1784319999988"/>
    <n v="52.178431999998793"/>
  </r>
  <r>
    <s v="TXN00004161"/>
    <s v="A00000383"/>
    <s v="PLC00007789"/>
    <d v="2018-10-19T00:00:00"/>
    <d v="2020-11-11T00:00:00"/>
    <d v="2020-11-12T00:00:00"/>
    <n v="1"/>
    <n v="112.08"/>
    <n v="1344.96"/>
    <n v="1000"/>
    <s v="A"/>
    <n v="1000"/>
    <n v="2.75"/>
    <s v="Major Loss"/>
    <n v="33"/>
    <n v="51"/>
    <n v="1"/>
    <n v="7"/>
    <s v="L"/>
    <x v="1"/>
    <x v="1"/>
    <s v="Own"/>
    <n v="0"/>
    <n v="1"/>
    <n v="3698.6400000000003"/>
    <n v="2700.0072"/>
    <n v="1700.0072"/>
  </r>
  <r>
    <s v="TXN00004163"/>
    <s v="A00007533"/>
    <s v="PLC00007460"/>
    <d v="2018-05-26T00:00:00"/>
    <d v="2020-10-30T00:00:00"/>
    <d v="2020-11-04T00:00:00"/>
    <n v="5"/>
    <n v="111.52"/>
    <n v="1338.24"/>
    <n v="5000"/>
    <s v="A"/>
    <n v="5000"/>
    <n v="4.25"/>
    <s v="Total Loss"/>
    <n v="51"/>
    <n v="40"/>
    <n v="0"/>
    <n v="5"/>
    <s v="L"/>
    <x v="1"/>
    <x v="1"/>
    <s v="Own"/>
    <n v="1"/>
    <n v="1"/>
    <n v="5687.52"/>
    <n v="4151.8896000000004"/>
    <n v="-848.11039999999957"/>
  </r>
  <r>
    <s v="TXN00004164"/>
    <s v="A00005474"/>
    <s v="PLC00004647"/>
    <d v="2016-02-07T00:00:00"/>
    <d v="2020-11-13T00:00:00"/>
    <d v="2020-11-13T00:00:00"/>
    <n v="0"/>
    <n v="88.51"/>
    <n v="1062.1199999999999"/>
    <n v="7000"/>
    <s v="A"/>
    <n v="7000"/>
    <n v="8.17"/>
    <s v="Minor Loss"/>
    <n v="98"/>
    <n v="52"/>
    <n v="1"/>
    <n v="5"/>
    <s v="L"/>
    <x v="1"/>
    <x v="4"/>
    <s v="Own"/>
    <n v="0"/>
    <n v="1"/>
    <n v="8677.5203999999994"/>
    <n v="6334.5898919999991"/>
    <n v="-665.41010800000095"/>
  </r>
  <r>
    <s v="TXN00004171"/>
    <s v="A00003360"/>
    <s v="PLC00001124"/>
    <d v="2015-01-20T00:00:00"/>
    <d v="2020-11-07T00:00:00"/>
    <d v="2020-11-10T00:00:00"/>
    <n v="3"/>
    <n v="124.55"/>
    <n v="1494.6"/>
    <n v="3000"/>
    <s v="A"/>
    <n v="3000"/>
    <n v="3.92"/>
    <s v="Minor Loss"/>
    <n v="47"/>
    <n v="33"/>
    <n v="1"/>
    <n v="6"/>
    <s v="H"/>
    <x v="2"/>
    <x v="1"/>
    <s v="Own"/>
    <n v="1"/>
    <n v="1"/>
    <n v="5858.8319999999994"/>
    <n v="4276.9473599999992"/>
    <n v="1276.9473599999992"/>
  </r>
  <r>
    <s v="TXN00004172"/>
    <s v="A00007298"/>
    <s v="PLC00002244"/>
    <d v="2011-10-15T00:00:00"/>
    <d v="2020-11-01T00:00:00"/>
    <d v="2020-11-06T00:00:00"/>
    <n v="5"/>
    <n v="96.56"/>
    <n v="1158.72"/>
    <n v="3000"/>
    <s v="A"/>
    <n v="3000"/>
    <n v="7"/>
    <s v="Major Loss"/>
    <n v="84"/>
    <n v="46"/>
    <n v="0"/>
    <n v="6"/>
    <s v="L"/>
    <x v="0"/>
    <x v="4"/>
    <s v="Own"/>
    <n v="1"/>
    <n v="1"/>
    <n v="8111.04"/>
    <n v="5921.0591999999997"/>
    <n v="2921.0591999999997"/>
  </r>
  <r>
    <s v="TXN00004174"/>
    <s v="A00004473"/>
    <s v="PLC00001089"/>
    <d v="2019-07-16T00:00:00"/>
    <d v="2020-11-13T00:00:00"/>
    <d v="2020-11-13T00:00:00"/>
    <n v="0"/>
    <n v="78.069999999999993"/>
    <n v="936.84"/>
    <n v="2000"/>
    <s v="D"/>
    <n v="0"/>
    <n v="2"/>
    <s v="Total Loss"/>
    <n v="24"/>
    <n v="36"/>
    <n v="1"/>
    <n v="2"/>
    <s v="M"/>
    <x v="1"/>
    <x v="5"/>
    <s v="Own"/>
    <n v="1"/>
    <n v="1"/>
    <n v="1873.68"/>
    <n v="1367.7864"/>
    <n v="1367.7864"/>
  </r>
  <r>
    <s v="TXN00004182"/>
    <s v="A00009786"/>
    <s v="PLC00008907"/>
    <d v="2012-08-12T00:00:00"/>
    <d v="2020-11-10T00:00:00"/>
    <d v="2020-11-12T00:00:00"/>
    <n v="2"/>
    <n v="72.56"/>
    <n v="870.72"/>
    <n v="1000"/>
    <s v="A"/>
    <n v="1000"/>
    <n v="4.92"/>
    <s v="Minor Loss"/>
    <n v="59"/>
    <n v="46"/>
    <n v="1"/>
    <n v="4"/>
    <s v="L"/>
    <x v="1"/>
    <x v="3"/>
    <s v="Own"/>
    <n v="1"/>
    <n v="1"/>
    <n v="4283.9423999999999"/>
    <n v="3127.2779519999999"/>
    <n v="2127.2779519999999"/>
  </r>
  <r>
    <s v="TXN00004184"/>
    <s v="A00002224"/>
    <s v="PLC00008805"/>
    <d v="2019-10-06T00:00:00"/>
    <d v="2020-11-13T00:00:00"/>
    <d v="2020-11-14T00:00:00"/>
    <n v="1"/>
    <n v="88.61"/>
    <n v="1063.32"/>
    <n v="2000"/>
    <s v="A"/>
    <n v="2000"/>
    <n v="6.5"/>
    <s v="Major Loss"/>
    <n v="78"/>
    <n v="42"/>
    <n v="1"/>
    <n v="3"/>
    <s v="M"/>
    <x v="1"/>
    <x v="1"/>
    <s v="Mortgage"/>
    <n v="1"/>
    <n v="1"/>
    <n v="6911.58"/>
    <n v="5045.4533999999994"/>
    <n v="3045.4533999999994"/>
  </r>
  <r>
    <s v="TXN00004190"/>
    <s v="A00007936"/>
    <s v="PLC00003242"/>
    <d v="2019-03-22T00:00:00"/>
    <d v="2020-11-10T00:00:00"/>
    <d v="2020-11-12T00:00:00"/>
    <n v="2"/>
    <n v="97.27"/>
    <n v="1167.24"/>
    <n v="8000"/>
    <s v="A"/>
    <n v="8000"/>
    <n v="2.67"/>
    <s v="Major Loss"/>
    <n v="32"/>
    <n v="37"/>
    <n v="0"/>
    <n v="3"/>
    <s v="M"/>
    <x v="0"/>
    <x v="5"/>
    <s v="Mortgage"/>
    <n v="1"/>
    <n v="0"/>
    <n v="3116.5308"/>
    <n v="2275.0674840000001"/>
    <n v="-5724.9325159999999"/>
  </r>
  <r>
    <s v="TXN00004195"/>
    <s v="A00004428"/>
    <s v="PLC00005751"/>
    <d v="2016-11-02T00:00:00"/>
    <d v="2020-11-05T00:00:00"/>
    <d v="2020-11-10T00:00:00"/>
    <n v="5"/>
    <n v="139.26"/>
    <n v="1671.12"/>
    <n v="2000"/>
    <s v="A"/>
    <n v="2000"/>
    <n v="3.92"/>
    <s v="Total Loss"/>
    <n v="47"/>
    <n v="41"/>
    <n v="1"/>
    <n v="7"/>
    <s v="L"/>
    <x v="2"/>
    <x v="2"/>
    <s v="Mortgage"/>
    <n v="1"/>
    <n v="0"/>
    <n v="6550.7903999999999"/>
    <n v="4782.0769919999993"/>
    <n v="2782.0769919999993"/>
  </r>
  <r>
    <s v="TXN00004196"/>
    <s v="A00000232"/>
    <s v="PLC00001685"/>
    <d v="2015-03-02T00:00:00"/>
    <d v="2020-10-31T00:00:00"/>
    <d v="2020-11-05T00:00:00"/>
    <n v="5"/>
    <n v="122.73"/>
    <n v="1472.76"/>
    <n v="9000"/>
    <s v="A"/>
    <n v="9000"/>
    <n v="6.5"/>
    <s v="Major Loss"/>
    <n v="78"/>
    <n v="42"/>
    <n v="0"/>
    <n v="7"/>
    <s v="M"/>
    <x v="1"/>
    <x v="1"/>
    <s v="Rent"/>
    <n v="1"/>
    <n v="0"/>
    <n v="9572.94"/>
    <n v="6988.2462000000005"/>
    <n v="-2011.7537999999995"/>
  </r>
  <r>
    <s v="TXN00004203"/>
    <s v="A00001950"/>
    <s v="PLC00001110"/>
    <d v="2014-05-05T00:00:00"/>
    <d v="2020-11-05T00:00:00"/>
    <d v="2020-11-10T00:00:00"/>
    <n v="5"/>
    <n v="98.27"/>
    <n v="1179.24"/>
    <n v="7000"/>
    <s v="A"/>
    <n v="7000"/>
    <n v="6.67"/>
    <s v="Major Loss"/>
    <n v="80"/>
    <n v="46"/>
    <n v="1"/>
    <n v="5"/>
    <s v="M"/>
    <x v="0"/>
    <x v="2"/>
    <s v="Own"/>
    <n v="1"/>
    <n v="0"/>
    <n v="7865.5307999999995"/>
    <n v="5741.8374839999997"/>
    <n v="-1258.1625160000003"/>
  </r>
  <r>
    <s v="TXN00004204"/>
    <s v="A00003023"/>
    <s v="PLC00003378"/>
    <d v="2016-04-26T00:00:00"/>
    <d v="2020-11-16T00:00:00"/>
    <d v="2020-11-16T00:00:00"/>
    <n v="0"/>
    <n v="78.02"/>
    <n v="936.24"/>
    <n v="2000"/>
    <s v="A"/>
    <n v="2000"/>
    <n v="4.42"/>
    <s v="Major Loss"/>
    <n v="53"/>
    <n v="60"/>
    <n v="1"/>
    <n v="4"/>
    <s v="L"/>
    <x v="0"/>
    <x v="1"/>
    <s v="Own"/>
    <n v="0"/>
    <n v="0"/>
    <n v="4138.1808000000001"/>
    <n v="3020.8719839999999"/>
    <n v="1020.8719839999999"/>
  </r>
  <r>
    <s v="TXN00004215"/>
    <s v="A00004676"/>
    <s v="PLC00007938"/>
    <d v="2010-12-21T00:00:00"/>
    <d v="2020-11-17T00:00:00"/>
    <d v="2020-11-17T00:00:00"/>
    <n v="0"/>
    <n v="133.19999999999999"/>
    <n v="1598.4"/>
    <n v="1000"/>
    <s v="A"/>
    <n v="1000"/>
    <n v="3.67"/>
    <s v="Total Loss"/>
    <n v="44"/>
    <n v="48"/>
    <n v="1"/>
    <n v="4"/>
    <s v="L"/>
    <x v="2"/>
    <x v="1"/>
    <s v="Own"/>
    <n v="1"/>
    <n v="1"/>
    <n v="5866.1280000000006"/>
    <n v="4282.2734399999999"/>
    <n v="3282.2734399999999"/>
  </r>
  <r>
    <s v="TXN00004221"/>
    <s v="A00009664"/>
    <s v="PLC00006732"/>
    <d v="2014-02-28T00:00:00"/>
    <d v="2020-10-30T00:00:00"/>
    <d v="2020-11-04T00:00:00"/>
    <n v="5"/>
    <n v="133.46"/>
    <n v="1601.52"/>
    <n v="9000"/>
    <s v="D"/>
    <n v="0"/>
    <n v="3.58"/>
    <s v="Minor Loss"/>
    <n v="43"/>
    <n v="44"/>
    <n v="1"/>
    <n v="5"/>
    <s v="L"/>
    <x v="2"/>
    <x v="1"/>
    <s v="Mortgage"/>
    <n v="1"/>
    <n v="0"/>
    <n v="5733.4416000000001"/>
    <n v="4185.4123680000002"/>
    <n v="4185.4123680000002"/>
  </r>
  <r>
    <s v="TXN00004223"/>
    <s v="A00006081"/>
    <s v="PLC00006604"/>
    <d v="2014-05-23T00:00:00"/>
    <d v="2020-10-29T00:00:00"/>
    <d v="2020-11-03T00:00:00"/>
    <n v="5"/>
    <n v="99.07"/>
    <n v="1188.8399999999999"/>
    <n v="6000"/>
    <s v="A"/>
    <n v="6000"/>
    <n v="1.92"/>
    <s v="Minor Loss"/>
    <n v="23"/>
    <n v="60"/>
    <n v="1"/>
    <n v="3"/>
    <s v="L"/>
    <x v="0"/>
    <x v="4"/>
    <s v="Rent"/>
    <n v="1"/>
    <n v="1"/>
    <n v="2282.5727999999999"/>
    <n v="1666.2781439999999"/>
    <n v="-4333.7218560000001"/>
  </r>
  <r>
    <s v="TXN00004224"/>
    <s v="A00004848"/>
    <s v="PLC00002351"/>
    <d v="2018-01-22T00:00:00"/>
    <d v="2020-11-08T00:00:00"/>
    <d v="2020-11-11T00:00:00"/>
    <n v="3"/>
    <n v="109.17"/>
    <n v="1310.04"/>
    <n v="7000"/>
    <s v="A"/>
    <n v="7000"/>
    <n v="5.92"/>
    <s v="Minor Loss"/>
    <n v="71"/>
    <n v="37"/>
    <n v="1"/>
    <n v="4"/>
    <s v="M"/>
    <x v="0"/>
    <x v="0"/>
    <s v="Own"/>
    <n v="1"/>
    <n v="1"/>
    <n v="7755.4367999999995"/>
    <n v="5661.4688639999995"/>
    <n v="-1338.5311360000005"/>
  </r>
  <r>
    <s v="TXN00004226"/>
    <s v="A00000357"/>
    <s v="PLC00005150"/>
    <d v="2016-08-23T00:00:00"/>
    <d v="2020-11-11T00:00:00"/>
    <d v="2020-11-13T00:00:00"/>
    <n v="2"/>
    <n v="112.11"/>
    <n v="1345.32"/>
    <n v="10000"/>
    <s v="A"/>
    <n v="10000"/>
    <n v="4.92"/>
    <s v="Major Loss"/>
    <n v="59"/>
    <n v="44"/>
    <n v="1"/>
    <n v="7"/>
    <s v="M"/>
    <x v="1"/>
    <x v="4"/>
    <s v="Own"/>
    <n v="0"/>
    <n v="0"/>
    <n v="6618.9743999999992"/>
    <n v="4831.8513119999989"/>
    <n v="-5168.1486880000011"/>
  </r>
  <r>
    <s v="TXN00004228"/>
    <s v="A00008644"/>
    <s v="PLC00009290"/>
    <d v="2019-01-14T00:00:00"/>
    <d v="2020-11-10T00:00:00"/>
    <d v="2020-11-13T00:00:00"/>
    <n v="3"/>
    <n v="115.06"/>
    <n v="1380.72"/>
    <n v="4000"/>
    <s v="A"/>
    <n v="4000"/>
    <n v="1.25"/>
    <s v="Major Loss"/>
    <n v="15"/>
    <n v="26"/>
    <n v="1"/>
    <n v="2"/>
    <s v="M"/>
    <x v="2"/>
    <x v="3"/>
    <s v="Mortgage"/>
    <n v="1"/>
    <n v="1"/>
    <n v="1725.9"/>
    <n v="1259.9069999999999"/>
    <n v="-2740.0929999999998"/>
  </r>
  <r>
    <s v="TXN00004232"/>
    <s v="A00009107"/>
    <s v="PLC00000544"/>
    <d v="2011-11-21T00:00:00"/>
    <d v="2020-11-15T00:00:00"/>
    <d v="2020-11-15T00:00:00"/>
    <n v="0"/>
    <n v="103.08"/>
    <n v="1236.96"/>
    <n v="2000"/>
    <s v="A"/>
    <n v="2000"/>
    <n v="7.67"/>
    <s v="Minor Loss"/>
    <n v="92"/>
    <n v="38"/>
    <n v="1"/>
    <n v="5"/>
    <s v="L"/>
    <x v="1"/>
    <x v="1"/>
    <s v="Own"/>
    <n v="1"/>
    <n v="1"/>
    <n v="9487.4832000000006"/>
    <n v="6925.862736"/>
    <n v="4925.862736"/>
  </r>
  <r>
    <s v="TXN00004233"/>
    <s v="A00003480"/>
    <s v="PLC00000529"/>
    <d v="2013-01-09T00:00:00"/>
    <d v="2020-11-05T00:00:00"/>
    <d v="2020-11-10T00:00:00"/>
    <n v="5"/>
    <n v="85.67"/>
    <n v="1028.04"/>
    <n v="6000"/>
    <s v="A"/>
    <n v="6000"/>
    <n v="9.75"/>
    <s v="Total Loss"/>
    <n v="117"/>
    <n v="29"/>
    <n v="1"/>
    <n v="5"/>
    <s v="H"/>
    <x v="0"/>
    <x v="0"/>
    <s v="Rent"/>
    <n v="0"/>
    <n v="1"/>
    <n v="10023.39"/>
    <n v="7317.0746999999992"/>
    <n v="1317.0746999999992"/>
  </r>
  <r>
    <s v="TXN00004242"/>
    <s v="A00007791"/>
    <s v="PLC00005229"/>
    <d v="2011-02-05T00:00:00"/>
    <d v="2020-11-01T00:00:00"/>
    <d v="2020-11-06T00:00:00"/>
    <n v="5"/>
    <n v="83.02"/>
    <n v="996.24"/>
    <n v="8000"/>
    <s v="A"/>
    <n v="8000"/>
    <n v="3.67"/>
    <s v="Minor Loss"/>
    <n v="44"/>
    <n v="50"/>
    <n v="1"/>
    <n v="2"/>
    <s v="H"/>
    <x v="2"/>
    <x v="1"/>
    <s v="Mortgage"/>
    <n v="0"/>
    <n v="0"/>
    <n v="3656.2008000000001"/>
    <n v="2669.0265840000002"/>
    <n v="-5330.9734159999998"/>
  </r>
  <r>
    <s v="TXN00004245"/>
    <s v="A00007065"/>
    <s v="PLC00001857"/>
    <d v="2015-10-16T00:00:00"/>
    <d v="2020-11-07T00:00:00"/>
    <d v="2020-11-12T00:00:00"/>
    <n v="5"/>
    <n v="133.97999999999999"/>
    <n v="1607.76"/>
    <n v="1000"/>
    <s v="A"/>
    <n v="1000"/>
    <n v="9.25"/>
    <s v="Major Loss"/>
    <n v="111"/>
    <n v="64"/>
    <n v="0"/>
    <n v="7"/>
    <s v="M"/>
    <x v="0"/>
    <x v="1"/>
    <s v="Own"/>
    <n v="1"/>
    <n v="1"/>
    <n v="14871.78"/>
    <n v="10856.3994"/>
    <n v="9856.3994000000002"/>
  </r>
  <r>
    <s v="TXN00004251"/>
    <s v="A00007675"/>
    <s v="PLC00004651"/>
    <d v="2015-05-11T00:00:00"/>
    <d v="2020-11-09T00:00:00"/>
    <d v="2020-11-12T00:00:00"/>
    <n v="3"/>
    <n v="98.22"/>
    <n v="1178.6400000000001"/>
    <n v="2000"/>
    <s v="A"/>
    <n v="2000"/>
    <n v="9.67"/>
    <s v="Minor Loss"/>
    <n v="116"/>
    <n v="47"/>
    <n v="1"/>
    <n v="6"/>
    <s v="M"/>
    <x v="0"/>
    <x v="3"/>
    <s v="Rent"/>
    <n v="0"/>
    <n v="1"/>
    <n v="11397.4488"/>
    <n v="8320.1376239999991"/>
    <n v="6320.1376239999991"/>
  </r>
  <r>
    <s v="TXN00004253"/>
    <s v="A00009400"/>
    <s v="PLC00008850"/>
    <d v="2019-05-14T00:00:00"/>
    <d v="2020-11-05T00:00:00"/>
    <d v="2020-11-10T00:00:00"/>
    <n v="5"/>
    <n v="126.65"/>
    <n v="1519.8"/>
    <n v="9000"/>
    <s v="A"/>
    <n v="9000"/>
    <n v="3.33"/>
    <s v="Major Loss"/>
    <n v="40"/>
    <n v="49"/>
    <n v="0"/>
    <n v="7"/>
    <s v="M"/>
    <x v="2"/>
    <x v="0"/>
    <s v="Own"/>
    <n v="0"/>
    <n v="1"/>
    <n v="5060.9340000000002"/>
    <n v="3694.48182"/>
    <n v="-5305.51818"/>
  </r>
  <r>
    <s v="TXN00004257"/>
    <s v="A00001419"/>
    <s v="PLC00001506"/>
    <d v="2015-07-13T00:00:00"/>
    <d v="2020-11-11T00:00:00"/>
    <d v="2020-11-14T00:00:00"/>
    <n v="3"/>
    <n v="71.53"/>
    <n v="858.36"/>
    <n v="2000"/>
    <s v="A"/>
    <n v="2000"/>
    <n v="8.92"/>
    <s v="Minor Loss"/>
    <n v="107"/>
    <n v="31"/>
    <n v="1"/>
    <n v="3"/>
    <s v="H"/>
    <x v="2"/>
    <x v="4"/>
    <s v="Mortgage"/>
    <n v="1"/>
    <n v="0"/>
    <n v="7656.5712000000003"/>
    <n v="5589.2969760000005"/>
    <n v="3589.2969760000005"/>
  </r>
  <r>
    <s v="TXN00004289"/>
    <s v="A00003656"/>
    <s v="PLC00007400"/>
    <d v="2019-09-13T00:00:00"/>
    <d v="2020-11-16T00:00:00"/>
    <d v="2020-11-17T00:00:00"/>
    <n v="1"/>
    <n v="117.06"/>
    <n v="1404.72"/>
    <n v="10000"/>
    <s v="A"/>
    <n v="10000"/>
    <n v="2.5"/>
    <s v="Major Loss"/>
    <n v="30"/>
    <n v="34"/>
    <n v="1"/>
    <n v="2"/>
    <s v="L"/>
    <x v="2"/>
    <x v="1"/>
    <s v="Rent"/>
    <n v="1"/>
    <n v="0"/>
    <n v="3511.8"/>
    <n v="2563.614"/>
    <n v="-7436.3860000000004"/>
  </r>
  <r>
    <s v="TXN00004293"/>
    <s v="A00005435"/>
    <s v="PLC00003612"/>
    <d v="2018-10-15T00:00:00"/>
    <d v="2020-11-02T00:00:00"/>
    <d v="2020-11-07T00:00:00"/>
    <n v="5"/>
    <n v="73.72"/>
    <n v="884.64"/>
    <n v="7000"/>
    <s v="D"/>
    <n v="0"/>
    <n v="7.25"/>
    <s v="Major Loss"/>
    <n v="87"/>
    <n v="44"/>
    <n v="1"/>
    <n v="5"/>
    <s v="L"/>
    <x v="2"/>
    <x v="1"/>
    <s v="Rent"/>
    <n v="1"/>
    <n v="0"/>
    <n v="6413.64"/>
    <n v="4681.9571999999998"/>
    <n v="4681.9571999999998"/>
  </r>
  <r>
    <s v="TXN00004296"/>
    <s v="A00005067"/>
    <s v="PLC00009665"/>
    <d v="2016-04-03T00:00:00"/>
    <d v="2020-11-02T00:00:00"/>
    <d v="2020-11-07T00:00:00"/>
    <n v="5"/>
    <n v="78.36"/>
    <n v="940.32"/>
    <n v="1000"/>
    <s v="A"/>
    <n v="1000"/>
    <n v="2.08"/>
    <s v="Major Loss"/>
    <n v="25"/>
    <n v="51"/>
    <n v="1"/>
    <n v="4"/>
    <s v="M"/>
    <x v="0"/>
    <x v="5"/>
    <s v="Mortgage"/>
    <n v="1"/>
    <n v="1"/>
    <n v="1955.8656000000001"/>
    <n v="1427.781888"/>
    <n v="427.78188799999998"/>
  </r>
  <r>
    <s v="TXN00004304"/>
    <s v="A00008331"/>
    <s v="PLC00004832"/>
    <d v="2018-12-31T00:00:00"/>
    <d v="2020-11-01T00:00:00"/>
    <d v="2020-11-06T00:00:00"/>
    <n v="5"/>
    <n v="129.63"/>
    <n v="1555.56"/>
    <n v="9000"/>
    <s v="A"/>
    <n v="9000"/>
    <n v="6.5"/>
    <s v="Total Loss"/>
    <n v="78"/>
    <n v="40"/>
    <n v="0"/>
    <n v="6"/>
    <s v="M"/>
    <x v="0"/>
    <x v="0"/>
    <s v="Rent"/>
    <n v="1"/>
    <n v="1"/>
    <n v="10111.14"/>
    <n v="7381.1321999999991"/>
    <n v="-1618.8678000000009"/>
  </r>
  <r>
    <s v="TXN00004313"/>
    <s v="A00004957"/>
    <s v="PLC00008594"/>
    <d v="2017-02-07T00:00:00"/>
    <d v="2020-11-01T00:00:00"/>
    <d v="2020-11-06T00:00:00"/>
    <n v="5"/>
    <n v="110.1"/>
    <n v="1321.2"/>
    <n v="2000"/>
    <s v="A"/>
    <n v="2000"/>
    <n v="5.5"/>
    <s v="Minor Loss"/>
    <n v="66"/>
    <n v="52"/>
    <n v="1"/>
    <n v="6"/>
    <s v="L"/>
    <x v="2"/>
    <x v="0"/>
    <s v="Mortgage"/>
    <n v="1"/>
    <n v="0"/>
    <n v="7266.6"/>
    <n v="5304.6180000000004"/>
    <n v="3304.6180000000004"/>
  </r>
  <r>
    <s v="TXN00004328"/>
    <s v="A00001569"/>
    <s v="PLC00006587"/>
    <d v="2018-04-20T00:00:00"/>
    <d v="2020-11-03T00:00:00"/>
    <d v="2020-11-08T00:00:00"/>
    <n v="5"/>
    <n v="93.78"/>
    <n v="1125.3599999999999"/>
    <n v="4000"/>
    <s v="A"/>
    <n v="4000"/>
    <n v="5.67"/>
    <s v="Minor Loss"/>
    <n v="68"/>
    <n v="55"/>
    <n v="1"/>
    <n v="7"/>
    <s v="L"/>
    <x v="0"/>
    <x v="1"/>
    <s v="Own"/>
    <n v="1"/>
    <n v="1"/>
    <n v="6380.7911999999997"/>
    <n v="4657.9775759999993"/>
    <n v="657.97757599999932"/>
  </r>
  <r>
    <s v="TXN00004338"/>
    <s v="A00003817"/>
    <s v="PLC00000987"/>
    <d v="2017-02-20T00:00:00"/>
    <d v="2020-11-14T00:00:00"/>
    <d v="2020-11-17T00:00:00"/>
    <n v="3"/>
    <n v="73.760000000000005"/>
    <n v="885.12"/>
    <n v="3000"/>
    <s v="A"/>
    <n v="3000"/>
    <n v="7.67"/>
    <s v="Minor Loss"/>
    <n v="92"/>
    <n v="28"/>
    <n v="0"/>
    <n v="4"/>
    <s v="M"/>
    <x v="0"/>
    <x v="1"/>
    <s v="Rent"/>
    <n v="1"/>
    <n v="1"/>
    <n v="6788.8703999999998"/>
    <n v="4955.8753919999999"/>
    <n v="1955.8753919999999"/>
  </r>
  <r>
    <s v="TXN00004339"/>
    <s v="A00007428"/>
    <s v="PLC00009804"/>
    <d v="2010-12-18T00:00:00"/>
    <d v="2020-11-05T00:00:00"/>
    <d v="2020-11-10T00:00:00"/>
    <n v="5"/>
    <n v="93.81"/>
    <n v="1125.72"/>
    <n v="7000"/>
    <s v="A"/>
    <n v="7000"/>
    <n v="1.75"/>
    <s v="Minor Loss"/>
    <n v="21"/>
    <n v="64"/>
    <n v="1"/>
    <n v="7"/>
    <s v="M"/>
    <x v="0"/>
    <x v="5"/>
    <s v="Mortgage"/>
    <n v="1"/>
    <n v="0"/>
    <n v="1970.01"/>
    <n v="1438.1072999999999"/>
    <n v="-5561.8927000000003"/>
  </r>
  <r>
    <s v="TXN00004354"/>
    <s v="A00000019"/>
    <s v="PLC00005643"/>
    <d v="2014-11-09T00:00:00"/>
    <d v="2020-11-17T00:00:00"/>
    <d v="2020-11-19T00:00:00"/>
    <n v="2"/>
    <n v="95.8"/>
    <n v="1149.5999999999999"/>
    <n v="2000"/>
    <s v="A"/>
    <n v="2000"/>
    <n v="2.42"/>
    <s v="Major Loss"/>
    <n v="29"/>
    <n v="37"/>
    <n v="0"/>
    <n v="2"/>
    <s v="M"/>
    <x v="0"/>
    <x v="0"/>
    <s v="Rent"/>
    <n v="1"/>
    <n v="1"/>
    <n v="2782.0319999999997"/>
    <n v="2030.8833599999998"/>
    <n v="30.883359999999811"/>
  </r>
  <r>
    <s v="TXN00004363"/>
    <s v="A00004678"/>
    <s v="PLC00001757"/>
    <d v="2014-01-25T00:00:00"/>
    <d v="2020-11-19T00:00:00"/>
    <d v="2020-11-20T00:00:00"/>
    <n v="1"/>
    <n v="124.72"/>
    <n v="1496.64"/>
    <n v="4000"/>
    <s v="A"/>
    <n v="4000"/>
    <n v="1.33"/>
    <s v="Minor Loss"/>
    <n v="16"/>
    <n v="58"/>
    <n v="1"/>
    <n v="5"/>
    <s v="L"/>
    <x v="0"/>
    <x v="5"/>
    <s v="Rent"/>
    <n v="1"/>
    <n v="1"/>
    <n v="1990.5312000000001"/>
    <n v="1453.0877760000001"/>
    <n v="-2546.9122239999997"/>
  </r>
  <r>
    <s v="TXN00004364"/>
    <s v="A00001442"/>
    <s v="PLC00008212"/>
    <d v="2017-05-06T00:00:00"/>
    <d v="2020-11-21T00:00:00"/>
    <d v="2020-11-21T00:00:00"/>
    <n v="0"/>
    <n v="103.01"/>
    <n v="1236.1199999999999"/>
    <n v="5000"/>
    <s v="A"/>
    <n v="5000"/>
    <n v="2.58"/>
    <s v="Total Loss"/>
    <n v="31"/>
    <n v="53"/>
    <n v="1"/>
    <n v="4"/>
    <s v="M"/>
    <x v="0"/>
    <x v="1"/>
    <s v="Own"/>
    <n v="0"/>
    <n v="1"/>
    <n v="3189.1895999999997"/>
    <n v="2328.1084079999996"/>
    <n v="-2671.8915920000004"/>
  </r>
  <r>
    <s v="TXN00004370"/>
    <s v="A00003559"/>
    <s v="PLC00006354"/>
    <d v="2014-09-15T00:00:00"/>
    <d v="2020-11-09T00:00:00"/>
    <d v="2020-11-14T00:00:00"/>
    <n v="5"/>
    <n v="117.05"/>
    <n v="1404.6"/>
    <n v="9000"/>
    <s v="A"/>
    <n v="9000"/>
    <n v="9.08"/>
    <s v="Minor Loss"/>
    <n v="109"/>
    <n v="42"/>
    <n v="1"/>
    <n v="6"/>
    <s v="H"/>
    <x v="0"/>
    <x v="4"/>
    <s v="Rent"/>
    <n v="1"/>
    <n v="1"/>
    <n v="12753.768"/>
    <n v="9310.2506400000002"/>
    <n v="310.2506400000002"/>
  </r>
  <r>
    <s v="TXN00004381"/>
    <s v="A00002068"/>
    <s v="PLC00009082"/>
    <d v="2011-06-10T00:00:00"/>
    <d v="2020-11-12T00:00:00"/>
    <d v="2020-11-17T00:00:00"/>
    <n v="5"/>
    <n v="118.5"/>
    <n v="1422"/>
    <n v="9000"/>
    <s v="A"/>
    <n v="9000"/>
    <n v="5.67"/>
    <s v="Total Loss"/>
    <n v="68"/>
    <n v="54"/>
    <n v="1"/>
    <n v="3"/>
    <s v="L"/>
    <x v="2"/>
    <x v="1"/>
    <s v="Rent"/>
    <n v="1"/>
    <n v="0"/>
    <n v="8062.74"/>
    <n v="5885.8001999999997"/>
    <n v="-3114.1998000000003"/>
  </r>
  <r>
    <s v="TXN00004407"/>
    <s v="A00007150"/>
    <s v="PLC00007813"/>
    <d v="2010-10-05T00:00:00"/>
    <d v="2020-11-15T00:00:00"/>
    <d v="2020-11-18T00:00:00"/>
    <n v="3"/>
    <n v="113.07"/>
    <n v="1356.84"/>
    <n v="3000"/>
    <s v="D"/>
    <n v="0"/>
    <n v="9.75"/>
    <s v="Major Loss"/>
    <n v="117"/>
    <n v="51"/>
    <n v="0"/>
    <n v="5"/>
    <s v="M"/>
    <x v="0"/>
    <x v="3"/>
    <s v="Rent"/>
    <n v="0"/>
    <n v="1"/>
    <n v="13229.189999999999"/>
    <n v="9657.3086999999996"/>
    <n v="9657.3086999999996"/>
  </r>
  <r>
    <s v="TXN00004408"/>
    <s v="A00005000"/>
    <s v="PLC00009848"/>
    <d v="2012-01-23T00:00:00"/>
    <d v="2020-11-07T00:00:00"/>
    <d v="2020-11-12T00:00:00"/>
    <n v="5"/>
    <n v="83.81"/>
    <n v="1005.72"/>
    <n v="3000"/>
    <s v="D"/>
    <n v="0"/>
    <n v="1.75"/>
    <s v="Major Loss"/>
    <n v="21"/>
    <n v="42"/>
    <n v="1"/>
    <n v="5"/>
    <s v="L"/>
    <x v="2"/>
    <x v="6"/>
    <s v="Rent"/>
    <n v="1"/>
    <n v="1"/>
    <n v="1760.01"/>
    <n v="1284.8072999999999"/>
    <n v="1284.8072999999999"/>
  </r>
  <r>
    <s v="TXN00004409"/>
    <s v="A00007256"/>
    <s v="PLC00005794"/>
    <d v="2015-11-11T00:00:00"/>
    <d v="2020-11-07T00:00:00"/>
    <d v="2020-11-12T00:00:00"/>
    <n v="5"/>
    <n v="101.2"/>
    <n v="1214.4000000000001"/>
    <n v="4000"/>
    <s v="A"/>
    <n v="4000"/>
    <n v="8.5"/>
    <s v="Minor Loss"/>
    <n v="102"/>
    <n v="53"/>
    <n v="0"/>
    <n v="5"/>
    <s v="L"/>
    <x v="2"/>
    <x v="1"/>
    <s v="Rent"/>
    <n v="0"/>
    <n v="0"/>
    <n v="10322.400000000001"/>
    <n v="7535.3520000000008"/>
    <n v="3535.3520000000008"/>
  </r>
  <r>
    <s v="TXN00004413"/>
    <s v="A00009056"/>
    <s v="PLC00009288"/>
    <d v="2014-03-23T00:00:00"/>
    <d v="2020-11-06T00:00:00"/>
    <d v="2020-11-11T00:00:00"/>
    <n v="5"/>
    <n v="133"/>
    <n v="1596"/>
    <n v="5000"/>
    <s v="A"/>
    <n v="5000"/>
    <n v="6.58"/>
    <s v="Minor Loss"/>
    <n v="79"/>
    <n v="28"/>
    <n v="1"/>
    <n v="4"/>
    <s v="L"/>
    <x v="0"/>
    <x v="1"/>
    <s v="Own"/>
    <n v="1"/>
    <n v="0"/>
    <n v="10501.68"/>
    <n v="7666.2264000000005"/>
    <n v="2666.2264000000005"/>
  </r>
  <r>
    <s v="TXN00004424"/>
    <s v="A00007313"/>
    <s v="PLC00005206"/>
    <d v="2010-12-02T00:00:00"/>
    <d v="2020-11-16T00:00:00"/>
    <d v="2020-11-19T00:00:00"/>
    <n v="3"/>
    <n v="133.06"/>
    <n v="1596.72"/>
    <n v="4000"/>
    <s v="A"/>
    <n v="4000"/>
    <n v="8.25"/>
    <s v="Major Loss"/>
    <n v="99"/>
    <n v="63"/>
    <n v="0"/>
    <n v="3"/>
    <s v="L"/>
    <x v="1"/>
    <x v="4"/>
    <s v="Own"/>
    <n v="1"/>
    <n v="0"/>
    <n v="13172.94"/>
    <n v="9616.2461999999996"/>
    <n v="5616.2461999999996"/>
  </r>
  <r>
    <s v="TXN00004439"/>
    <s v="A00008764"/>
    <s v="PLC00000039"/>
    <d v="2018-06-29T00:00:00"/>
    <d v="2020-11-23T00:00:00"/>
    <d v="2020-11-23T00:00:00"/>
    <n v="0"/>
    <n v="107.24"/>
    <n v="1286.8800000000001"/>
    <n v="2000"/>
    <s v="A"/>
    <n v="2000"/>
    <n v="6.5"/>
    <s v="Minor Loss"/>
    <n v="78"/>
    <n v="52"/>
    <n v="1"/>
    <n v="7"/>
    <s v="L"/>
    <x v="1"/>
    <x v="4"/>
    <s v="Mortgage"/>
    <n v="1"/>
    <n v="0"/>
    <n v="8364.7200000000012"/>
    <n v="6106.2456000000011"/>
    <n v="4106.2456000000011"/>
  </r>
  <r>
    <s v="TXN00004453"/>
    <s v="A00003410"/>
    <s v="PLC00000106"/>
    <d v="2016-04-07T00:00:00"/>
    <d v="2020-11-14T00:00:00"/>
    <d v="2020-11-19T00:00:00"/>
    <n v="5"/>
    <n v="82.8"/>
    <n v="993.6"/>
    <n v="1000"/>
    <s v="A"/>
    <n v="1000"/>
    <n v="8.25"/>
    <s v="Minor Loss"/>
    <n v="99"/>
    <n v="39"/>
    <n v="0"/>
    <n v="6"/>
    <s v="H"/>
    <x v="0"/>
    <x v="0"/>
    <s v="Mortgage"/>
    <n v="0"/>
    <n v="1"/>
    <n v="8197.2000000000007"/>
    <n v="5983.9560000000001"/>
    <n v="4983.9560000000001"/>
  </r>
  <r>
    <s v="TXN00004455"/>
    <s v="A00002200"/>
    <s v="PLC00001076"/>
    <d v="2013-01-08T00:00:00"/>
    <d v="2020-11-23T00:00:00"/>
    <d v="2020-11-24T00:00:00"/>
    <n v="1"/>
    <n v="101.95"/>
    <n v="1223.4000000000001"/>
    <n v="6000"/>
    <s v="A"/>
    <n v="6000"/>
    <n v="4.92"/>
    <s v="Minor Loss"/>
    <n v="59"/>
    <n v="25"/>
    <n v="1"/>
    <n v="3"/>
    <s v="L"/>
    <x v="2"/>
    <x v="4"/>
    <s v="Rent"/>
    <n v="1"/>
    <n v="1"/>
    <n v="6019.1280000000006"/>
    <n v="4393.9634400000004"/>
    <n v="-1606.0365599999996"/>
  </r>
  <r>
    <s v="TXN00004471"/>
    <s v="A00004077"/>
    <s v="PLC00006830"/>
    <d v="2017-06-17T00:00:00"/>
    <d v="2020-11-20T00:00:00"/>
    <d v="2020-11-23T00:00:00"/>
    <n v="3"/>
    <n v="82.21"/>
    <n v="986.52"/>
    <n v="8000"/>
    <s v="A"/>
    <n v="8000"/>
    <n v="1.08"/>
    <s v="Total Loss"/>
    <n v="13"/>
    <n v="53"/>
    <n v="1"/>
    <n v="4"/>
    <s v="L"/>
    <x v="0"/>
    <x v="1"/>
    <s v="Rent"/>
    <n v="1"/>
    <n v="1"/>
    <n v="1065.4416000000001"/>
    <n v="777.77236800000003"/>
    <n v="-7222.2276320000001"/>
  </r>
  <r>
    <s v="TXN00004483"/>
    <s v="A00004930"/>
    <s v="PLC00004432"/>
    <d v="2019-02-16T00:00:00"/>
    <d v="2020-11-23T00:00:00"/>
    <d v="2020-11-25T00:00:00"/>
    <n v="2"/>
    <n v="123.93"/>
    <n v="1487.16"/>
    <n v="3000"/>
    <s v="A"/>
    <n v="3000"/>
    <n v="4.58"/>
    <s v="Major Loss"/>
    <n v="55"/>
    <n v="56"/>
    <n v="1"/>
    <n v="7"/>
    <s v="M"/>
    <x v="2"/>
    <x v="1"/>
    <s v="Mortgage"/>
    <n v="1"/>
    <n v="0"/>
    <n v="6811.1928000000007"/>
    <n v="4972.170744"/>
    <n v="1972.170744"/>
  </r>
  <r>
    <s v="TXN00004484"/>
    <s v="A00001868"/>
    <s v="PLC00002527"/>
    <d v="2014-05-03T00:00:00"/>
    <d v="2020-11-20T00:00:00"/>
    <d v="2020-11-23T00:00:00"/>
    <n v="3"/>
    <n v="82.99"/>
    <n v="995.88"/>
    <n v="8000"/>
    <s v="A"/>
    <n v="8000"/>
    <n v="1.33"/>
    <s v="Major Loss"/>
    <n v="16"/>
    <n v="38"/>
    <n v="0"/>
    <n v="6"/>
    <s v="L"/>
    <x v="0"/>
    <x v="1"/>
    <s v="Own"/>
    <n v="0"/>
    <n v="1"/>
    <n v="1324.5204000000001"/>
    <n v="966.89989200000002"/>
    <n v="-7033.1001079999996"/>
  </r>
  <r>
    <s v="TXN00004485"/>
    <s v="A00001703"/>
    <s v="PLC00000372"/>
    <d v="2013-09-30T00:00:00"/>
    <d v="2020-11-21T00:00:00"/>
    <d v="2020-11-24T00:00:00"/>
    <n v="3"/>
    <n v="77.709999999999994"/>
    <n v="932.52"/>
    <n v="9000"/>
    <s v="A"/>
    <n v="9000"/>
    <n v="7.67"/>
    <s v="Major Loss"/>
    <n v="92"/>
    <n v="44"/>
    <n v="1"/>
    <n v="6"/>
    <s v="L"/>
    <x v="2"/>
    <x v="0"/>
    <s v="Own"/>
    <n v="0"/>
    <n v="1"/>
    <n v="7152.4283999999998"/>
    <n v="5221.2727319999995"/>
    <n v="-3778.7272680000005"/>
  </r>
  <r>
    <s v="TXN00004488"/>
    <s v="A00005703"/>
    <s v="PLC00005627"/>
    <d v="2015-09-03T00:00:00"/>
    <d v="2020-11-22T00:00:00"/>
    <d v="2020-11-24T00:00:00"/>
    <n v="2"/>
    <n v="128.46"/>
    <n v="1541.52"/>
    <n v="2000"/>
    <s v="A"/>
    <n v="2000"/>
    <n v="8.25"/>
    <s v="Total Loss"/>
    <n v="99"/>
    <n v="63"/>
    <n v="1"/>
    <n v="2"/>
    <s v="M"/>
    <x v="0"/>
    <x v="0"/>
    <s v="Own"/>
    <n v="1"/>
    <n v="1"/>
    <n v="12717.539999999999"/>
    <n v="9283.8041999999987"/>
    <n v="7283.8041999999987"/>
  </r>
  <r>
    <s v="TXN00004501"/>
    <s v="A00005780"/>
    <s v="PLC00003784"/>
    <d v="2017-10-02T00:00:00"/>
    <d v="2020-11-27T00:00:00"/>
    <d v="2020-11-27T00:00:00"/>
    <n v="0"/>
    <n v="136.69"/>
    <n v="1640.28"/>
    <n v="7000"/>
    <s v="A"/>
    <n v="7000"/>
    <n v="3.42"/>
    <s v="Minor Loss"/>
    <n v="41"/>
    <n v="31"/>
    <n v="1"/>
    <n v="4"/>
    <s v="M"/>
    <x v="0"/>
    <x v="1"/>
    <s v="Own"/>
    <n v="1"/>
    <n v="1"/>
    <n v="5609.7575999999999"/>
    <n v="4095.1230479999999"/>
    <n v="-2904.8769520000001"/>
  </r>
  <r>
    <s v="TXN00004502"/>
    <s v="A00008810"/>
    <s v="PLC00000023"/>
    <d v="2013-10-09T00:00:00"/>
    <d v="2020-11-20T00:00:00"/>
    <d v="2020-11-23T00:00:00"/>
    <n v="3"/>
    <n v="85.86"/>
    <n v="1030.32"/>
    <n v="8000"/>
    <s v="A"/>
    <n v="8000"/>
    <n v="9.42"/>
    <s v="Minor Loss"/>
    <n v="113"/>
    <n v="64"/>
    <n v="0"/>
    <n v="3"/>
    <s v="L"/>
    <x v="2"/>
    <x v="1"/>
    <s v="Rent"/>
    <n v="1"/>
    <n v="0"/>
    <n v="9705.6143999999986"/>
    <n v="7085.0985119999987"/>
    <n v="-914.90148800000134"/>
  </r>
  <r>
    <s v="TXN00004516"/>
    <s v="A00008076"/>
    <s v="PLC00008701"/>
    <d v="2010-06-13T00:00:00"/>
    <d v="2020-11-25T00:00:00"/>
    <d v="2020-11-26T00:00:00"/>
    <n v="1"/>
    <n v="125.79"/>
    <n v="1509.48"/>
    <n v="4000"/>
    <s v="A"/>
    <n v="4000"/>
    <n v="9.08"/>
    <s v="Major Loss"/>
    <n v="109"/>
    <n v="56"/>
    <n v="1"/>
    <n v="2"/>
    <s v="M"/>
    <x v="2"/>
    <x v="3"/>
    <s v="Mortgage"/>
    <n v="0"/>
    <n v="1"/>
    <n v="13706.0784"/>
    <n v="10005.437232"/>
    <n v="6005.4372320000002"/>
  </r>
  <r>
    <s v="TXN00004519"/>
    <s v="A00005956"/>
    <s v="PLC00009954"/>
    <d v="2011-08-23T00:00:00"/>
    <d v="2020-11-29T00:00:00"/>
    <d v="2020-11-29T00:00:00"/>
    <n v="0"/>
    <n v="103.74"/>
    <n v="1244.8800000000001"/>
    <n v="4000"/>
    <s v="A"/>
    <n v="4000"/>
    <n v="6.33"/>
    <s v="Major Loss"/>
    <n v="76"/>
    <n v="53"/>
    <n v="1"/>
    <n v="6"/>
    <s v="M"/>
    <x v="2"/>
    <x v="1"/>
    <s v="Rent"/>
    <n v="1"/>
    <n v="1"/>
    <n v="7880.090400000001"/>
    <n v="5752.4659920000004"/>
    <n v="1752.4659920000004"/>
  </r>
  <r>
    <s v="TXN00004525"/>
    <s v="A00007271"/>
    <s v="PLC00000367"/>
    <d v="2015-04-23T00:00:00"/>
    <d v="2020-11-27T00:00:00"/>
    <d v="2020-11-27T00:00:00"/>
    <n v="0"/>
    <n v="130.31"/>
    <n v="1563.72"/>
    <n v="10000"/>
    <s v="A"/>
    <n v="10000"/>
    <n v="4.83"/>
    <s v="Minor Loss"/>
    <n v="58"/>
    <n v="58"/>
    <n v="1"/>
    <n v="6"/>
    <s v="M"/>
    <x v="2"/>
    <x v="1"/>
    <s v="Mortgage"/>
    <n v="0"/>
    <n v="1"/>
    <n v="7552.7676000000001"/>
    <n v="5513.520348"/>
    <n v="-4486.479652"/>
  </r>
  <r>
    <s v="TXN00004526"/>
    <s v="A00001353"/>
    <s v="PLC00007829"/>
    <d v="2015-04-09T00:00:00"/>
    <d v="2020-11-20T00:00:00"/>
    <d v="2020-11-23T00:00:00"/>
    <n v="3"/>
    <n v="115.2"/>
    <n v="1382.4"/>
    <n v="5000"/>
    <s v="A"/>
    <n v="5000"/>
    <n v="2.75"/>
    <s v="Minor Loss"/>
    <n v="33"/>
    <n v="64"/>
    <n v="1"/>
    <n v="6"/>
    <s v="M"/>
    <x v="1"/>
    <x v="1"/>
    <s v="Rent"/>
    <n v="1"/>
    <n v="1"/>
    <n v="3801.6000000000004"/>
    <n v="2775.1680000000001"/>
    <n v="-2224.8319999999999"/>
  </r>
  <r>
    <s v="TXN00004534"/>
    <s v="A00002952"/>
    <s v="PLC00005600"/>
    <d v="2016-05-30T00:00:00"/>
    <d v="2020-11-17T00:00:00"/>
    <d v="2020-11-22T00:00:00"/>
    <n v="5"/>
    <n v="124.55"/>
    <n v="1494.6"/>
    <n v="3000"/>
    <s v="A"/>
    <n v="3000"/>
    <n v="5.17"/>
    <s v="Total Loss"/>
    <n v="62"/>
    <n v="49"/>
    <n v="0"/>
    <n v="5"/>
    <s v="L"/>
    <x v="0"/>
    <x v="1"/>
    <s v="Mortgage"/>
    <n v="1"/>
    <n v="1"/>
    <n v="7727.0819999999994"/>
    <n v="5640.7698599999994"/>
    <n v="2640.7698599999994"/>
  </r>
  <r>
    <s v="TXN00004540"/>
    <s v="A00002210"/>
    <s v="PLC00008871"/>
    <d v="2019-01-29T00:00:00"/>
    <d v="2020-11-23T00:00:00"/>
    <d v="2020-11-25T00:00:00"/>
    <n v="2"/>
    <n v="101.69"/>
    <n v="1220.28"/>
    <n v="7000"/>
    <s v="A"/>
    <n v="7000"/>
    <n v="5.5"/>
    <s v="Total Loss"/>
    <n v="66"/>
    <n v="50"/>
    <n v="1"/>
    <n v="6"/>
    <s v="M"/>
    <x v="2"/>
    <x v="1"/>
    <s v="Mortgage"/>
    <n v="1"/>
    <n v="1"/>
    <n v="6711.54"/>
    <n v="4899.4241999999995"/>
    <n v="-2100.5758000000005"/>
  </r>
  <r>
    <s v="TXN00004549"/>
    <s v="A00007891"/>
    <s v="PLC00003011"/>
    <d v="2011-09-11T00:00:00"/>
    <d v="2020-11-26T00:00:00"/>
    <d v="2020-11-27T00:00:00"/>
    <n v="1"/>
    <n v="78.739999999999995"/>
    <n v="944.88"/>
    <n v="5000"/>
    <s v="A"/>
    <n v="5000"/>
    <n v="2.25"/>
    <s v="Minor Loss"/>
    <n v="27"/>
    <n v="58"/>
    <n v="1"/>
    <n v="5"/>
    <s v="M"/>
    <x v="1"/>
    <x v="1"/>
    <s v="Own"/>
    <n v="1"/>
    <n v="0"/>
    <n v="2125.98"/>
    <n v="1551.9654"/>
    <n v="-3448.0346"/>
  </r>
  <r>
    <s v="TXN00004550"/>
    <s v="A00008988"/>
    <s v="PLC00006930"/>
    <d v="2017-06-05T00:00:00"/>
    <d v="2020-11-12T00:00:00"/>
    <d v="2020-11-17T00:00:00"/>
    <n v="5"/>
    <n v="104.46"/>
    <n v="1253.52"/>
    <n v="2000"/>
    <s v="D"/>
    <n v="0"/>
    <n v="3.25"/>
    <s v="Major Loss"/>
    <n v="39"/>
    <n v="37"/>
    <n v="1"/>
    <n v="5"/>
    <s v="L"/>
    <x v="2"/>
    <x v="0"/>
    <s v="Rent"/>
    <n v="1"/>
    <n v="1"/>
    <n v="4073.94"/>
    <n v="2973.9762000000001"/>
    <n v="2973.9762000000001"/>
  </r>
  <r>
    <s v="TXN00004551"/>
    <s v="A00007231"/>
    <s v="PLC00009123"/>
    <d v="2015-01-12T00:00:00"/>
    <d v="2020-11-25T00:00:00"/>
    <d v="2020-11-27T00:00:00"/>
    <n v="2"/>
    <n v="97.32"/>
    <n v="1167.8399999999999"/>
    <n v="8000"/>
    <s v="A"/>
    <n v="8000"/>
    <n v="0.67"/>
    <s v="Major Loss"/>
    <n v="8"/>
    <n v="25"/>
    <n v="0"/>
    <n v="2"/>
    <s v="L"/>
    <x v="0"/>
    <x v="1"/>
    <s v="Mortgage"/>
    <n v="1"/>
    <n v="1"/>
    <n v="782.45280000000002"/>
    <n v="571.19054400000005"/>
    <n v="-7428.809456"/>
  </r>
  <r>
    <s v="TXN00004571"/>
    <s v="A00006153"/>
    <s v="PLC00003708"/>
    <d v="2010-10-16T00:00:00"/>
    <d v="2020-11-17T00:00:00"/>
    <d v="2020-11-22T00:00:00"/>
    <n v="5"/>
    <n v="79.61"/>
    <n v="955.32"/>
    <n v="3000"/>
    <s v="A"/>
    <n v="3000"/>
    <n v="6.42"/>
    <s v="Major Loss"/>
    <n v="77"/>
    <n v="38"/>
    <n v="1"/>
    <n v="2"/>
    <s v="M"/>
    <x v="0"/>
    <x v="0"/>
    <s v="Rent"/>
    <n v="1"/>
    <n v="1"/>
    <n v="6133.1544000000004"/>
    <n v="4477.2027120000002"/>
    <n v="1477.2027120000002"/>
  </r>
  <r>
    <s v="TXN00004574"/>
    <s v="A00000726"/>
    <s v="PLC00007645"/>
    <d v="2012-01-29T00:00:00"/>
    <d v="2020-11-21T00:00:00"/>
    <d v="2020-11-24T00:00:00"/>
    <n v="3"/>
    <n v="91.95"/>
    <n v="1103.4000000000001"/>
    <n v="9000"/>
    <s v="A"/>
    <n v="9000"/>
    <n v="8.25"/>
    <s v="Major Loss"/>
    <n v="99"/>
    <n v="37"/>
    <n v="0"/>
    <n v="6"/>
    <s v="L"/>
    <x v="0"/>
    <x v="4"/>
    <s v="Mortgage"/>
    <n v="0"/>
    <n v="1"/>
    <n v="9103.0500000000011"/>
    <n v="6645.2265000000007"/>
    <n v="-2354.7734999999993"/>
  </r>
  <r>
    <s v="TXN00004575"/>
    <s v="A00004977"/>
    <s v="PLC00005656"/>
    <d v="2015-09-09T00:00:00"/>
    <d v="2020-11-19T00:00:00"/>
    <d v="2020-11-24T00:00:00"/>
    <n v="5"/>
    <n v="70.430000000000007"/>
    <n v="845.16"/>
    <n v="4000"/>
    <s v="A"/>
    <n v="4000"/>
    <n v="5"/>
    <s v="Minor Loss"/>
    <n v="60"/>
    <n v="58"/>
    <n v="1"/>
    <n v="5"/>
    <s v="L"/>
    <x v="1"/>
    <x v="0"/>
    <s v="Mortgage"/>
    <n v="1"/>
    <n v="0"/>
    <n v="4225.8"/>
    <n v="3084.8339999999998"/>
    <n v="-915.16600000000017"/>
  </r>
  <r>
    <s v="TXN00004576"/>
    <s v="A00001418"/>
    <s v="PLC00006856"/>
    <d v="2013-09-29T00:00:00"/>
    <d v="2020-11-16T00:00:00"/>
    <d v="2020-11-21T00:00:00"/>
    <n v="5"/>
    <n v="108.28"/>
    <n v="1299.3599999999999"/>
    <n v="5000"/>
    <s v="A"/>
    <n v="5000"/>
    <n v="6.08"/>
    <s v="Minor Loss"/>
    <n v="73"/>
    <n v="27"/>
    <n v="0"/>
    <n v="2"/>
    <s v="M"/>
    <x v="0"/>
    <x v="4"/>
    <s v="Mortgage"/>
    <n v="1"/>
    <n v="1"/>
    <n v="7900.1087999999991"/>
    <n v="5767.0794239999996"/>
    <n v="767.07942399999956"/>
  </r>
  <r>
    <s v="TXN00004577"/>
    <s v="A00008561"/>
    <s v="PLC00003251"/>
    <d v="2016-08-29T00:00:00"/>
    <d v="2020-11-29T00:00:00"/>
    <d v="2020-11-29T00:00:00"/>
    <n v="0"/>
    <n v="120.59"/>
    <n v="1447.08"/>
    <n v="2000"/>
    <s v="A"/>
    <n v="2000"/>
    <n v="6"/>
    <s v="Total Loss"/>
    <n v="72"/>
    <n v="34"/>
    <n v="1"/>
    <n v="2"/>
    <s v="M"/>
    <x v="2"/>
    <x v="4"/>
    <s v="Rent"/>
    <n v="1"/>
    <n v="1"/>
    <n v="8682.48"/>
    <n v="6338.2103999999999"/>
    <n v="4338.2103999999999"/>
  </r>
  <r>
    <s v="TXN00004596"/>
    <s v="A00006762"/>
    <s v="PLC00004138"/>
    <d v="2015-05-14T00:00:00"/>
    <d v="2020-12-02T00:00:00"/>
    <d v="2020-12-02T00:00:00"/>
    <n v="0"/>
    <n v="72"/>
    <n v="864"/>
    <n v="4000"/>
    <s v="A"/>
    <n v="4000"/>
    <n v="2.08"/>
    <s v="Total Loss"/>
    <n v="25"/>
    <n v="61"/>
    <n v="1"/>
    <n v="7"/>
    <s v="M"/>
    <x v="2"/>
    <x v="0"/>
    <s v="Rent"/>
    <n v="0"/>
    <n v="1"/>
    <n v="1797.1200000000001"/>
    <n v="1311.8976"/>
    <n v="-2688.1023999999998"/>
  </r>
  <r>
    <s v="TXN00004611"/>
    <s v="A00001476"/>
    <s v="PLC00005705"/>
    <d v="2017-04-25T00:00:00"/>
    <d v="2020-11-26T00:00:00"/>
    <d v="2020-11-28T00:00:00"/>
    <n v="2"/>
    <n v="80.31"/>
    <n v="963.72"/>
    <n v="10000"/>
    <s v="D"/>
    <n v="0"/>
    <n v="4.17"/>
    <s v="Minor Loss"/>
    <n v="50"/>
    <n v="25"/>
    <n v="1"/>
    <n v="7"/>
    <s v="M"/>
    <x v="1"/>
    <x v="1"/>
    <s v="Rent"/>
    <n v="1"/>
    <n v="1"/>
    <n v="4018.7123999999999"/>
    <n v="2933.6600519999997"/>
    <n v="2933.6600519999997"/>
  </r>
  <r>
    <s v="TXN00004618"/>
    <s v="A00000336"/>
    <s v="PLC00008530"/>
    <d v="2015-12-08T00:00:00"/>
    <d v="2020-11-15T00:00:00"/>
    <d v="2020-11-20T00:00:00"/>
    <n v="5"/>
    <n v="97.83"/>
    <n v="1173.96"/>
    <n v="6000"/>
    <s v="A"/>
    <n v="6000"/>
    <n v="5.17"/>
    <s v="Total Loss"/>
    <n v="62"/>
    <n v="31"/>
    <n v="0"/>
    <n v="7"/>
    <s v="L"/>
    <x v="2"/>
    <x v="3"/>
    <s v="Rent"/>
    <n v="1"/>
    <n v="1"/>
    <n v="6069.3732"/>
    <n v="4430.6424360000001"/>
    <n v="-1569.3575639999999"/>
  </r>
  <r>
    <s v="TXN00004624"/>
    <s v="A00007597"/>
    <s v="PLC00006500"/>
    <d v="2011-05-30T00:00:00"/>
    <d v="2020-11-15T00:00:00"/>
    <d v="2020-11-20T00:00:00"/>
    <n v="5"/>
    <n v="129.38999999999999"/>
    <n v="1552.68"/>
    <n v="2000"/>
    <s v="D"/>
    <n v="0"/>
    <n v="0.75"/>
    <s v="Minor Loss"/>
    <n v="9"/>
    <n v="58"/>
    <n v="1"/>
    <n v="2"/>
    <s v="L"/>
    <x v="1"/>
    <x v="0"/>
    <s v="Mortgage"/>
    <n v="1"/>
    <n v="1"/>
    <n v="1164.51"/>
    <n v="850.09230000000002"/>
    <n v="850.09230000000002"/>
  </r>
  <r>
    <s v="TXN00004645"/>
    <s v="A00003948"/>
    <s v="PLC00001238"/>
    <d v="2012-10-31T00:00:00"/>
    <d v="2020-11-30T00:00:00"/>
    <d v="2020-12-01T00:00:00"/>
    <n v="1"/>
    <n v="92.88"/>
    <n v="1114.56"/>
    <n v="7000"/>
    <s v="A"/>
    <n v="7000"/>
    <n v="6.92"/>
    <s v="Major Loss"/>
    <n v="83"/>
    <n v="47"/>
    <n v="0"/>
    <n v="5"/>
    <s v="M"/>
    <x v="0"/>
    <x v="1"/>
    <s v="Mortgage"/>
    <n v="1"/>
    <n v="1"/>
    <n v="7712.7551999999996"/>
    <n v="5630.3112959999999"/>
    <n v="-1369.6887040000001"/>
  </r>
  <r>
    <s v="TXN00004652"/>
    <s v="A00001807"/>
    <s v="PLC00003042"/>
    <d v="2013-02-09T00:00:00"/>
    <d v="2020-11-26T00:00:00"/>
    <d v="2020-11-29T00:00:00"/>
    <n v="3"/>
    <n v="88.43"/>
    <n v="1061.1600000000001"/>
    <n v="7000"/>
    <s v="A"/>
    <n v="7000"/>
    <n v="2.17"/>
    <s v="Total Loss"/>
    <n v="26"/>
    <n v="56"/>
    <n v="1"/>
    <n v="2"/>
    <s v="L"/>
    <x v="0"/>
    <x v="1"/>
    <s v="Own"/>
    <n v="1"/>
    <n v="1"/>
    <n v="2302.7172"/>
    <n v="1680.9835559999999"/>
    <n v="-5319.0164439999999"/>
  </r>
  <r>
    <s v="TXN00004653"/>
    <s v="A00007769"/>
    <s v="PLC00008555"/>
    <d v="2014-06-03T00:00:00"/>
    <d v="2020-11-19T00:00:00"/>
    <d v="2020-11-24T00:00:00"/>
    <n v="5"/>
    <n v="121.28"/>
    <n v="1455.36"/>
    <n v="8000"/>
    <s v="A"/>
    <n v="8000"/>
    <n v="6.33"/>
    <s v="Major Loss"/>
    <n v="76"/>
    <n v="25"/>
    <n v="1"/>
    <n v="2"/>
    <s v="M"/>
    <x v="0"/>
    <x v="0"/>
    <s v="Rent"/>
    <n v="1"/>
    <n v="1"/>
    <n v="9212.4287999999997"/>
    <n v="6725.0730239999994"/>
    <n v="-1274.9269760000006"/>
  </r>
  <r>
    <s v="TXN00004654"/>
    <s v="A00005526"/>
    <s v="PLC00004021"/>
    <d v="2019-04-25T00:00:00"/>
    <d v="2020-11-24T00:00:00"/>
    <d v="2020-11-29T00:00:00"/>
    <n v="5"/>
    <n v="109.23"/>
    <n v="1310.76"/>
    <n v="3000"/>
    <s v="D"/>
    <n v="0"/>
    <n v="9.08"/>
    <s v="Major Loss"/>
    <n v="109"/>
    <n v="42"/>
    <n v="0"/>
    <n v="2"/>
    <s v="L"/>
    <x v="0"/>
    <x v="5"/>
    <s v="Own"/>
    <n v="1"/>
    <n v="1"/>
    <n v="11901.700800000001"/>
    <n v="8688.2415839999994"/>
    <n v="8688.2415839999994"/>
  </r>
  <r>
    <s v="TXN00004677"/>
    <s v="A00001088"/>
    <s v="PLC00002469"/>
    <d v="2017-12-22T00:00:00"/>
    <d v="2020-11-28T00:00:00"/>
    <d v="2020-12-01T00:00:00"/>
    <n v="3"/>
    <n v="137.41"/>
    <n v="1648.92"/>
    <n v="1000"/>
    <s v="A"/>
    <n v="1000"/>
    <n v="6.58"/>
    <s v="Minor Loss"/>
    <n v="79"/>
    <n v="36"/>
    <n v="1"/>
    <n v="7"/>
    <s v="L"/>
    <x v="0"/>
    <x v="5"/>
    <s v="Mortgage"/>
    <n v="0"/>
    <n v="0"/>
    <n v="10849.893600000001"/>
    <n v="7920.4223280000006"/>
    <n v="6920.4223280000006"/>
  </r>
  <r>
    <s v="TXN00004690"/>
    <s v="A00001928"/>
    <s v="PLC00004918"/>
    <d v="2018-10-11T00:00:00"/>
    <d v="2020-11-21T00:00:00"/>
    <d v="2020-11-26T00:00:00"/>
    <n v="5"/>
    <n v="129"/>
    <n v="1548"/>
    <n v="8000"/>
    <s v="A"/>
    <n v="8000"/>
    <n v="7.33"/>
    <s v="Minor Loss"/>
    <n v="88"/>
    <n v="50"/>
    <n v="1"/>
    <n v="6"/>
    <s v="M"/>
    <x v="0"/>
    <x v="0"/>
    <s v="Mortgage"/>
    <n v="1"/>
    <n v="0"/>
    <n v="11346.84"/>
    <n v="8283.1931999999997"/>
    <n v="283.19319999999971"/>
  </r>
  <r>
    <s v="TXN00004711"/>
    <s v="A00005851"/>
    <s v="PLC00000327"/>
    <d v="2013-09-26T00:00:00"/>
    <d v="2020-12-05T00:00:00"/>
    <d v="2020-12-05T00:00:00"/>
    <n v="0"/>
    <n v="118.76"/>
    <n v="1425.12"/>
    <n v="10000"/>
    <s v="A"/>
    <n v="10000"/>
    <n v="0.57999999999999996"/>
    <s v="Minor Loss"/>
    <n v="7"/>
    <n v="54"/>
    <n v="0"/>
    <n v="5"/>
    <s v="M"/>
    <x v="2"/>
    <x v="4"/>
    <s v="Mortgage"/>
    <n v="0"/>
    <n v="1"/>
    <n v="826.56959999999992"/>
    <n v="603.39580799999987"/>
    <n v="-9396.6041920000007"/>
  </r>
  <r>
    <s v="TXN00004716"/>
    <s v="A00001533"/>
    <s v="PLC00001167"/>
    <d v="2012-05-22T00:00:00"/>
    <d v="2020-12-05T00:00:00"/>
    <d v="2020-12-05T00:00:00"/>
    <n v="0"/>
    <n v="128.51"/>
    <n v="1542.12"/>
    <n v="5000"/>
    <s v="A"/>
    <n v="5000"/>
    <n v="9.92"/>
    <s v="Major Loss"/>
    <n v="119"/>
    <n v="35"/>
    <n v="1"/>
    <n v="2"/>
    <s v="H"/>
    <x v="0"/>
    <x v="0"/>
    <s v="Rent"/>
    <n v="1"/>
    <n v="0"/>
    <n v="15297.830399999999"/>
    <n v="11167.416191999999"/>
    <n v="6167.4161919999988"/>
  </r>
  <r>
    <s v="TXN00004723"/>
    <s v="A00003053"/>
    <s v="PLC00004612"/>
    <d v="2010-11-04T00:00:00"/>
    <d v="2020-11-24T00:00:00"/>
    <d v="2020-11-29T00:00:00"/>
    <n v="5"/>
    <n v="88.95"/>
    <n v="1067.4000000000001"/>
    <n v="4000"/>
    <s v="A"/>
    <n v="4000"/>
    <n v="6.25"/>
    <s v="Total Loss"/>
    <n v="75"/>
    <n v="51"/>
    <n v="1"/>
    <n v="5"/>
    <s v="M"/>
    <x v="0"/>
    <x v="1"/>
    <s v="Rent"/>
    <n v="0"/>
    <n v="1"/>
    <n v="6671.2500000000009"/>
    <n v="4870.0125000000007"/>
    <n v="870.01250000000073"/>
  </r>
  <r>
    <s v="TXN00004725"/>
    <s v="A00002859"/>
    <s v="PLC00001216"/>
    <d v="2016-12-10T00:00:00"/>
    <d v="2020-11-24T00:00:00"/>
    <d v="2020-11-29T00:00:00"/>
    <n v="5"/>
    <n v="136.6"/>
    <n v="1639.2"/>
    <n v="10000"/>
    <s v="A"/>
    <n v="10000"/>
    <n v="1.17"/>
    <s v="Major Loss"/>
    <n v="14"/>
    <n v="35"/>
    <n v="0"/>
    <n v="6"/>
    <s v="M"/>
    <x v="2"/>
    <x v="6"/>
    <s v="Mortgage"/>
    <n v="1"/>
    <n v="1"/>
    <n v="1917.864"/>
    <n v="1400.04072"/>
    <n v="-8599.9592799999991"/>
  </r>
  <r>
    <s v="TXN00004726"/>
    <s v="A00006052"/>
    <s v="PLC00005457"/>
    <d v="2014-10-14T00:00:00"/>
    <d v="2020-11-29T00:00:00"/>
    <d v="2020-12-02T00:00:00"/>
    <n v="3"/>
    <n v="118.69"/>
    <n v="1424.28"/>
    <n v="7000"/>
    <s v="A"/>
    <n v="7000"/>
    <n v="1.67"/>
    <s v="Total Loss"/>
    <n v="20"/>
    <n v="64"/>
    <n v="1"/>
    <n v="4"/>
    <s v="M"/>
    <x v="1"/>
    <x v="3"/>
    <s v="Own"/>
    <n v="1"/>
    <n v="0"/>
    <n v="2378.5475999999999"/>
    <n v="1736.3397479999999"/>
    <n v="-5263.6602519999997"/>
  </r>
  <r>
    <s v="TXN00004727"/>
    <s v="A00003434"/>
    <s v="PLC00001450"/>
    <d v="2015-02-14T00:00:00"/>
    <d v="2020-11-21T00:00:00"/>
    <d v="2020-11-26T00:00:00"/>
    <n v="5"/>
    <n v="72.92"/>
    <n v="875.04"/>
    <n v="3000"/>
    <s v="A"/>
    <n v="3000"/>
    <n v="5"/>
    <s v="Total Loss"/>
    <n v="60"/>
    <n v="48"/>
    <n v="1"/>
    <n v="4"/>
    <s v="L"/>
    <x v="2"/>
    <x v="1"/>
    <s v="Own"/>
    <n v="1"/>
    <n v="1"/>
    <n v="4375.2"/>
    <n v="3193.8959999999997"/>
    <n v="193.89599999999973"/>
  </r>
  <r>
    <s v="TXN00004736"/>
    <s v="A00006200"/>
    <s v="PLC00000793"/>
    <d v="2011-03-18T00:00:00"/>
    <d v="2020-11-26T00:00:00"/>
    <d v="2020-12-01T00:00:00"/>
    <n v="5"/>
    <n v="137.26"/>
    <n v="1647.12"/>
    <n v="8000"/>
    <s v="A"/>
    <n v="8000"/>
    <n v="5"/>
    <s v="Major Loss"/>
    <n v="60"/>
    <n v="48"/>
    <n v="1"/>
    <n v="2"/>
    <s v="L"/>
    <x v="0"/>
    <x v="4"/>
    <s v="Own"/>
    <n v="1"/>
    <n v="1"/>
    <n v="8235.5999999999985"/>
    <n v="6011.9879999999985"/>
    <n v="-1988.0120000000015"/>
  </r>
  <r>
    <s v="TXN00004737"/>
    <s v="A00002709"/>
    <s v="PLC00004108"/>
    <d v="2011-12-21T00:00:00"/>
    <d v="2020-11-19T00:00:00"/>
    <d v="2020-11-24T00:00:00"/>
    <n v="5"/>
    <n v="74.599999999999994"/>
    <n v="895.2"/>
    <n v="9000"/>
    <s v="A"/>
    <n v="9000"/>
    <n v="1.67"/>
    <s v="Major Loss"/>
    <n v="20"/>
    <n v="37"/>
    <n v="1"/>
    <n v="4"/>
    <s v="M"/>
    <x v="0"/>
    <x v="2"/>
    <s v="Own"/>
    <n v="1"/>
    <n v="1"/>
    <n v="1494.9839999999999"/>
    <n v="1091.3383199999998"/>
    <n v="-7908.6616800000002"/>
  </r>
  <r>
    <s v="TXN00004741"/>
    <s v="A00007439"/>
    <s v="PLC00004638"/>
    <d v="2012-01-02T00:00:00"/>
    <d v="2020-11-30T00:00:00"/>
    <d v="2020-12-03T00:00:00"/>
    <n v="3"/>
    <n v="105.39"/>
    <n v="1264.68"/>
    <n v="5000"/>
    <s v="A"/>
    <n v="5000"/>
    <n v="8.75"/>
    <s v="Major Loss"/>
    <n v="105"/>
    <n v="25"/>
    <n v="1"/>
    <n v="2"/>
    <s v="L"/>
    <x v="2"/>
    <x v="1"/>
    <s v="Own"/>
    <n v="1"/>
    <n v="1"/>
    <n v="11065.95"/>
    <n v="8078.1435000000001"/>
    <n v="3078.1435000000001"/>
  </r>
  <r>
    <s v="TXN00004742"/>
    <s v="A00005775"/>
    <s v="PLC00007312"/>
    <d v="2010-12-16T00:00:00"/>
    <d v="2020-11-19T00:00:00"/>
    <d v="2020-11-24T00:00:00"/>
    <n v="5"/>
    <n v="101.59"/>
    <n v="1219.08"/>
    <n v="10000"/>
    <s v="A"/>
    <n v="10000"/>
    <n v="6.08"/>
    <s v="Major Loss"/>
    <n v="73"/>
    <n v="36"/>
    <n v="0"/>
    <n v="6"/>
    <s v="M"/>
    <x v="1"/>
    <x v="2"/>
    <s v="Mortgage"/>
    <n v="1"/>
    <n v="1"/>
    <n v="7412.0063999999993"/>
    <n v="5410.7646719999993"/>
    <n v="-4589.2353280000007"/>
  </r>
  <r>
    <s v="TXN00004745"/>
    <s v="A00002005"/>
    <s v="PLC00003288"/>
    <d v="2011-01-05T00:00:00"/>
    <d v="2020-12-02T00:00:00"/>
    <d v="2020-12-04T00:00:00"/>
    <n v="2"/>
    <n v="94.61"/>
    <n v="1135.32"/>
    <n v="7000"/>
    <s v="A"/>
    <n v="7000"/>
    <n v="7.08"/>
    <s v="Total Loss"/>
    <n v="85"/>
    <n v="55"/>
    <n v="0"/>
    <n v="2"/>
    <s v="L"/>
    <x v="2"/>
    <x v="4"/>
    <s v="Rent"/>
    <n v="0"/>
    <n v="1"/>
    <n v="8038.0655999999999"/>
    <n v="5867.7878879999998"/>
    <n v="-1132.2121120000002"/>
  </r>
  <r>
    <s v="TXN00004752"/>
    <s v="A00009487"/>
    <s v="PLC00009293"/>
    <d v="2013-05-15T00:00:00"/>
    <d v="2020-11-20T00:00:00"/>
    <d v="2020-11-25T00:00:00"/>
    <n v="5"/>
    <n v="90.18"/>
    <n v="1082.1600000000001"/>
    <n v="1000"/>
    <s v="A"/>
    <n v="1000"/>
    <n v="6.08"/>
    <s v="Total Loss"/>
    <n v="73"/>
    <n v="59"/>
    <n v="0"/>
    <n v="4"/>
    <s v="L"/>
    <x v="2"/>
    <x v="0"/>
    <s v="Own"/>
    <n v="1"/>
    <n v="1"/>
    <n v="6579.5328000000009"/>
    <n v="4803.0589440000003"/>
    <n v="3803.0589440000003"/>
  </r>
  <r>
    <s v="TXN00004757"/>
    <s v="A00008990"/>
    <s v="PLC00002229"/>
    <d v="2010-07-26T00:00:00"/>
    <d v="2020-12-02T00:00:00"/>
    <d v="2020-12-04T00:00:00"/>
    <n v="2"/>
    <n v="126.58"/>
    <n v="1518.96"/>
    <n v="6000"/>
    <s v="A"/>
    <n v="6000"/>
    <n v="9.5"/>
    <s v="Minor Loss"/>
    <n v="114"/>
    <n v="46"/>
    <n v="0"/>
    <n v="2"/>
    <s v="L"/>
    <x v="0"/>
    <x v="1"/>
    <s v="Rent"/>
    <n v="1"/>
    <n v="1"/>
    <n v="14430.12"/>
    <n v="10533.9876"/>
    <n v="4533.9876000000004"/>
  </r>
  <r>
    <s v="TXN00004758"/>
    <s v="A00002273"/>
    <s v="PLC00001683"/>
    <d v="2014-02-17T00:00:00"/>
    <d v="2020-11-30T00:00:00"/>
    <d v="2020-12-03T00:00:00"/>
    <n v="3"/>
    <n v="72.73"/>
    <n v="872.76"/>
    <n v="2000"/>
    <s v="A"/>
    <n v="2000"/>
    <n v="3.5"/>
    <s v="Minor Loss"/>
    <n v="42"/>
    <n v="40"/>
    <n v="1"/>
    <n v="5"/>
    <s v="M"/>
    <x v="1"/>
    <x v="0"/>
    <s v="Own"/>
    <n v="1"/>
    <n v="1"/>
    <n v="3054.66"/>
    <n v="2229.9017999999996"/>
    <n v="229.90179999999964"/>
  </r>
  <r>
    <s v="TXN00004759"/>
    <s v="A00000821"/>
    <s v="PLC00005470"/>
    <d v="2013-03-15T00:00:00"/>
    <d v="2020-11-19T00:00:00"/>
    <d v="2020-11-24T00:00:00"/>
    <n v="5"/>
    <n v="131.38"/>
    <n v="1576.56"/>
    <n v="6000"/>
    <s v="A"/>
    <n v="6000"/>
    <n v="0.67"/>
    <s v="Total Loss"/>
    <n v="8"/>
    <n v="52"/>
    <n v="1"/>
    <n v="4"/>
    <s v="L"/>
    <x v="1"/>
    <x v="4"/>
    <s v="Mortgage"/>
    <n v="1"/>
    <n v="1"/>
    <n v="1056.2952"/>
    <n v="771.09549600000003"/>
    <n v="-5228.9045040000001"/>
  </r>
  <r>
    <s v="TXN00004763"/>
    <s v="A00001450"/>
    <s v="PLC00007408"/>
    <d v="2017-10-17T00:00:00"/>
    <d v="2020-11-30T00:00:00"/>
    <d v="2020-12-03T00:00:00"/>
    <n v="3"/>
    <n v="139.24"/>
    <n v="1670.88"/>
    <n v="6000"/>
    <s v="A"/>
    <n v="6000"/>
    <n v="5.17"/>
    <s v="Total Loss"/>
    <n v="62"/>
    <n v="32"/>
    <n v="1"/>
    <n v="5"/>
    <s v="H"/>
    <x v="1"/>
    <x v="1"/>
    <s v="Own"/>
    <n v="1"/>
    <n v="0"/>
    <n v="8638.4495999999999"/>
    <n v="6306.0682079999997"/>
    <n v="306.06820799999969"/>
  </r>
  <r>
    <s v="TXN00004768"/>
    <s v="A00000774"/>
    <s v="PLC00007599"/>
    <d v="2019-02-19T00:00:00"/>
    <d v="2020-11-29T00:00:00"/>
    <d v="2020-12-04T00:00:00"/>
    <n v="5"/>
    <n v="138.88"/>
    <n v="1666.56"/>
    <n v="6000"/>
    <s v="A"/>
    <n v="6000"/>
    <n v="5.92"/>
    <s v="Minor Loss"/>
    <n v="71"/>
    <n v="57"/>
    <n v="1"/>
    <n v="4"/>
    <s v="L"/>
    <x v="1"/>
    <x v="1"/>
    <s v="Rent"/>
    <n v="1"/>
    <n v="1"/>
    <n v="9866.0352000000003"/>
    <n v="7202.205696"/>
    <n v="1202.205696"/>
  </r>
  <r>
    <s v="TXN00004774"/>
    <s v="A00007641"/>
    <s v="PLC00000485"/>
    <d v="2013-08-14T00:00:00"/>
    <d v="2020-12-06T00:00:00"/>
    <d v="2020-12-07T00:00:00"/>
    <n v="1"/>
    <n v="79.05"/>
    <n v="948.6"/>
    <n v="10000"/>
    <s v="A"/>
    <n v="10000"/>
    <n v="6.33"/>
    <s v="Minor Loss"/>
    <n v="76"/>
    <n v="31"/>
    <n v="1"/>
    <n v="4"/>
    <s v="L"/>
    <x v="0"/>
    <x v="3"/>
    <s v="Rent"/>
    <n v="1"/>
    <n v="0"/>
    <n v="6004.6379999999999"/>
    <n v="4383.3857399999997"/>
    <n v="-5616.6142600000003"/>
  </r>
  <r>
    <s v="TXN00004776"/>
    <s v="A00004583"/>
    <s v="PLC00009941"/>
    <d v="2011-02-10T00:00:00"/>
    <d v="2020-11-22T00:00:00"/>
    <d v="2020-11-27T00:00:00"/>
    <n v="5"/>
    <n v="86.96"/>
    <n v="1043.52"/>
    <n v="4000"/>
    <s v="A"/>
    <n v="4000"/>
    <n v="5.25"/>
    <s v="Major Loss"/>
    <n v="63"/>
    <n v="57"/>
    <n v="1"/>
    <n v="3"/>
    <s v="L"/>
    <x v="1"/>
    <x v="0"/>
    <s v="Own"/>
    <n v="1"/>
    <n v="0"/>
    <n v="5478.48"/>
    <n v="3999.2903999999994"/>
    <n v="-0.70960000000059154"/>
  </r>
  <r>
    <s v="TXN00004779"/>
    <s v="A00003965"/>
    <s v="PLC00007708"/>
    <d v="2013-11-14T00:00:00"/>
    <d v="2020-11-25T00:00:00"/>
    <d v="2020-11-30T00:00:00"/>
    <n v="5"/>
    <n v="123.49"/>
    <n v="1481.88"/>
    <n v="8000"/>
    <s v="A"/>
    <n v="8000"/>
    <n v="8.17"/>
    <s v="Major Loss"/>
    <n v="98"/>
    <n v="40"/>
    <n v="0"/>
    <n v="2"/>
    <s v="M"/>
    <x v="0"/>
    <x v="3"/>
    <s v="Mortgage"/>
    <n v="1"/>
    <n v="0"/>
    <n v="12106.9596"/>
    <n v="8838.0805079999991"/>
    <n v="838.0805079999991"/>
  </r>
  <r>
    <s v="TXN00004791"/>
    <s v="A00004913"/>
    <s v="PLC00003174"/>
    <d v="2010-08-07T00:00:00"/>
    <d v="2020-12-09T00:00:00"/>
    <d v="2020-12-09T00:00:00"/>
    <n v="0"/>
    <n v="108.22"/>
    <n v="1298.6400000000001"/>
    <n v="7000"/>
    <s v="A"/>
    <n v="7000"/>
    <n v="8.42"/>
    <s v="Minor Loss"/>
    <n v="101"/>
    <n v="43"/>
    <n v="1"/>
    <n v="3"/>
    <s v="L"/>
    <x v="1"/>
    <x v="5"/>
    <s v="Rent"/>
    <n v="1"/>
    <n v="0"/>
    <n v="10934.5488"/>
    <n v="7982.2206240000005"/>
    <n v="982.2206240000005"/>
  </r>
  <r>
    <s v="TXN00004792"/>
    <s v="A00004510"/>
    <s v="PLC00004586"/>
    <d v="2013-12-05T00:00:00"/>
    <d v="2020-12-08T00:00:00"/>
    <d v="2020-12-08T00:00:00"/>
    <n v="0"/>
    <n v="124.09"/>
    <n v="1489.08"/>
    <n v="1000"/>
    <s v="A"/>
    <n v="1000"/>
    <n v="4.83"/>
    <s v="Minor Loss"/>
    <n v="58"/>
    <n v="39"/>
    <n v="0"/>
    <n v="4"/>
    <s v="L"/>
    <x v="0"/>
    <x v="5"/>
    <s v="Own"/>
    <n v="1"/>
    <n v="0"/>
    <n v="7192.2563999999993"/>
    <n v="5250.3471719999998"/>
    <n v="4250.3471719999998"/>
  </r>
  <r>
    <s v="TXN00004812"/>
    <s v="A00006939"/>
    <s v="PLC00009275"/>
    <d v="2019-06-06T00:00:00"/>
    <d v="2020-11-22T00:00:00"/>
    <d v="2020-11-27T00:00:00"/>
    <n v="5"/>
    <n v="133.34"/>
    <n v="1600.08"/>
    <n v="4000"/>
    <s v="A"/>
    <n v="4000"/>
    <n v="0.67"/>
    <s v="Major Loss"/>
    <n v="8"/>
    <n v="36"/>
    <n v="0"/>
    <n v="4"/>
    <s v="L"/>
    <x v="1"/>
    <x v="4"/>
    <s v="Own"/>
    <n v="0"/>
    <n v="1"/>
    <n v="1072.0536"/>
    <n v="782.59912799999995"/>
    <n v="-3217.4008720000002"/>
  </r>
  <r>
    <s v="TXN00004833"/>
    <s v="A00005924"/>
    <s v="PLC00008371"/>
    <d v="2010-12-07T00:00:00"/>
    <d v="2020-12-08T00:00:00"/>
    <d v="2020-12-09T00:00:00"/>
    <n v="1"/>
    <n v="88.62"/>
    <n v="1063.44"/>
    <n v="8000"/>
    <s v="A"/>
    <n v="8000"/>
    <n v="8.08"/>
    <s v="Minor Loss"/>
    <n v="97"/>
    <n v="54"/>
    <n v="1"/>
    <n v="5"/>
    <s v="H"/>
    <x v="0"/>
    <x v="1"/>
    <s v="Own"/>
    <n v="0"/>
    <n v="1"/>
    <n v="8592.5951999999997"/>
    <n v="6272.5944959999997"/>
    <n v="-1727.4055040000003"/>
  </r>
  <r>
    <s v="TXN00004834"/>
    <s v="A00002619"/>
    <s v="PLC00000510"/>
    <d v="2014-02-13T00:00:00"/>
    <d v="2020-12-08T00:00:00"/>
    <d v="2020-12-09T00:00:00"/>
    <n v="1"/>
    <n v="119.21"/>
    <n v="1430.52"/>
    <n v="1000"/>
    <s v="A"/>
    <n v="1000"/>
    <n v="5.33"/>
    <s v="Major Loss"/>
    <n v="64"/>
    <n v="62"/>
    <n v="0"/>
    <n v="3"/>
    <s v="L"/>
    <x v="1"/>
    <x v="1"/>
    <s v="Rent"/>
    <n v="0"/>
    <n v="0"/>
    <n v="7624.6715999999997"/>
    <n v="5566.010268"/>
    <n v="4566.010268"/>
  </r>
  <r>
    <s v="TXN00004835"/>
    <s v="A00004656"/>
    <s v="PLC00006333"/>
    <d v="2013-06-28T00:00:00"/>
    <d v="2020-12-01T00:00:00"/>
    <d v="2020-12-06T00:00:00"/>
    <n v="5"/>
    <n v="139.49"/>
    <n v="1673.88"/>
    <n v="9000"/>
    <s v="A"/>
    <n v="9000"/>
    <n v="7.83"/>
    <s v="Minor Loss"/>
    <n v="94"/>
    <n v="63"/>
    <n v="1"/>
    <n v="2"/>
    <s v="L"/>
    <x v="0"/>
    <x v="1"/>
    <s v="Rent"/>
    <n v="1"/>
    <n v="1"/>
    <n v="13106.4804"/>
    <n v="9567.7306919999992"/>
    <n v="567.73069199999918"/>
  </r>
  <r>
    <s v="TXN00004850"/>
    <s v="A00002403"/>
    <s v="PLC00004804"/>
    <d v="2016-08-21T00:00:00"/>
    <d v="2020-11-24T00:00:00"/>
    <d v="2020-11-29T00:00:00"/>
    <n v="5"/>
    <n v="77.22"/>
    <n v="926.64"/>
    <n v="10000"/>
    <s v="A"/>
    <n v="10000"/>
    <n v="4.17"/>
    <s v="Total Loss"/>
    <n v="50"/>
    <n v="43"/>
    <n v="1"/>
    <n v="4"/>
    <s v="M"/>
    <x v="0"/>
    <x v="1"/>
    <s v="Rent"/>
    <n v="1"/>
    <n v="1"/>
    <n v="3864.0888"/>
    <n v="2820.7848239999998"/>
    <n v="-7179.2151759999997"/>
  </r>
  <r>
    <s v="TXN00004853"/>
    <s v="A00008136"/>
    <s v="PLC00003825"/>
    <d v="2011-03-12T00:00:00"/>
    <d v="2020-12-06T00:00:00"/>
    <d v="2020-12-08T00:00:00"/>
    <n v="2"/>
    <n v="102.47"/>
    <n v="1229.6400000000001"/>
    <n v="2000"/>
    <s v="A"/>
    <n v="2000"/>
    <n v="1.67"/>
    <s v="Total Loss"/>
    <n v="20"/>
    <n v="43"/>
    <n v="0"/>
    <n v="4"/>
    <s v="M"/>
    <x v="0"/>
    <x v="1"/>
    <s v="Rent"/>
    <n v="1"/>
    <n v="1"/>
    <n v="2053.4988000000003"/>
    <n v="1499.0541240000002"/>
    <n v="-500.94587599999977"/>
  </r>
  <r>
    <s v="TXN00004856"/>
    <s v="A00006787"/>
    <s v="PLC00003429"/>
    <d v="2011-06-23T00:00:00"/>
    <d v="2020-12-07T00:00:00"/>
    <d v="2020-12-08T00:00:00"/>
    <n v="1"/>
    <n v="85.24"/>
    <n v="1022.88"/>
    <n v="2000"/>
    <s v="A"/>
    <n v="2000"/>
    <n v="3.83"/>
    <s v="Total Loss"/>
    <n v="46"/>
    <n v="44"/>
    <n v="1"/>
    <n v="3"/>
    <s v="L"/>
    <x v="0"/>
    <x v="1"/>
    <s v="Rent"/>
    <n v="1"/>
    <n v="1"/>
    <n v="3917.6304"/>
    <n v="2859.8701919999999"/>
    <n v="859.87019199999986"/>
  </r>
  <r>
    <s v="TXN00004857"/>
    <s v="A00008434"/>
    <s v="PLC00005319"/>
    <d v="2018-04-06T00:00:00"/>
    <d v="2020-12-01T00:00:00"/>
    <d v="2020-12-06T00:00:00"/>
    <n v="5"/>
    <n v="131.91"/>
    <n v="1582.92"/>
    <n v="3000"/>
    <s v="A"/>
    <n v="3000"/>
    <n v="7.92"/>
    <s v="Minor Loss"/>
    <n v="95"/>
    <n v="28"/>
    <n v="1"/>
    <n v="5"/>
    <s v="L"/>
    <x v="0"/>
    <x v="4"/>
    <s v="Rent"/>
    <n v="1"/>
    <n v="1"/>
    <n v="12536.7264"/>
    <n v="9151.8102719999988"/>
    <n v="6151.8102719999988"/>
  </r>
  <r>
    <s v="TXN00004858"/>
    <s v="A00006033"/>
    <s v="PLC00006347"/>
    <d v="2013-03-17T00:00:00"/>
    <d v="2020-11-26T00:00:00"/>
    <d v="2020-12-01T00:00:00"/>
    <n v="5"/>
    <n v="128.69999999999999"/>
    <n v="1544.4"/>
    <n v="4000"/>
    <s v="A"/>
    <n v="4000"/>
    <n v="8.17"/>
    <s v="Total Loss"/>
    <n v="98"/>
    <n v="37"/>
    <n v="0"/>
    <n v="3"/>
    <s v="M"/>
    <x v="1"/>
    <x v="0"/>
    <s v="Rent"/>
    <n v="0"/>
    <n v="0"/>
    <n v="12617.748000000001"/>
    <n v="9210.9560400000009"/>
    <n v="5210.9560400000009"/>
  </r>
  <r>
    <s v="TXN00004863"/>
    <s v="A00003878"/>
    <s v="PLC00001010"/>
    <d v="2010-11-15T00:00:00"/>
    <d v="2020-12-02T00:00:00"/>
    <d v="2020-12-07T00:00:00"/>
    <n v="5"/>
    <n v="79.47"/>
    <n v="953.64"/>
    <n v="7000"/>
    <s v="A"/>
    <n v="7000"/>
    <n v="5.5"/>
    <s v="Total Loss"/>
    <n v="66"/>
    <n v="43"/>
    <n v="1"/>
    <n v="7"/>
    <s v="L"/>
    <x v="0"/>
    <x v="0"/>
    <s v="Mortgage"/>
    <n v="0"/>
    <n v="1"/>
    <n v="5245.0199999999995"/>
    <n v="3828.8645999999994"/>
    <n v="-3171.1354000000006"/>
  </r>
  <r>
    <s v="TXN00004871"/>
    <s v="A00004319"/>
    <s v="PLC00007718"/>
    <d v="2014-07-31T00:00:00"/>
    <d v="2020-12-08T00:00:00"/>
    <d v="2020-12-09T00:00:00"/>
    <n v="1"/>
    <n v="85.31"/>
    <n v="1023.72"/>
    <n v="7000"/>
    <s v="A"/>
    <n v="7000"/>
    <n v="6.5"/>
    <s v="Major Loss"/>
    <n v="78"/>
    <n v="25"/>
    <n v="1"/>
    <n v="5"/>
    <s v="H"/>
    <x v="0"/>
    <x v="1"/>
    <s v="Mortgage"/>
    <n v="1"/>
    <n v="1"/>
    <n v="6654.18"/>
    <n v="4857.5514000000003"/>
    <n v="-2142.4485999999997"/>
  </r>
  <r>
    <s v="TXN00004874"/>
    <s v="A00007860"/>
    <s v="PLC00000391"/>
    <d v="2019-05-23T00:00:00"/>
    <d v="2020-12-01T00:00:00"/>
    <d v="2020-12-06T00:00:00"/>
    <n v="5"/>
    <n v="79.52"/>
    <n v="954.24"/>
    <n v="8000"/>
    <s v="A"/>
    <n v="8000"/>
    <n v="8.5"/>
    <s v="Major Loss"/>
    <n v="102"/>
    <n v="47"/>
    <n v="0"/>
    <n v="2"/>
    <s v="L"/>
    <x v="0"/>
    <x v="6"/>
    <s v="Mortgage"/>
    <n v="1"/>
    <n v="1"/>
    <n v="8111.04"/>
    <n v="5921.0591999999997"/>
    <n v="-2078.9408000000003"/>
  </r>
  <r>
    <s v="TXN00004878"/>
    <s v="A00001324"/>
    <s v="PLC00004211"/>
    <d v="2012-03-09T00:00:00"/>
    <d v="2020-11-28T00:00:00"/>
    <d v="2020-12-03T00:00:00"/>
    <n v="5"/>
    <n v="77.739999999999995"/>
    <n v="932.88"/>
    <n v="10000"/>
    <s v="A"/>
    <n v="10000"/>
    <n v="4.92"/>
    <s v="Total Loss"/>
    <n v="59"/>
    <n v="34"/>
    <n v="1"/>
    <n v="7"/>
    <s v="H"/>
    <x v="0"/>
    <x v="0"/>
    <s v="Mortgage"/>
    <n v="1"/>
    <n v="1"/>
    <n v="4589.7695999999996"/>
    <n v="3350.5318079999997"/>
    <n v="-6649.4681920000003"/>
  </r>
  <r>
    <s v="TXN00004879"/>
    <s v="A00002908"/>
    <s v="PLC00003811"/>
    <d v="2018-01-31T00:00:00"/>
    <d v="2020-11-25T00:00:00"/>
    <d v="2020-11-30T00:00:00"/>
    <n v="5"/>
    <n v="124.27"/>
    <n v="1491.24"/>
    <n v="5000"/>
    <s v="A"/>
    <n v="5000"/>
    <n v="2.08"/>
    <s v="Major Loss"/>
    <n v="25"/>
    <n v="40"/>
    <n v="1"/>
    <n v="5"/>
    <s v="L"/>
    <x v="0"/>
    <x v="0"/>
    <s v="Rent"/>
    <n v="1"/>
    <n v="1"/>
    <n v="3101.7791999999999"/>
    <n v="2264.298816"/>
    <n v="-2735.701184"/>
  </r>
  <r>
    <s v="TXN00004890"/>
    <s v="A00009031"/>
    <s v="PLC00009511"/>
    <d v="2019-12-08T00:00:00"/>
    <d v="2020-12-02T00:00:00"/>
    <d v="2020-12-07T00:00:00"/>
    <n v="5"/>
    <n v="138.26"/>
    <n v="1659.12"/>
    <n v="10000"/>
    <s v="A"/>
    <n v="10000"/>
    <n v="3.58"/>
    <s v="Minor Loss"/>
    <n v="43"/>
    <n v="48"/>
    <n v="1"/>
    <n v="3"/>
    <s v="L"/>
    <x v="0"/>
    <x v="0"/>
    <s v="Own"/>
    <n v="0"/>
    <n v="1"/>
    <n v="5939.6495999999997"/>
    <n v="4335.9442079999999"/>
    <n v="-5664.0557920000001"/>
  </r>
  <r>
    <s v="TXN00004891"/>
    <s v="A00009004"/>
    <s v="PLC00009718"/>
    <d v="2017-09-02T00:00:00"/>
    <d v="2020-12-09T00:00:00"/>
    <d v="2020-12-10T00:00:00"/>
    <n v="1"/>
    <n v="79.22"/>
    <n v="950.64"/>
    <n v="5000"/>
    <s v="A"/>
    <n v="5000"/>
    <n v="8.83"/>
    <s v="Minor Loss"/>
    <n v="106"/>
    <n v="43"/>
    <n v="0"/>
    <n v="6"/>
    <s v="M"/>
    <x v="0"/>
    <x v="1"/>
    <s v="Own"/>
    <n v="1"/>
    <n v="0"/>
    <n v="8394.1512000000002"/>
    <n v="6127.7303760000004"/>
    <n v="1127.7303760000004"/>
  </r>
  <r>
    <s v="TXN00004895"/>
    <s v="A00005235"/>
    <s v="PLC00002451"/>
    <d v="2017-07-22T00:00:00"/>
    <d v="2020-12-09T00:00:00"/>
    <d v="2020-12-10T00:00:00"/>
    <n v="1"/>
    <n v="127.42"/>
    <n v="1529.04"/>
    <n v="3000"/>
    <s v="A"/>
    <n v="3000"/>
    <n v="1.92"/>
    <s v="Minor Loss"/>
    <n v="23"/>
    <n v="63"/>
    <n v="1"/>
    <n v="4"/>
    <s v="H"/>
    <x v="1"/>
    <x v="5"/>
    <s v="Own"/>
    <n v="1"/>
    <n v="1"/>
    <n v="2935.7567999999997"/>
    <n v="2143.1024639999996"/>
    <n v="-856.8975360000004"/>
  </r>
  <r>
    <s v="TXN00004903"/>
    <s v="A00007660"/>
    <s v="PLC00004476"/>
    <d v="2013-08-07T00:00:00"/>
    <d v="2020-12-13T00:00:00"/>
    <d v="2020-12-13T00:00:00"/>
    <n v="0"/>
    <n v="110.27"/>
    <n v="1323.24"/>
    <n v="8000"/>
    <s v="A"/>
    <n v="8000"/>
    <n v="1.58"/>
    <s v="Major Loss"/>
    <n v="19"/>
    <n v="53"/>
    <n v="1"/>
    <n v="4"/>
    <s v="M"/>
    <x v="0"/>
    <x v="0"/>
    <s v="Mortgage"/>
    <n v="1"/>
    <n v="1"/>
    <n v="2090.7192"/>
    <n v="1526.2250159999999"/>
    <n v="-6473.7749839999997"/>
  </r>
  <r>
    <s v="TXN00004912"/>
    <s v="A00009980"/>
    <s v="PLC00007464"/>
    <d v="2017-04-18T00:00:00"/>
    <d v="2020-11-25T00:00:00"/>
    <d v="2020-11-30T00:00:00"/>
    <n v="5"/>
    <n v="111.74"/>
    <n v="1340.88"/>
    <n v="2000"/>
    <s v="A"/>
    <n v="2000"/>
    <n v="3.58"/>
    <s v="Total Loss"/>
    <n v="43"/>
    <n v="53"/>
    <n v="0"/>
    <n v="2"/>
    <s v="L"/>
    <x v="1"/>
    <x v="1"/>
    <s v="Mortgage"/>
    <n v="1"/>
    <n v="1"/>
    <n v="4800.3504000000003"/>
    <n v="3504.2557919999999"/>
    <n v="1504.2557919999999"/>
  </r>
  <r>
    <s v="TXN00004914"/>
    <s v="A00006783"/>
    <s v="PLC00000382"/>
    <d v="2013-02-19T00:00:00"/>
    <d v="2020-12-14T00:00:00"/>
    <d v="2020-12-14T00:00:00"/>
    <n v="0"/>
    <n v="101.1"/>
    <n v="1213.2"/>
    <n v="6000"/>
    <s v="A"/>
    <n v="6000"/>
    <n v="1.58"/>
    <s v="Major Loss"/>
    <n v="19"/>
    <n v="60"/>
    <n v="0"/>
    <n v="4"/>
    <s v="M"/>
    <x v="1"/>
    <x v="5"/>
    <s v="Mortgage"/>
    <n v="1"/>
    <n v="0"/>
    <n v="1916.8560000000002"/>
    <n v="1399.3048800000001"/>
    <n v="-4600.6951200000003"/>
  </r>
  <r>
    <s v="TXN00004934"/>
    <s v="A00009455"/>
    <s v="PLC00001532"/>
    <d v="2015-11-10T00:00:00"/>
    <d v="2020-11-30T00:00:00"/>
    <d v="2020-12-05T00:00:00"/>
    <n v="5"/>
    <n v="124.86"/>
    <n v="1498.32"/>
    <n v="7000"/>
    <s v="A"/>
    <n v="7000"/>
    <n v="6.33"/>
    <s v="Minor Loss"/>
    <n v="76"/>
    <n v="39"/>
    <n v="1"/>
    <n v="6"/>
    <s v="M"/>
    <x v="0"/>
    <x v="0"/>
    <s v="Rent"/>
    <n v="0"/>
    <n v="0"/>
    <n v="9484.3655999999992"/>
    <n v="6923.5868879999989"/>
    <n v="-76.413112000001092"/>
  </r>
  <r>
    <s v="TXN00004938"/>
    <s v="A00003343"/>
    <s v="PLC00001677"/>
    <d v="2017-06-13T00:00:00"/>
    <d v="2020-11-25T00:00:00"/>
    <d v="2020-11-30T00:00:00"/>
    <n v="5"/>
    <n v="95.01"/>
    <n v="1140.1199999999999"/>
    <n v="5000"/>
    <s v="A"/>
    <n v="5000"/>
    <n v="2.75"/>
    <s v="Total Loss"/>
    <n v="33"/>
    <n v="50"/>
    <n v="1"/>
    <n v="3"/>
    <s v="M"/>
    <x v="0"/>
    <x v="1"/>
    <s v="Mortgage"/>
    <n v="1"/>
    <n v="1"/>
    <n v="3135.33"/>
    <n v="2288.7909"/>
    <n v="-2711.2091"/>
  </r>
  <r>
    <s v="TXN00004946"/>
    <s v="A00007636"/>
    <s v="PLC00006320"/>
    <d v="2010-11-14T00:00:00"/>
    <d v="2020-12-06T00:00:00"/>
    <d v="2020-12-09T00:00:00"/>
    <n v="3"/>
    <n v="99.24"/>
    <n v="1190.8800000000001"/>
    <n v="10000"/>
    <s v="A"/>
    <n v="10000"/>
    <n v="6.25"/>
    <s v="Minor Loss"/>
    <n v="75"/>
    <n v="27"/>
    <n v="1"/>
    <n v="5"/>
    <s v="L"/>
    <x v="1"/>
    <x v="1"/>
    <s v="Own"/>
    <n v="1"/>
    <n v="0"/>
    <n v="7443.0000000000009"/>
    <n v="5433.39"/>
    <n v="-4566.6099999999997"/>
  </r>
  <r>
    <s v="TXN00004951"/>
    <s v="A00004512"/>
    <s v="PLC00005125"/>
    <d v="2012-08-26T00:00:00"/>
    <d v="2020-12-15T00:00:00"/>
    <d v="2020-12-15T00:00:00"/>
    <n v="0"/>
    <n v="102.45"/>
    <n v="1229.4000000000001"/>
    <n v="7000"/>
    <s v="D"/>
    <n v="0"/>
    <n v="6.25"/>
    <s v="Minor Loss"/>
    <n v="75"/>
    <n v="41"/>
    <n v="0"/>
    <n v="7"/>
    <s v="M"/>
    <x v="0"/>
    <x v="3"/>
    <s v="Mortgage"/>
    <n v="1"/>
    <n v="1"/>
    <n v="7683.7500000000009"/>
    <n v="5609.1375000000007"/>
    <n v="5609.1375000000007"/>
  </r>
  <r>
    <s v="TXN00004953"/>
    <s v="A00004364"/>
    <s v="PLC00008623"/>
    <d v="2010-06-29T00:00:00"/>
    <d v="2020-12-05T00:00:00"/>
    <d v="2020-12-10T00:00:00"/>
    <n v="5"/>
    <n v="72.87"/>
    <n v="874.44"/>
    <n v="2000"/>
    <s v="A"/>
    <n v="2000"/>
    <n v="4.17"/>
    <s v="Total Loss"/>
    <n v="50"/>
    <n v="30"/>
    <n v="0"/>
    <n v="6"/>
    <s v="M"/>
    <x v="1"/>
    <x v="0"/>
    <s v="Rent"/>
    <n v="1"/>
    <n v="1"/>
    <n v="3646.4148"/>
    <n v="2661.8828039999999"/>
    <n v="661.88280399999985"/>
  </r>
  <r>
    <s v="TXN00004962"/>
    <s v="A00009068"/>
    <s v="PLC00002050"/>
    <d v="2016-07-21T00:00:00"/>
    <d v="2020-11-26T00:00:00"/>
    <d v="2020-12-01T00:00:00"/>
    <n v="5"/>
    <n v="85.78"/>
    <n v="1029.3599999999999"/>
    <n v="8000"/>
    <s v="D"/>
    <n v="0"/>
    <n v="1.5"/>
    <s v="Major Loss"/>
    <n v="18"/>
    <n v="42"/>
    <n v="1"/>
    <n v="3"/>
    <s v="M"/>
    <x v="0"/>
    <x v="1"/>
    <s v="Mortgage"/>
    <n v="0"/>
    <n v="1"/>
    <n v="1544.04"/>
    <n v="1127.1491999999998"/>
    <n v="1127.1491999999998"/>
  </r>
  <r>
    <s v="TXN00004969"/>
    <s v="A00003205"/>
    <s v="PLC00005128"/>
    <d v="2017-05-14T00:00:00"/>
    <d v="2020-12-04T00:00:00"/>
    <d v="2020-12-09T00:00:00"/>
    <n v="5"/>
    <n v="72.31"/>
    <n v="867.72"/>
    <n v="6000"/>
    <s v="A"/>
    <n v="6000"/>
    <n v="3.17"/>
    <s v="Minor Loss"/>
    <n v="38"/>
    <n v="55"/>
    <n v="1"/>
    <n v="4"/>
    <s v="L"/>
    <x v="2"/>
    <x v="3"/>
    <s v="Own"/>
    <n v="1"/>
    <n v="1"/>
    <n v="2750.6723999999999"/>
    <n v="2007.9908519999999"/>
    <n v="-3992.0091480000001"/>
  </r>
  <r>
    <s v="TXN00004971"/>
    <s v="A00003677"/>
    <s v="PLC00008041"/>
    <d v="2017-08-25T00:00:00"/>
    <d v="2020-12-06T00:00:00"/>
    <d v="2020-12-11T00:00:00"/>
    <n v="5"/>
    <n v="84.16"/>
    <n v="1009.92"/>
    <n v="9000"/>
    <s v="A"/>
    <n v="9000"/>
    <n v="6"/>
    <s v="Total Loss"/>
    <n v="72"/>
    <n v="55"/>
    <n v="1"/>
    <n v="5"/>
    <s v="L"/>
    <x v="0"/>
    <x v="0"/>
    <s v="Own"/>
    <n v="1"/>
    <n v="1"/>
    <n v="6059.5199999999995"/>
    <n v="4423.4495999999999"/>
    <n v="-4576.5504000000001"/>
  </r>
  <r>
    <s v="TXN00004973"/>
    <s v="A00007392"/>
    <s v="PLC00009207"/>
    <d v="2012-11-20T00:00:00"/>
    <d v="2020-12-14T00:00:00"/>
    <d v="2020-12-14T00:00:00"/>
    <n v="0"/>
    <n v="135.85"/>
    <n v="1630.2"/>
    <n v="8000"/>
    <s v="A"/>
    <n v="8000"/>
    <n v="3"/>
    <s v="Major Loss"/>
    <n v="36"/>
    <n v="54"/>
    <n v="1"/>
    <n v="6"/>
    <s v="M"/>
    <x v="0"/>
    <x v="1"/>
    <s v="Rent"/>
    <n v="0"/>
    <n v="1"/>
    <n v="4890.6000000000004"/>
    <n v="3570.1380000000004"/>
    <n v="-4429.8619999999992"/>
  </r>
  <r>
    <s v="TXN00004975"/>
    <s v="A00005893"/>
    <s v="PLC00005924"/>
    <d v="2014-01-23T00:00:00"/>
    <d v="2020-12-09T00:00:00"/>
    <d v="2020-12-12T00:00:00"/>
    <n v="3"/>
    <n v="97.31"/>
    <n v="1167.72"/>
    <n v="2000"/>
    <s v="A"/>
    <n v="2000"/>
    <n v="4"/>
    <s v="Total Loss"/>
    <n v="48"/>
    <n v="31"/>
    <n v="0"/>
    <n v="5"/>
    <s v="H"/>
    <x v="1"/>
    <x v="3"/>
    <s v="Mortgage"/>
    <n v="1"/>
    <n v="1"/>
    <n v="4670.88"/>
    <n v="3409.7424000000001"/>
    <n v="1409.7424000000001"/>
  </r>
  <r>
    <s v="TXN00004979"/>
    <s v="A00009615"/>
    <s v="PLC00009200"/>
    <d v="2017-08-15T00:00:00"/>
    <d v="2020-12-06T00:00:00"/>
    <d v="2020-12-11T00:00:00"/>
    <n v="5"/>
    <n v="130.82"/>
    <n v="1569.84"/>
    <n v="3000"/>
    <s v="A"/>
    <n v="3000"/>
    <n v="8.67"/>
    <s v="Total Loss"/>
    <n v="104"/>
    <n v="27"/>
    <n v="0"/>
    <n v="5"/>
    <s v="L"/>
    <x v="0"/>
    <x v="1"/>
    <s v="Own"/>
    <n v="0"/>
    <n v="0"/>
    <n v="13610.512799999999"/>
    <n v="9935.6743439999991"/>
    <n v="6935.6743439999991"/>
  </r>
  <r>
    <s v="TXN00004981"/>
    <s v="A00003845"/>
    <s v="PLC00004006"/>
    <d v="2018-05-16T00:00:00"/>
    <d v="2020-12-16T00:00:00"/>
    <d v="2020-12-16T00:00:00"/>
    <n v="0"/>
    <n v="108.94"/>
    <n v="1307.28"/>
    <n v="9000"/>
    <s v="A"/>
    <n v="9000"/>
    <n v="5.42"/>
    <s v="Total Loss"/>
    <n v="65"/>
    <n v="47"/>
    <n v="0"/>
    <n v="4"/>
    <s v="L"/>
    <x v="0"/>
    <x v="6"/>
    <s v="Own"/>
    <n v="0"/>
    <n v="1"/>
    <n v="7085.4575999999997"/>
    <n v="5172.3840479999999"/>
    <n v="-3827.6159520000001"/>
  </r>
  <r>
    <s v="TXN00004988"/>
    <s v="A00007118"/>
    <s v="PLC00006204"/>
    <d v="2016-12-03T00:00:00"/>
    <d v="2020-12-16T00:00:00"/>
    <d v="2020-12-16T00:00:00"/>
    <n v="0"/>
    <n v="139"/>
    <n v="1668"/>
    <n v="1000"/>
    <s v="A"/>
    <n v="1000"/>
    <n v="7"/>
    <s v="Major Loss"/>
    <n v="84"/>
    <n v="55"/>
    <n v="1"/>
    <n v="6"/>
    <s v="L"/>
    <x v="0"/>
    <x v="2"/>
    <s v="Own"/>
    <n v="1"/>
    <n v="0"/>
    <n v="11676"/>
    <n v="8523.48"/>
    <n v="7523.48"/>
  </r>
  <r>
    <s v="TXN00004990"/>
    <s v="A00004037"/>
    <s v="PLC00001569"/>
    <d v="2013-10-17T00:00:00"/>
    <d v="2020-12-11T00:00:00"/>
    <d v="2020-12-13T00:00:00"/>
    <n v="2"/>
    <n v="99.04"/>
    <n v="1188.48"/>
    <n v="9000"/>
    <s v="A"/>
    <n v="9000"/>
    <n v="0.67"/>
    <s v="Minor Loss"/>
    <n v="8"/>
    <n v="36"/>
    <n v="1"/>
    <n v="7"/>
    <s v="H"/>
    <x v="0"/>
    <x v="1"/>
    <s v="Rent"/>
    <n v="1"/>
    <n v="1"/>
    <n v="796.28160000000003"/>
    <n v="581.28556800000001"/>
    <n v="-8418.7144320000007"/>
  </r>
  <r>
    <s v="TXN00004992"/>
    <s v="A00006401"/>
    <s v="PLC00009120"/>
    <d v="2013-03-26T00:00:00"/>
    <d v="2020-12-02T00:00:00"/>
    <d v="2020-12-07T00:00:00"/>
    <n v="5"/>
    <n v="119.7"/>
    <n v="1436.4"/>
    <n v="4000"/>
    <s v="A"/>
    <n v="4000"/>
    <n v="8.17"/>
    <s v="Major Loss"/>
    <n v="98"/>
    <n v="55"/>
    <n v="1"/>
    <n v="3"/>
    <s v="L"/>
    <x v="2"/>
    <x v="1"/>
    <s v="Mortgage"/>
    <n v="1"/>
    <n v="1"/>
    <n v="11735.388000000001"/>
    <n v="8566.8332399999999"/>
    <n v="4566.8332399999999"/>
  </r>
  <r>
    <s v="TXN00005006"/>
    <s v="A00004836"/>
    <s v="PLC00007008"/>
    <d v="2018-06-05T00:00:00"/>
    <d v="2020-12-01T00:00:00"/>
    <d v="2020-12-06T00:00:00"/>
    <n v="5"/>
    <n v="99.99"/>
    <n v="1199.8800000000001"/>
    <n v="8000"/>
    <s v="A"/>
    <n v="8000"/>
    <n v="3.5"/>
    <s v="Minor Loss"/>
    <n v="42"/>
    <n v="55"/>
    <n v="1"/>
    <n v="7"/>
    <s v="M"/>
    <x v="0"/>
    <x v="0"/>
    <s v="Rent"/>
    <n v="1"/>
    <n v="0"/>
    <n v="4199.58"/>
    <n v="3065.6933999999997"/>
    <n v="-4934.3065999999999"/>
  </r>
  <r>
    <s v="TXN00005011"/>
    <s v="A00004929"/>
    <s v="PLC00005112"/>
    <d v="2015-11-04T00:00:00"/>
    <d v="2020-12-03T00:00:00"/>
    <d v="2020-12-08T00:00:00"/>
    <n v="5"/>
    <n v="139.49"/>
    <n v="1673.88"/>
    <n v="8000"/>
    <s v="A"/>
    <n v="8000"/>
    <n v="7.75"/>
    <s v="Minor Loss"/>
    <n v="93"/>
    <n v="56"/>
    <n v="1"/>
    <n v="3"/>
    <s v="L"/>
    <x v="2"/>
    <x v="4"/>
    <s v="Own"/>
    <n v="0"/>
    <n v="1"/>
    <n v="12972.570000000002"/>
    <n v="9469.9761000000017"/>
    <n v="1469.9761000000017"/>
  </r>
  <r>
    <s v="TXN00005014"/>
    <s v="A00009000"/>
    <s v="PLC00006771"/>
    <d v="2018-03-02T00:00:00"/>
    <d v="2020-12-01T00:00:00"/>
    <d v="2020-12-06T00:00:00"/>
    <n v="5"/>
    <n v="111.48"/>
    <n v="1337.76"/>
    <n v="9000"/>
    <s v="D"/>
    <n v="0"/>
    <n v="2.33"/>
    <s v="Major Loss"/>
    <n v="28"/>
    <n v="50"/>
    <n v="1"/>
    <n v="5"/>
    <s v="M"/>
    <x v="2"/>
    <x v="6"/>
    <s v="Rent"/>
    <n v="1"/>
    <n v="1"/>
    <n v="3116.9808000000003"/>
    <n v="2275.3959840000002"/>
    <n v="2275.3959840000002"/>
  </r>
  <r>
    <s v="TXN00005022"/>
    <s v="A00002539"/>
    <s v="PLC00003540"/>
    <d v="2010-07-11T00:00:00"/>
    <d v="2020-11-30T00:00:00"/>
    <d v="2020-12-05T00:00:00"/>
    <n v="5"/>
    <n v="121.21"/>
    <n v="1454.52"/>
    <n v="6000"/>
    <s v="A"/>
    <n v="6000"/>
    <n v="7.75"/>
    <s v="Major Loss"/>
    <n v="93"/>
    <n v="33"/>
    <n v="0"/>
    <n v="3"/>
    <s v="L"/>
    <x v="2"/>
    <x v="1"/>
    <s v="Own"/>
    <n v="0"/>
    <n v="0"/>
    <n v="11272.53"/>
    <n v="8228.9469000000008"/>
    <n v="2228.9469000000008"/>
  </r>
  <r>
    <s v="TXN00005023"/>
    <s v="A00008141"/>
    <s v="PLC00004387"/>
    <d v="2010-07-12T00:00:00"/>
    <d v="2020-12-08T00:00:00"/>
    <d v="2020-12-13T00:00:00"/>
    <n v="5"/>
    <n v="117.67"/>
    <n v="1412.04"/>
    <n v="9000"/>
    <s v="A"/>
    <n v="9000"/>
    <n v="5.33"/>
    <s v="Minor Loss"/>
    <n v="64"/>
    <n v="32"/>
    <n v="1"/>
    <n v="5"/>
    <s v="L"/>
    <x v="0"/>
    <x v="0"/>
    <s v="Mortgage"/>
    <n v="1"/>
    <n v="1"/>
    <n v="7526.1732000000002"/>
    <n v="5494.106436"/>
    <n v="-3505.893564"/>
  </r>
  <r>
    <s v="TXN00005026"/>
    <s v="A00005680"/>
    <s v="PLC00008082"/>
    <d v="2012-11-21T00:00:00"/>
    <d v="2020-11-30T00:00:00"/>
    <d v="2020-12-05T00:00:00"/>
    <n v="5"/>
    <n v="117.63"/>
    <n v="1411.56"/>
    <n v="1000"/>
    <s v="A"/>
    <n v="1000"/>
    <n v="6.83"/>
    <s v="Major Loss"/>
    <n v="82"/>
    <n v="42"/>
    <n v="1"/>
    <n v="3"/>
    <s v="H"/>
    <x v="2"/>
    <x v="3"/>
    <s v="Mortgage"/>
    <n v="1"/>
    <n v="1"/>
    <n v="9640.9547999999995"/>
    <n v="7037.8970039999995"/>
    <n v="6037.8970039999995"/>
  </r>
  <r>
    <s v="TXN00005031"/>
    <s v="A00001195"/>
    <s v="PLC00007350"/>
    <d v="2010-06-17T00:00:00"/>
    <d v="2020-12-12T00:00:00"/>
    <d v="2020-12-14T00:00:00"/>
    <n v="2"/>
    <n v="82.89"/>
    <n v="994.68"/>
    <n v="2000"/>
    <s v="A"/>
    <n v="2000"/>
    <n v="7.83"/>
    <s v="Major Loss"/>
    <n v="94"/>
    <n v="44"/>
    <n v="1"/>
    <n v="2"/>
    <s v="L"/>
    <x v="2"/>
    <x v="2"/>
    <s v="Mortgage"/>
    <n v="0"/>
    <n v="1"/>
    <n v="7788.3444"/>
    <n v="5685.4914119999994"/>
    <n v="3685.4914119999994"/>
  </r>
  <r>
    <s v="TXN00005039"/>
    <s v="A00002471"/>
    <s v="PLC00005417"/>
    <d v="2016-03-30T00:00:00"/>
    <d v="2020-12-07T00:00:00"/>
    <d v="2020-12-12T00:00:00"/>
    <n v="5"/>
    <n v="76.14"/>
    <n v="913.68"/>
    <n v="7000"/>
    <s v="A"/>
    <n v="7000"/>
    <n v="7.92"/>
    <s v="Total Loss"/>
    <n v="95"/>
    <n v="57"/>
    <n v="0"/>
    <n v="7"/>
    <s v="H"/>
    <x v="0"/>
    <x v="0"/>
    <s v="Rent"/>
    <n v="0"/>
    <n v="1"/>
    <n v="7236.3455999999996"/>
    <n v="5282.5322879999994"/>
    <n v="-1717.4677120000006"/>
  </r>
  <r>
    <s v="TXN00005043"/>
    <s v="A00002665"/>
    <s v="PLC00005732"/>
    <d v="2012-07-28T00:00:00"/>
    <d v="2020-12-14T00:00:00"/>
    <d v="2020-12-16T00:00:00"/>
    <n v="2"/>
    <n v="74.98"/>
    <n v="899.76"/>
    <n v="9000"/>
    <s v="A"/>
    <n v="9000"/>
    <n v="4.83"/>
    <s v="Minor Loss"/>
    <n v="58"/>
    <n v="41"/>
    <n v="1"/>
    <n v="4"/>
    <s v="M"/>
    <x v="0"/>
    <x v="6"/>
    <s v="Mortgage"/>
    <n v="1"/>
    <n v="1"/>
    <n v="4345.8407999999999"/>
    <n v="3172.463784"/>
    <n v="-5827.5362160000004"/>
  </r>
  <r>
    <s v="TXN00005045"/>
    <s v="A00009596"/>
    <s v="PLC00003597"/>
    <d v="2012-10-22T00:00:00"/>
    <d v="2020-12-07T00:00:00"/>
    <d v="2020-12-12T00:00:00"/>
    <n v="5"/>
    <n v="95.63"/>
    <n v="1147.56"/>
    <n v="1000"/>
    <s v="A"/>
    <n v="1000"/>
    <n v="6"/>
    <s v="Minor Loss"/>
    <n v="72"/>
    <n v="54"/>
    <n v="0"/>
    <n v="7"/>
    <s v="L"/>
    <x v="1"/>
    <x v="1"/>
    <s v="Rent"/>
    <n v="1"/>
    <n v="1"/>
    <n v="6885.36"/>
    <n v="5026.3127999999997"/>
    <n v="4026.3127999999997"/>
  </r>
  <r>
    <s v="TXN00005046"/>
    <s v="A00006329"/>
    <s v="PLC00004380"/>
    <d v="2019-11-09T00:00:00"/>
    <d v="2020-12-16T00:00:00"/>
    <d v="2020-12-17T00:00:00"/>
    <n v="1"/>
    <n v="115.86"/>
    <n v="1390.32"/>
    <n v="10000"/>
    <s v="A"/>
    <n v="10000"/>
    <n v="4.83"/>
    <s v="Minor Loss"/>
    <n v="58"/>
    <n v="29"/>
    <n v="1"/>
    <n v="3"/>
    <s v="L"/>
    <x v="1"/>
    <x v="0"/>
    <s v="Rent"/>
    <n v="1"/>
    <n v="1"/>
    <n v="6715.2456000000002"/>
    <n v="4902.1292880000001"/>
    <n v="-5097.8707119999999"/>
  </r>
  <r>
    <s v="TXN00005056"/>
    <s v="A00002282"/>
    <s v="PLC00002306"/>
    <d v="2011-01-07T00:00:00"/>
    <d v="2020-12-04T00:00:00"/>
    <d v="2020-12-09T00:00:00"/>
    <n v="5"/>
    <n v="102.29"/>
    <n v="1227.48"/>
    <n v="3000"/>
    <s v="A"/>
    <n v="3000"/>
    <n v="1.92"/>
    <s v="Total Loss"/>
    <n v="23"/>
    <n v="36"/>
    <n v="0"/>
    <n v="3"/>
    <s v="M"/>
    <x v="0"/>
    <x v="0"/>
    <s v="Own"/>
    <n v="1"/>
    <n v="1"/>
    <n v="2356.7615999999998"/>
    <n v="1720.4359679999998"/>
    <n v="-1279.5640320000002"/>
  </r>
  <r>
    <s v="TXN00005066"/>
    <s v="A00000036"/>
    <s v="PLC00003606"/>
    <d v="2018-05-11T00:00:00"/>
    <d v="2020-12-15T00:00:00"/>
    <d v="2020-12-17T00:00:00"/>
    <n v="2"/>
    <n v="103.98"/>
    <n v="1247.76"/>
    <n v="8000"/>
    <s v="A"/>
    <n v="8000"/>
    <n v="4.5"/>
    <s v="Major Loss"/>
    <n v="54"/>
    <n v="44"/>
    <n v="1"/>
    <n v="3"/>
    <s v="M"/>
    <x v="0"/>
    <x v="1"/>
    <s v="Rent"/>
    <n v="1"/>
    <n v="0"/>
    <n v="5614.92"/>
    <n v="4098.8915999999999"/>
    <n v="-3901.1084000000001"/>
  </r>
  <r>
    <s v="TXN00005072"/>
    <s v="A00008950"/>
    <s v="PLC00008366"/>
    <d v="2012-09-18T00:00:00"/>
    <d v="2020-12-11T00:00:00"/>
    <d v="2020-12-14T00:00:00"/>
    <n v="3"/>
    <n v="138.88999999999999"/>
    <n v="1666.68"/>
    <n v="9000"/>
    <s v="D"/>
    <n v="0"/>
    <n v="7.33"/>
    <s v="Major Loss"/>
    <n v="88"/>
    <n v="56"/>
    <n v="0"/>
    <n v="2"/>
    <s v="M"/>
    <x v="0"/>
    <x v="4"/>
    <s v="Own"/>
    <n v="1"/>
    <n v="1"/>
    <n v="12216.7644"/>
    <n v="8918.2380119999998"/>
    <n v="8918.2380119999998"/>
  </r>
  <r>
    <s v="TXN00005074"/>
    <s v="A00002196"/>
    <s v="PLC00000650"/>
    <d v="2011-07-14T00:00:00"/>
    <d v="2020-12-18T00:00:00"/>
    <d v="2020-12-18T00:00:00"/>
    <n v="0"/>
    <n v="134.15"/>
    <n v="1609.8"/>
    <n v="8000"/>
    <s v="A"/>
    <n v="8000"/>
    <n v="8.25"/>
    <s v="Major Loss"/>
    <n v="99"/>
    <n v="44"/>
    <n v="0"/>
    <n v="4"/>
    <s v="L"/>
    <x v="1"/>
    <x v="3"/>
    <s v="Rent"/>
    <n v="1"/>
    <n v="1"/>
    <n v="13280.85"/>
    <n v="9695.0205000000005"/>
    <n v="1695.0205000000005"/>
  </r>
  <r>
    <s v="TXN00005080"/>
    <s v="A00005453"/>
    <s v="PLC00004732"/>
    <d v="2013-10-14T00:00:00"/>
    <d v="2020-12-08T00:00:00"/>
    <d v="2020-12-13T00:00:00"/>
    <n v="5"/>
    <n v="136.76"/>
    <n v="1641.12"/>
    <n v="9000"/>
    <s v="A"/>
    <n v="9000"/>
    <n v="8.5"/>
    <s v="Total Loss"/>
    <n v="102"/>
    <n v="36"/>
    <n v="1"/>
    <n v="5"/>
    <s v="M"/>
    <x v="0"/>
    <x v="1"/>
    <s v="Mortgage"/>
    <n v="1"/>
    <n v="1"/>
    <n v="13949.519999999999"/>
    <n v="10183.149599999999"/>
    <n v="1183.1495999999988"/>
  </r>
  <r>
    <s v="TXN00005086"/>
    <s v="A00006301"/>
    <s v="PLC00001732"/>
    <d v="2011-12-09T00:00:00"/>
    <d v="2020-12-14T00:00:00"/>
    <d v="2020-12-16T00:00:00"/>
    <n v="2"/>
    <n v="79.61"/>
    <n v="955.32"/>
    <n v="2000"/>
    <s v="A"/>
    <n v="2000"/>
    <n v="9.42"/>
    <s v="Minor Loss"/>
    <n v="113"/>
    <n v="52"/>
    <n v="0"/>
    <n v="2"/>
    <s v="L"/>
    <x v="0"/>
    <x v="1"/>
    <s v="Mortgage"/>
    <n v="0"/>
    <n v="1"/>
    <n v="8999.1144000000004"/>
    <n v="6569.3535119999997"/>
    <n v="4569.3535119999997"/>
  </r>
  <r>
    <s v="TXN00005091"/>
    <s v="A00006696"/>
    <s v="PLC00000613"/>
    <d v="2011-10-19T00:00:00"/>
    <d v="2020-12-02T00:00:00"/>
    <d v="2020-12-07T00:00:00"/>
    <n v="5"/>
    <n v="111.27"/>
    <n v="1335.24"/>
    <n v="6000"/>
    <s v="A"/>
    <n v="6000"/>
    <n v="5.67"/>
    <s v="Total Loss"/>
    <n v="68"/>
    <n v="48"/>
    <n v="1"/>
    <n v="2"/>
    <s v="M"/>
    <x v="1"/>
    <x v="3"/>
    <s v="Mortgage"/>
    <n v="1"/>
    <n v="1"/>
    <n v="7570.8108000000002"/>
    <n v="5526.6918839999998"/>
    <n v="-473.30811600000015"/>
  </r>
  <r>
    <s v="TXN00005105"/>
    <s v="A00004287"/>
    <s v="PLC00002530"/>
    <d v="2010-06-17T00:00:00"/>
    <d v="2020-12-05T00:00:00"/>
    <d v="2020-12-10T00:00:00"/>
    <n v="5"/>
    <n v="89.24"/>
    <n v="1070.8800000000001"/>
    <n v="9000"/>
    <s v="D"/>
    <n v="0"/>
    <n v="9"/>
    <s v="Total Loss"/>
    <n v="108"/>
    <n v="31"/>
    <n v="0"/>
    <n v="7"/>
    <s v="L"/>
    <x v="2"/>
    <x v="4"/>
    <s v="Mortgage"/>
    <n v="0"/>
    <n v="0"/>
    <n v="9637.9200000000019"/>
    <n v="7035.6816000000008"/>
    <n v="7035.6816000000008"/>
  </r>
  <r>
    <s v="TXN00005110"/>
    <s v="A00001865"/>
    <s v="PLC00003548"/>
    <d v="2012-03-05T00:00:00"/>
    <d v="2020-12-16T00:00:00"/>
    <d v="2020-12-18T00:00:00"/>
    <n v="2"/>
    <n v="71.67"/>
    <n v="860.04"/>
    <n v="10000"/>
    <s v="A"/>
    <n v="10000"/>
    <n v="3.67"/>
    <s v="Minor Loss"/>
    <n v="44"/>
    <n v="29"/>
    <n v="1"/>
    <n v="6"/>
    <s v="L"/>
    <x v="2"/>
    <x v="1"/>
    <s v="Rent"/>
    <n v="0"/>
    <n v="1"/>
    <n v="3156.3467999999998"/>
    <n v="2304.1331639999999"/>
    <n v="-7695.8668360000001"/>
  </r>
  <r>
    <s v="TXN00005112"/>
    <s v="A00000256"/>
    <s v="PLC00006822"/>
    <d v="2018-05-31T00:00:00"/>
    <d v="2020-12-11T00:00:00"/>
    <d v="2020-12-16T00:00:00"/>
    <n v="5"/>
    <n v="135.01"/>
    <n v="1620.12"/>
    <n v="5000"/>
    <s v="A"/>
    <n v="5000"/>
    <n v="2.08"/>
    <s v="Total Loss"/>
    <n v="25"/>
    <n v="64"/>
    <n v="1"/>
    <n v="4"/>
    <s v="L"/>
    <x v="0"/>
    <x v="6"/>
    <s v="Own"/>
    <n v="0"/>
    <n v="1"/>
    <n v="3369.8496"/>
    <n v="2459.9902080000002"/>
    <n v="-2540.0097919999998"/>
  </r>
  <r>
    <s v="TXN00005119"/>
    <s v="A00001434"/>
    <s v="PLC00005855"/>
    <d v="2015-08-19T00:00:00"/>
    <d v="2020-12-12T00:00:00"/>
    <d v="2020-12-15T00:00:00"/>
    <n v="3"/>
    <n v="103.73"/>
    <n v="1244.76"/>
    <n v="1000"/>
    <s v="A"/>
    <n v="1000"/>
    <n v="2.17"/>
    <s v="Total Loss"/>
    <n v="26"/>
    <n v="64"/>
    <n v="1"/>
    <n v="6"/>
    <s v="H"/>
    <x v="0"/>
    <x v="0"/>
    <s v="Own"/>
    <n v="1"/>
    <n v="1"/>
    <n v="2701.1291999999999"/>
    <n v="1971.824316"/>
    <n v="971.82431599999995"/>
  </r>
  <r>
    <s v="TXN00005125"/>
    <s v="A00005767"/>
    <s v="PLC00000732"/>
    <d v="2012-11-20T00:00:00"/>
    <d v="2020-12-12T00:00:00"/>
    <d v="2020-12-17T00:00:00"/>
    <n v="5"/>
    <n v="88.74"/>
    <n v="1064.8800000000001"/>
    <n v="10000"/>
    <s v="A"/>
    <n v="10000"/>
    <n v="8.92"/>
    <s v="Total Loss"/>
    <n v="107"/>
    <n v="36"/>
    <n v="1"/>
    <n v="6"/>
    <s v="L"/>
    <x v="1"/>
    <x v="3"/>
    <s v="Mortgage"/>
    <n v="1"/>
    <n v="1"/>
    <n v="9498.7296000000006"/>
    <n v="6934.0726080000004"/>
    <n v="-3065.9273919999996"/>
  </r>
  <r>
    <s v="TXN00005126"/>
    <s v="A00007167"/>
    <s v="PLC00004478"/>
    <d v="2017-09-05T00:00:00"/>
    <d v="2020-12-18T00:00:00"/>
    <d v="2020-12-19T00:00:00"/>
    <n v="1"/>
    <n v="76.739999999999995"/>
    <n v="920.88"/>
    <n v="9000"/>
    <s v="A"/>
    <n v="9000"/>
    <n v="7.5"/>
    <s v="Major Loss"/>
    <n v="90"/>
    <n v="49"/>
    <n v="0"/>
    <n v="5"/>
    <s v="L"/>
    <x v="0"/>
    <x v="3"/>
    <s v="Own"/>
    <n v="1"/>
    <n v="1"/>
    <n v="6906.6"/>
    <n v="5041.8180000000002"/>
    <n v="-3958.1819999999998"/>
  </r>
  <r>
    <s v="TXN00005127"/>
    <s v="A00006602"/>
    <s v="PLC00007523"/>
    <d v="2019-04-29T00:00:00"/>
    <d v="2020-12-11T00:00:00"/>
    <d v="2020-12-16T00:00:00"/>
    <n v="5"/>
    <n v="112.92"/>
    <n v="1355.04"/>
    <n v="5000"/>
    <s v="A"/>
    <n v="5000"/>
    <n v="1.58"/>
    <s v="Total Loss"/>
    <n v="19"/>
    <n v="33"/>
    <n v="0"/>
    <n v="6"/>
    <s v="L"/>
    <x v="0"/>
    <x v="1"/>
    <s v="Own"/>
    <n v="1"/>
    <n v="1"/>
    <n v="2140.9632000000001"/>
    <n v="1562.9031360000001"/>
    <n v="-3437.0968640000001"/>
  </r>
  <r>
    <s v="TXN00005132"/>
    <s v="A00003330"/>
    <s v="PLC00008446"/>
    <d v="2018-06-20T00:00:00"/>
    <d v="2020-12-19T00:00:00"/>
    <d v="2020-12-20T00:00:00"/>
    <n v="1"/>
    <n v="121.05"/>
    <n v="1452.6"/>
    <n v="6000"/>
    <s v="A"/>
    <n v="6000"/>
    <n v="3.92"/>
    <s v="Total Loss"/>
    <n v="47"/>
    <n v="60"/>
    <n v="1"/>
    <n v="2"/>
    <s v="L"/>
    <x v="0"/>
    <x v="3"/>
    <s v="Mortgage"/>
    <n v="0"/>
    <n v="1"/>
    <n v="5694.1919999999991"/>
    <n v="4156.7601599999989"/>
    <n v="-1843.2398400000011"/>
  </r>
  <r>
    <s v="TXN00005137"/>
    <s v="A00009589"/>
    <s v="PLC00009679"/>
    <d v="2018-09-17T00:00:00"/>
    <d v="2020-12-13T00:00:00"/>
    <d v="2020-12-16T00:00:00"/>
    <n v="3"/>
    <n v="111.73"/>
    <n v="1340.76"/>
    <n v="6000"/>
    <s v="A"/>
    <n v="6000"/>
    <n v="1.33"/>
    <s v="Minor Loss"/>
    <n v="16"/>
    <n v="50"/>
    <n v="1"/>
    <n v="4"/>
    <s v="M"/>
    <x v="1"/>
    <x v="0"/>
    <s v="Own"/>
    <n v="0"/>
    <n v="1"/>
    <n v="1783.2108000000001"/>
    <n v="1301.743884"/>
    <n v="-4698.2561160000005"/>
  </r>
  <r>
    <s v="TXN00005138"/>
    <s v="A00004463"/>
    <s v="PLC00003176"/>
    <d v="2012-09-25T00:00:00"/>
    <d v="2020-12-21T00:00:00"/>
    <d v="2020-12-21T00:00:00"/>
    <n v="0"/>
    <n v="106.89"/>
    <n v="1282.68"/>
    <n v="9000"/>
    <s v="A"/>
    <n v="9000"/>
    <n v="1.08"/>
    <s v="Total Loss"/>
    <n v="13"/>
    <n v="47"/>
    <n v="0"/>
    <n v="5"/>
    <s v="M"/>
    <x v="0"/>
    <x v="5"/>
    <s v="Mortgage"/>
    <n v="1"/>
    <n v="1"/>
    <n v="1385.2944000000002"/>
    <n v="1011.2649120000001"/>
    <n v="-7988.7350879999995"/>
  </r>
  <r>
    <s v="TXN00005139"/>
    <s v="A00001024"/>
    <s v="PLC00008627"/>
    <d v="2016-06-15T00:00:00"/>
    <d v="2020-12-04T00:00:00"/>
    <d v="2020-12-09T00:00:00"/>
    <n v="5"/>
    <n v="106.91"/>
    <n v="1282.92"/>
    <n v="8000"/>
    <s v="A"/>
    <n v="8000"/>
    <n v="2.75"/>
    <s v="Total Loss"/>
    <n v="33"/>
    <n v="34"/>
    <n v="0"/>
    <n v="5"/>
    <s v="L"/>
    <x v="2"/>
    <x v="0"/>
    <s v="Rent"/>
    <n v="0"/>
    <n v="1"/>
    <n v="3528.03"/>
    <n v="2575.4619000000002"/>
    <n v="-5424.5380999999998"/>
  </r>
  <r>
    <s v="TXN00005144"/>
    <s v="A00008261"/>
    <s v="PLC00006173"/>
    <d v="2016-04-08T00:00:00"/>
    <d v="2020-12-11T00:00:00"/>
    <d v="2020-12-16T00:00:00"/>
    <n v="5"/>
    <n v="103.18"/>
    <n v="1238.1600000000001"/>
    <n v="9000"/>
    <s v="A"/>
    <n v="9000"/>
    <n v="6"/>
    <s v="Major Loss"/>
    <n v="72"/>
    <n v="37"/>
    <n v="1"/>
    <n v="3"/>
    <s v="L"/>
    <x v="1"/>
    <x v="4"/>
    <s v="Own"/>
    <n v="1"/>
    <n v="1"/>
    <n v="7428.9600000000009"/>
    <n v="5423.1408000000001"/>
    <n v="-3576.8591999999999"/>
  </r>
  <r>
    <s v="TXN00005179"/>
    <s v="A00005440"/>
    <s v="PLC00009257"/>
    <d v="2010-12-22T00:00:00"/>
    <d v="2020-12-15T00:00:00"/>
    <d v="2020-12-18T00:00:00"/>
    <n v="3"/>
    <n v="136.09"/>
    <n v="1633.08"/>
    <n v="1000"/>
    <s v="A"/>
    <n v="1000"/>
    <n v="1.5"/>
    <s v="Total Loss"/>
    <n v="18"/>
    <n v="32"/>
    <n v="1"/>
    <n v="6"/>
    <s v="M"/>
    <x v="2"/>
    <x v="4"/>
    <s v="Mortgage"/>
    <n v="1"/>
    <n v="1"/>
    <n v="2449.62"/>
    <n v="1788.2225999999998"/>
    <n v="788.22259999999983"/>
  </r>
  <r>
    <s v="TXN00005185"/>
    <s v="A00008410"/>
    <s v="PLC00009334"/>
    <d v="2010-06-27T00:00:00"/>
    <d v="2020-12-15T00:00:00"/>
    <d v="2020-12-18T00:00:00"/>
    <n v="3"/>
    <n v="114.12"/>
    <n v="1369.44"/>
    <n v="7000"/>
    <s v="A"/>
    <n v="7000"/>
    <n v="2.92"/>
    <s v="Major Loss"/>
    <n v="35"/>
    <n v="63"/>
    <n v="1"/>
    <n v="6"/>
    <s v="M"/>
    <x v="0"/>
    <x v="1"/>
    <s v="Own"/>
    <n v="1"/>
    <n v="1"/>
    <n v="3998.7647999999999"/>
    <n v="2919.0983040000001"/>
    <n v="-4080.9016959999999"/>
  </r>
  <r>
    <s v="TXN00005187"/>
    <s v="A00001044"/>
    <s v="PLC00002599"/>
    <d v="2012-12-07T00:00:00"/>
    <d v="2020-12-09T00:00:00"/>
    <d v="2020-12-14T00:00:00"/>
    <n v="5"/>
    <n v="114.52"/>
    <n v="1374.24"/>
    <n v="10000"/>
    <s v="A"/>
    <n v="10000"/>
    <n v="6.83"/>
    <s v="Total Loss"/>
    <n v="82"/>
    <n v="47"/>
    <n v="1"/>
    <n v="3"/>
    <s v="L"/>
    <x v="0"/>
    <x v="2"/>
    <s v="Mortgage"/>
    <n v="1"/>
    <n v="1"/>
    <n v="9386.0591999999997"/>
    <n v="6851.8232159999998"/>
    <n v="-3148.1767840000002"/>
  </r>
  <r>
    <s v="TXN00005190"/>
    <s v="A00000685"/>
    <s v="PLC00005357"/>
    <d v="2015-07-25T00:00:00"/>
    <d v="2020-12-07T00:00:00"/>
    <d v="2020-12-12T00:00:00"/>
    <n v="5"/>
    <n v="109.18"/>
    <n v="1310.1600000000001"/>
    <n v="5000"/>
    <s v="A"/>
    <n v="5000"/>
    <n v="5.5"/>
    <s v="Major Loss"/>
    <n v="66"/>
    <n v="63"/>
    <n v="0"/>
    <n v="3"/>
    <s v="M"/>
    <x v="0"/>
    <x v="1"/>
    <s v="Mortgage"/>
    <n v="1"/>
    <n v="1"/>
    <n v="7205.88"/>
    <n v="5260.2924000000003"/>
    <n v="260.29240000000027"/>
  </r>
  <r>
    <s v="TXN00005196"/>
    <s v="A00009314"/>
    <s v="PLC00008237"/>
    <d v="2013-01-22T00:00:00"/>
    <d v="2020-12-22T00:00:00"/>
    <d v="2020-12-22T00:00:00"/>
    <n v="0"/>
    <n v="92.6"/>
    <n v="1111.2"/>
    <n v="3000"/>
    <s v="A"/>
    <n v="3000"/>
    <n v="2.17"/>
    <s v="Major Loss"/>
    <n v="26"/>
    <n v="49"/>
    <n v="0"/>
    <n v="7"/>
    <s v="L"/>
    <x v="2"/>
    <x v="4"/>
    <s v="Mortgage"/>
    <n v="1"/>
    <n v="1"/>
    <n v="2411.3040000000001"/>
    <n v="1760.2519199999999"/>
    <n v="-1239.7480800000001"/>
  </r>
  <r>
    <s v="TXN00005202"/>
    <s v="A00002681"/>
    <s v="PLC00002018"/>
    <d v="2011-06-18T00:00:00"/>
    <d v="2020-12-22T00:00:00"/>
    <d v="2020-12-22T00:00:00"/>
    <n v="0"/>
    <n v="131.22"/>
    <n v="1574.64"/>
    <n v="6000"/>
    <s v="A"/>
    <n v="6000"/>
    <n v="4.08"/>
    <s v="Minor Loss"/>
    <n v="49"/>
    <n v="32"/>
    <n v="1"/>
    <n v="7"/>
    <s v="L"/>
    <x v="0"/>
    <x v="0"/>
    <s v="Own"/>
    <n v="1"/>
    <n v="0"/>
    <n v="6424.5312000000004"/>
    <n v="4689.907776"/>
    <n v="-1310.092224"/>
  </r>
  <r>
    <s v="TXN00005210"/>
    <s v="A00007884"/>
    <s v="PLC00005057"/>
    <d v="2014-09-02T00:00:00"/>
    <d v="2020-12-13T00:00:00"/>
    <d v="2020-12-18T00:00:00"/>
    <n v="5"/>
    <n v="88.6"/>
    <n v="1063.2"/>
    <n v="4000"/>
    <s v="A"/>
    <n v="4000"/>
    <n v="5.25"/>
    <s v="Minor Loss"/>
    <n v="63"/>
    <n v="26"/>
    <n v="0"/>
    <n v="7"/>
    <s v="L"/>
    <x v="2"/>
    <x v="3"/>
    <s v="Rent"/>
    <n v="1"/>
    <n v="1"/>
    <n v="5581.8"/>
    <n v="4074.7139999999999"/>
    <n v="74.713999999999942"/>
  </r>
  <r>
    <s v="TXN00005215"/>
    <s v="A00004238"/>
    <s v="PLC00000606"/>
    <d v="2011-01-29T00:00:00"/>
    <d v="2020-12-17T00:00:00"/>
    <d v="2020-12-20T00:00:00"/>
    <n v="3"/>
    <n v="76.38"/>
    <n v="916.56"/>
    <n v="10000"/>
    <s v="A"/>
    <n v="10000"/>
    <n v="7.58"/>
    <s v="Major Loss"/>
    <n v="91"/>
    <n v="50"/>
    <n v="1"/>
    <n v="3"/>
    <s v="L"/>
    <x v="1"/>
    <x v="1"/>
    <s v="Own"/>
    <n v="1"/>
    <n v="1"/>
    <n v="6947.5247999999992"/>
    <n v="5071.693103999999"/>
    <n v="-4928.306896000001"/>
  </r>
  <r>
    <s v="TXN00005217"/>
    <s v="A00001459"/>
    <s v="PLC00002875"/>
    <d v="2010-06-07T00:00:00"/>
    <d v="2020-12-10T00:00:00"/>
    <d v="2020-12-15T00:00:00"/>
    <n v="5"/>
    <n v="127.37"/>
    <n v="1528.44"/>
    <n v="3000"/>
    <s v="A"/>
    <n v="3000"/>
    <n v="2.5"/>
    <s v="Total Loss"/>
    <n v="30"/>
    <n v="64"/>
    <n v="1"/>
    <n v="2"/>
    <s v="M"/>
    <x v="2"/>
    <x v="3"/>
    <s v="Mortgage"/>
    <n v="1"/>
    <n v="0"/>
    <n v="3821.1000000000004"/>
    <n v="2789.4030000000002"/>
    <n v="-210.59699999999975"/>
  </r>
  <r>
    <s v="TXN00005232"/>
    <s v="A00002969"/>
    <s v="PLC00009429"/>
    <d v="2019-07-20T00:00:00"/>
    <d v="2020-12-23T00:00:00"/>
    <d v="2020-12-24T00:00:00"/>
    <n v="1"/>
    <n v="97.47"/>
    <n v="1169.6400000000001"/>
    <n v="7000"/>
    <s v="D"/>
    <n v="0"/>
    <n v="7.58"/>
    <s v="Major Loss"/>
    <n v="91"/>
    <n v="41"/>
    <n v="1"/>
    <n v="7"/>
    <s v="L"/>
    <x v="0"/>
    <x v="3"/>
    <s v="Rent"/>
    <n v="1"/>
    <n v="1"/>
    <n v="8865.8712000000014"/>
    <n v="6472.0859760000012"/>
    <n v="6472.0859760000012"/>
  </r>
  <r>
    <s v="TXN00005238"/>
    <s v="A00001640"/>
    <s v="PLC00002996"/>
    <d v="2014-02-01T00:00:00"/>
    <d v="2020-12-08T00:00:00"/>
    <d v="2020-12-13T00:00:00"/>
    <n v="5"/>
    <n v="131.47"/>
    <n v="1577.64"/>
    <n v="9000"/>
    <s v="A"/>
    <n v="9000"/>
    <n v="6.92"/>
    <s v="Major Loss"/>
    <n v="83"/>
    <n v="55"/>
    <n v="1"/>
    <n v="5"/>
    <s v="L"/>
    <x v="0"/>
    <x v="1"/>
    <s v="Mortgage"/>
    <n v="0"/>
    <n v="1"/>
    <n v="10917.2688"/>
    <n v="7969.6062240000001"/>
    <n v="-1030.3937759999999"/>
  </r>
  <r>
    <s v="TXN00005243"/>
    <s v="A00005801"/>
    <s v="PLC00003253"/>
    <d v="2011-12-07T00:00:00"/>
    <d v="2020-12-23T00:00:00"/>
    <d v="2020-12-24T00:00:00"/>
    <n v="1"/>
    <n v="95.15"/>
    <n v="1141.8"/>
    <n v="5000"/>
    <s v="A"/>
    <n v="5000"/>
    <n v="7.58"/>
    <s v="Major Loss"/>
    <n v="91"/>
    <n v="35"/>
    <n v="1"/>
    <n v="2"/>
    <s v="L"/>
    <x v="2"/>
    <x v="2"/>
    <s v="Own"/>
    <n v="1"/>
    <n v="1"/>
    <n v="8654.8439999999991"/>
    <n v="6318.0361199999988"/>
    <n v="1318.0361199999988"/>
  </r>
  <r>
    <s v="TXN00005245"/>
    <s v="A00003994"/>
    <s v="PLC00008704"/>
    <d v="2012-10-02T00:00:00"/>
    <d v="2020-12-25T00:00:00"/>
    <d v="2020-12-25T00:00:00"/>
    <n v="0"/>
    <n v="125.14"/>
    <n v="1501.68"/>
    <n v="4000"/>
    <s v="A"/>
    <n v="4000"/>
    <n v="3"/>
    <s v="Minor Loss"/>
    <n v="36"/>
    <n v="52"/>
    <n v="0"/>
    <n v="6"/>
    <s v="L"/>
    <x v="0"/>
    <x v="1"/>
    <s v="Own"/>
    <n v="1"/>
    <n v="1"/>
    <n v="4505.04"/>
    <n v="3288.6792"/>
    <n v="-711.32079999999996"/>
  </r>
  <r>
    <s v="TXN00005248"/>
    <s v="A00003252"/>
    <s v="PLC00007229"/>
    <d v="2010-10-27T00:00:00"/>
    <d v="2020-12-11T00:00:00"/>
    <d v="2020-12-16T00:00:00"/>
    <n v="5"/>
    <n v="131.59"/>
    <n v="1579.08"/>
    <n v="4000"/>
    <s v="A"/>
    <n v="4000"/>
    <n v="6.33"/>
    <s v="Major Loss"/>
    <n v="76"/>
    <n v="59"/>
    <n v="1"/>
    <n v="5"/>
    <s v="L"/>
    <x v="0"/>
    <x v="1"/>
    <s v="Own"/>
    <n v="1"/>
    <n v="1"/>
    <n v="9995.5763999999999"/>
    <n v="7296.7707719999999"/>
    <n v="3296.7707719999999"/>
  </r>
  <r>
    <s v="TXN00005253"/>
    <s v="A00008160"/>
    <s v="PLC00002570"/>
    <d v="2019-09-12T00:00:00"/>
    <d v="2020-12-12T00:00:00"/>
    <d v="2020-12-17T00:00:00"/>
    <n v="5"/>
    <n v="90.31"/>
    <n v="1083.72"/>
    <n v="8000"/>
    <s v="A"/>
    <n v="8000"/>
    <n v="5.08"/>
    <s v="Minor Loss"/>
    <n v="61"/>
    <n v="40"/>
    <n v="1"/>
    <n v="4"/>
    <s v="H"/>
    <x v="2"/>
    <x v="1"/>
    <s v="Mortgage"/>
    <n v="0"/>
    <n v="1"/>
    <n v="5505.2975999999999"/>
    <n v="4018.867248"/>
    <n v="-3981.132752"/>
  </r>
  <r>
    <s v="TXN00005259"/>
    <s v="A00008797"/>
    <s v="PLC00005812"/>
    <d v="2015-11-20T00:00:00"/>
    <d v="2020-12-24T00:00:00"/>
    <d v="2020-12-25T00:00:00"/>
    <n v="1"/>
    <n v="109.36"/>
    <n v="1312.32"/>
    <n v="2000"/>
    <s v="A"/>
    <n v="2000"/>
    <n v="1.42"/>
    <s v="Minor Loss"/>
    <n v="17"/>
    <n v="45"/>
    <n v="0"/>
    <n v="3"/>
    <s v="H"/>
    <x v="0"/>
    <x v="5"/>
    <s v="Own"/>
    <n v="0"/>
    <n v="1"/>
    <n v="1863.4943999999998"/>
    <n v="1360.3509119999999"/>
    <n v="-639.64908800000012"/>
  </r>
  <r>
    <s v="TXN00005261"/>
    <s v="A00000706"/>
    <s v="PLC00007202"/>
    <d v="2012-06-30T00:00:00"/>
    <d v="2020-12-08T00:00:00"/>
    <d v="2020-12-13T00:00:00"/>
    <n v="5"/>
    <n v="117.1"/>
    <n v="1405.2"/>
    <n v="2000"/>
    <s v="A"/>
    <n v="2000"/>
    <n v="4.08"/>
    <s v="Total Loss"/>
    <n v="49"/>
    <n v="46"/>
    <n v="1"/>
    <n v="6"/>
    <s v="L"/>
    <x v="1"/>
    <x v="1"/>
    <s v="Mortgage"/>
    <n v="0"/>
    <n v="1"/>
    <n v="5733.2160000000003"/>
    <n v="4185.2476800000004"/>
    <n v="2185.2476800000004"/>
  </r>
  <r>
    <s v="TXN00005264"/>
    <s v="A00003574"/>
    <s v="PLC00008521"/>
    <d v="2014-02-09T00:00:00"/>
    <d v="2020-12-21T00:00:00"/>
    <d v="2020-12-23T00:00:00"/>
    <n v="2"/>
    <n v="100.57"/>
    <n v="1206.8399999999999"/>
    <n v="10000"/>
    <s v="A"/>
    <n v="10000"/>
    <n v="8.5"/>
    <s v="Minor Loss"/>
    <n v="102"/>
    <n v="35"/>
    <n v="0"/>
    <n v="6"/>
    <s v="M"/>
    <x v="1"/>
    <x v="2"/>
    <s v="Rent"/>
    <n v="1"/>
    <n v="1"/>
    <n v="10258.14"/>
    <n v="7488.4421999999995"/>
    <n v="-2511.5578000000005"/>
  </r>
  <r>
    <s v="TXN00005267"/>
    <s v="A00009077"/>
    <s v="PLC00003462"/>
    <d v="2018-10-02T00:00:00"/>
    <d v="2020-12-12T00:00:00"/>
    <d v="2020-12-17T00:00:00"/>
    <n v="5"/>
    <n v="83.86"/>
    <n v="1006.32"/>
    <n v="4000"/>
    <s v="A"/>
    <n v="4000"/>
    <n v="3"/>
    <s v="Major Loss"/>
    <n v="36"/>
    <n v="47"/>
    <n v="0"/>
    <n v="5"/>
    <s v="M"/>
    <x v="0"/>
    <x v="1"/>
    <s v="Rent"/>
    <n v="0"/>
    <n v="0"/>
    <n v="3018.96"/>
    <n v="2203.8407999999999"/>
    <n v="-1796.1592000000001"/>
  </r>
  <r>
    <s v="TXN00005268"/>
    <s v="A00003728"/>
    <s v="PLC00009287"/>
    <d v="2016-08-03T00:00:00"/>
    <d v="2020-12-21T00:00:00"/>
    <d v="2020-12-23T00:00:00"/>
    <n v="2"/>
    <n v="71.97"/>
    <n v="863.64"/>
    <n v="8000"/>
    <s v="A"/>
    <n v="8000"/>
    <n v="6"/>
    <s v="Minor Loss"/>
    <n v="72"/>
    <n v="59"/>
    <n v="1"/>
    <n v="6"/>
    <s v="M"/>
    <x v="2"/>
    <x v="3"/>
    <s v="Own"/>
    <n v="0"/>
    <n v="1"/>
    <n v="5181.84"/>
    <n v="3782.7431999999999"/>
    <n v="-4217.2568000000001"/>
  </r>
  <r>
    <s v="TXN00005272"/>
    <s v="A00003956"/>
    <s v="PLC00006054"/>
    <d v="2015-01-17T00:00:00"/>
    <d v="2020-12-19T00:00:00"/>
    <d v="2020-12-22T00:00:00"/>
    <n v="3"/>
    <n v="92.8"/>
    <n v="1113.5999999999999"/>
    <n v="4000"/>
    <s v="A"/>
    <n v="4000"/>
    <n v="1"/>
    <s v="Total Loss"/>
    <n v="12"/>
    <n v="25"/>
    <n v="1"/>
    <n v="6"/>
    <s v="M"/>
    <x v="2"/>
    <x v="1"/>
    <s v="Rent"/>
    <n v="1"/>
    <n v="0"/>
    <n v="1113.5999999999999"/>
    <n v="812.92799999999988"/>
    <n v="-3187.0720000000001"/>
  </r>
  <r>
    <s v="TXN00005281"/>
    <s v="A00000947"/>
    <s v="PLC00003697"/>
    <d v="2018-09-09T00:00:00"/>
    <d v="2020-12-09T00:00:00"/>
    <d v="2020-12-14T00:00:00"/>
    <n v="5"/>
    <n v="72.55"/>
    <n v="870.6"/>
    <n v="5000"/>
    <s v="D"/>
    <n v="0"/>
    <n v="6"/>
    <s v="Major Loss"/>
    <n v="72"/>
    <n v="28"/>
    <n v="1"/>
    <n v="7"/>
    <s v="L"/>
    <x v="1"/>
    <x v="3"/>
    <s v="Mortgage"/>
    <n v="0"/>
    <n v="0"/>
    <n v="5223.6000000000004"/>
    <n v="3813.2280000000001"/>
    <n v="3813.2280000000001"/>
  </r>
  <r>
    <s v="TXN00005282"/>
    <s v="A00002911"/>
    <s v="PLC00002724"/>
    <d v="2015-02-23T00:00:00"/>
    <d v="2020-12-20T00:00:00"/>
    <d v="2020-12-23T00:00:00"/>
    <n v="3"/>
    <n v="121.52"/>
    <n v="1458.24"/>
    <n v="1000"/>
    <s v="A"/>
    <n v="1000"/>
    <n v="8.92"/>
    <s v="Minor Loss"/>
    <n v="107"/>
    <n v="36"/>
    <n v="1"/>
    <n v="6"/>
    <s v="L"/>
    <x v="2"/>
    <x v="4"/>
    <s v="Rent"/>
    <n v="1"/>
    <n v="1"/>
    <n v="13007.5008"/>
    <n v="9495.4755839999998"/>
    <n v="8495.4755839999998"/>
  </r>
  <r>
    <s v="TXN00005301"/>
    <s v="A00003416"/>
    <s v="PLC00009090"/>
    <d v="2012-08-02T00:00:00"/>
    <d v="2020-12-25T00:00:00"/>
    <d v="2020-12-26T00:00:00"/>
    <n v="1"/>
    <n v="75.38"/>
    <n v="904.56"/>
    <n v="2000"/>
    <s v="A"/>
    <n v="2000"/>
    <n v="2.58"/>
    <s v="Total Loss"/>
    <n v="31"/>
    <n v="30"/>
    <n v="0"/>
    <n v="3"/>
    <s v="L"/>
    <x v="0"/>
    <x v="1"/>
    <s v="Rent"/>
    <n v="0"/>
    <n v="0"/>
    <n v="2333.7647999999999"/>
    <n v="1703.6483039999998"/>
    <n v="-296.35169600000017"/>
  </r>
  <r>
    <s v="TXN00005305"/>
    <s v="A00004661"/>
    <s v="PLC00001973"/>
    <d v="2018-07-05T00:00:00"/>
    <d v="2020-12-22T00:00:00"/>
    <d v="2020-12-25T00:00:00"/>
    <n v="3"/>
    <n v="87.02"/>
    <n v="1044.24"/>
    <n v="1000"/>
    <s v="A"/>
    <n v="1000"/>
    <n v="1.08"/>
    <s v="Total Loss"/>
    <n v="13"/>
    <n v="25"/>
    <n v="0"/>
    <n v="4"/>
    <s v="L"/>
    <x v="2"/>
    <x v="5"/>
    <s v="Own"/>
    <n v="1"/>
    <n v="0"/>
    <n v="1127.7792000000002"/>
    <n v="823.27881600000012"/>
    <n v="-176.72118399999988"/>
  </r>
  <r>
    <s v="TXN00005320"/>
    <s v="A00001146"/>
    <s v="PLC00003194"/>
    <d v="2013-10-03T00:00:00"/>
    <d v="2020-12-16T00:00:00"/>
    <d v="2020-12-21T00:00:00"/>
    <n v="5"/>
    <n v="129.25"/>
    <n v="1551"/>
    <n v="1000"/>
    <s v="A"/>
    <n v="1000"/>
    <n v="5.5"/>
    <s v="Minor Loss"/>
    <n v="66"/>
    <n v="58"/>
    <n v="0"/>
    <n v="3"/>
    <s v="M"/>
    <x v="0"/>
    <x v="0"/>
    <s v="Mortgage"/>
    <n v="1"/>
    <n v="1"/>
    <n v="8530.5"/>
    <n v="6227.2649999999994"/>
    <n v="5227.2649999999994"/>
  </r>
  <r>
    <s v="TXN00005323"/>
    <s v="A00005071"/>
    <s v="PLC00006606"/>
    <d v="2011-11-05T00:00:00"/>
    <d v="2020-12-10T00:00:00"/>
    <d v="2020-12-15T00:00:00"/>
    <n v="5"/>
    <n v="72.56"/>
    <n v="870.72"/>
    <n v="3000"/>
    <s v="A"/>
    <n v="3000"/>
    <n v="5.08"/>
    <s v="Minor Loss"/>
    <n v="61"/>
    <n v="47"/>
    <n v="1"/>
    <n v="7"/>
    <s v="M"/>
    <x v="0"/>
    <x v="1"/>
    <s v="Rent"/>
    <n v="1"/>
    <n v="1"/>
    <n v="4423.2575999999999"/>
    <n v="3228.9780479999999"/>
    <n v="228.97804799999994"/>
  </r>
  <r>
    <s v="TXN00005324"/>
    <s v="A00006575"/>
    <s v="PLC00005195"/>
    <d v="2012-04-29T00:00:00"/>
    <d v="2020-12-10T00:00:00"/>
    <d v="2020-12-15T00:00:00"/>
    <n v="5"/>
    <n v="130.83000000000001"/>
    <n v="1569.96"/>
    <n v="1000"/>
    <s v="A"/>
    <n v="1000"/>
    <n v="2.5"/>
    <s v="Minor Loss"/>
    <n v="30"/>
    <n v="56"/>
    <n v="0"/>
    <n v="4"/>
    <s v="M"/>
    <x v="2"/>
    <x v="0"/>
    <s v="Mortgage"/>
    <n v="1"/>
    <n v="0"/>
    <n v="3924.9"/>
    <n v="2865.1770000000001"/>
    <n v="1865.1770000000001"/>
  </r>
  <r>
    <s v="TXN00005326"/>
    <s v="A00008913"/>
    <s v="PLC00008334"/>
    <d v="2014-03-20T00:00:00"/>
    <d v="2020-12-15T00:00:00"/>
    <d v="2020-12-20T00:00:00"/>
    <n v="5"/>
    <n v="105.85"/>
    <n v="1270.2"/>
    <n v="6000"/>
    <s v="A"/>
    <n v="6000"/>
    <n v="8.75"/>
    <s v="Total Loss"/>
    <n v="105"/>
    <n v="55"/>
    <n v="0"/>
    <n v="3"/>
    <s v="L"/>
    <x v="2"/>
    <x v="0"/>
    <s v="Mortgage"/>
    <n v="1"/>
    <n v="0"/>
    <n v="11114.25"/>
    <n v="8113.4025000000001"/>
    <n v="2113.4025000000001"/>
  </r>
  <r>
    <s v="TXN00005338"/>
    <s v="A00009019"/>
    <s v="PLC00009267"/>
    <d v="2013-09-03T00:00:00"/>
    <d v="2020-12-19T00:00:00"/>
    <d v="2020-12-24T00:00:00"/>
    <n v="5"/>
    <n v="139.72999999999999"/>
    <n v="1676.76"/>
    <n v="8000"/>
    <s v="A"/>
    <n v="8000"/>
    <n v="0.75"/>
    <s v="Minor Loss"/>
    <n v="9"/>
    <n v="43"/>
    <n v="1"/>
    <n v="7"/>
    <s v="M"/>
    <x v="0"/>
    <x v="1"/>
    <s v="Mortgage"/>
    <n v="1"/>
    <n v="1"/>
    <n v="1257.57"/>
    <n v="918.02609999999993"/>
    <n v="-7081.9739"/>
  </r>
  <r>
    <s v="TXN00005366"/>
    <s v="A00003488"/>
    <s v="PLC00003922"/>
    <d v="2019-08-21T00:00:00"/>
    <d v="2020-12-31T00:00:00"/>
    <d v="2020-12-31T00:00:00"/>
    <n v="0"/>
    <n v="123.23"/>
    <n v="1478.76"/>
    <n v="9000"/>
    <s v="A"/>
    <n v="9000"/>
    <n v="8.25"/>
    <s v="Minor Loss"/>
    <n v="99"/>
    <n v="49"/>
    <n v="1"/>
    <n v="7"/>
    <s v="M"/>
    <x v="2"/>
    <x v="1"/>
    <s v="Rent"/>
    <n v="1"/>
    <n v="0"/>
    <n v="12199.77"/>
    <n v="8905.8320999999996"/>
    <n v="-94.167900000000373"/>
  </r>
  <r>
    <s v="TXN00005386"/>
    <s v="A00008265"/>
    <s v="PLC00005385"/>
    <d v="2011-01-09T00:00:00"/>
    <d v="2020-12-23T00:00:00"/>
    <d v="2020-12-26T00:00:00"/>
    <n v="3"/>
    <n v="78.89"/>
    <n v="946.68"/>
    <n v="9000"/>
    <s v="A"/>
    <n v="9000"/>
    <n v="9.42"/>
    <s v="Minor Loss"/>
    <n v="113"/>
    <n v="42"/>
    <n v="1"/>
    <n v="5"/>
    <s v="M"/>
    <x v="0"/>
    <x v="0"/>
    <s v="Own"/>
    <n v="0"/>
    <n v="1"/>
    <n v="8917.7255999999998"/>
    <n v="6509.9396879999995"/>
    <n v="-2490.0603120000005"/>
  </r>
  <r>
    <s v="TXN00005393"/>
    <s v="A00004126"/>
    <s v="PLC00004517"/>
    <d v="2016-07-23T00:00:00"/>
    <d v="2020-12-13T00:00:00"/>
    <d v="2020-12-18T00:00:00"/>
    <n v="5"/>
    <n v="109.68"/>
    <n v="1316.16"/>
    <n v="2000"/>
    <s v="A"/>
    <n v="2000"/>
    <n v="5.33"/>
    <s v="Major Loss"/>
    <n v="64"/>
    <n v="26"/>
    <n v="0"/>
    <n v="2"/>
    <s v="L"/>
    <x v="1"/>
    <x v="0"/>
    <s v="Mortgage"/>
    <n v="0"/>
    <n v="1"/>
    <n v="7015.1328000000003"/>
    <n v="5121.0469439999997"/>
    <n v="3121.0469439999997"/>
  </r>
  <r>
    <s v="TXN00005400"/>
    <s v="A00005724"/>
    <s v="PLC00000457"/>
    <d v="2012-05-15T00:00:00"/>
    <d v="2020-12-19T00:00:00"/>
    <d v="2020-12-24T00:00:00"/>
    <n v="5"/>
    <n v="103.62"/>
    <n v="1243.44"/>
    <n v="3000"/>
    <s v="A"/>
    <n v="3000"/>
    <n v="2.17"/>
    <s v="Total Loss"/>
    <n v="26"/>
    <n v="26"/>
    <n v="0"/>
    <n v="7"/>
    <s v="H"/>
    <x v="0"/>
    <x v="2"/>
    <s v="Own"/>
    <n v="1"/>
    <n v="0"/>
    <n v="2698.2647999999999"/>
    <n v="1969.7333039999999"/>
    <n v="-1030.2666960000001"/>
  </r>
  <r>
    <s v="TXN00005405"/>
    <s v="A00006503"/>
    <s v="PLC00001584"/>
    <d v="2018-12-13T00:00:00"/>
    <d v="2020-12-23T00:00:00"/>
    <d v="2020-12-28T00:00:00"/>
    <n v="5"/>
    <n v="134.16"/>
    <n v="1609.92"/>
    <n v="5000"/>
    <s v="A"/>
    <n v="5000"/>
    <n v="1.75"/>
    <s v="Major Loss"/>
    <n v="21"/>
    <n v="35"/>
    <n v="1"/>
    <n v="4"/>
    <s v="H"/>
    <x v="0"/>
    <x v="1"/>
    <s v="Rent"/>
    <n v="0"/>
    <n v="1"/>
    <n v="2817.36"/>
    <n v="2056.6727999999998"/>
    <n v="-2943.3272000000002"/>
  </r>
  <r>
    <s v="TXN00005409"/>
    <s v="A00006761"/>
    <s v="PLC00008320"/>
    <d v="2015-04-03T00:00:00"/>
    <d v="2020-12-25T00:00:00"/>
    <d v="2020-12-28T00:00:00"/>
    <n v="3"/>
    <n v="134.61000000000001"/>
    <n v="1615.32"/>
    <n v="3000"/>
    <s v="A"/>
    <n v="3000"/>
    <n v="5"/>
    <s v="Total Loss"/>
    <n v="60"/>
    <n v="25"/>
    <n v="1"/>
    <n v="2"/>
    <s v="L"/>
    <x v="1"/>
    <x v="1"/>
    <s v="Mortgage"/>
    <n v="1"/>
    <n v="1"/>
    <n v="8076.5999999999995"/>
    <n v="5895.9179999999997"/>
    <n v="2895.9179999999997"/>
  </r>
  <r>
    <s v="TXN00005419"/>
    <s v="A00005772"/>
    <s v="PLC00000323"/>
    <d v="2012-11-30T00:00:00"/>
    <d v="2020-12-17T00:00:00"/>
    <d v="2020-12-22T00:00:00"/>
    <n v="5"/>
    <n v="124.9"/>
    <n v="1498.8"/>
    <n v="3000"/>
    <s v="A"/>
    <n v="3000"/>
    <n v="1.17"/>
    <s v="Minor Loss"/>
    <n v="14"/>
    <n v="63"/>
    <n v="1"/>
    <n v="2"/>
    <s v="M"/>
    <x v="0"/>
    <x v="0"/>
    <s v="Own"/>
    <n v="0"/>
    <n v="0"/>
    <n v="1753.5959999999998"/>
    <n v="1280.1250799999998"/>
    <n v="-1719.8749200000002"/>
  </r>
  <r>
    <s v="TXN00005426"/>
    <s v="A00006587"/>
    <s v="PLC00004421"/>
    <d v="2012-04-22T00:00:00"/>
    <d v="2021-01-02T00:00:00"/>
    <d v="2021-01-02T00:00:00"/>
    <n v="0"/>
    <n v="124.05"/>
    <n v="1488.6"/>
    <n v="3000"/>
    <s v="A"/>
    <n v="3000"/>
    <n v="3.17"/>
    <s v="Total Loss"/>
    <n v="38"/>
    <n v="48"/>
    <n v="1"/>
    <n v="6"/>
    <s v="M"/>
    <x v="1"/>
    <x v="0"/>
    <s v="Mortgage"/>
    <n v="0"/>
    <n v="0"/>
    <n v="4718.8619999999992"/>
    <n v="3444.7692599999991"/>
    <n v="444.76925999999912"/>
  </r>
  <r>
    <s v="TXN00005434"/>
    <s v="A00008772"/>
    <s v="PLC00003440"/>
    <d v="2015-10-25T00:00:00"/>
    <d v="2020-12-26T00:00:00"/>
    <d v="2020-12-29T00:00:00"/>
    <n v="3"/>
    <n v="87.65"/>
    <n v="1051.8"/>
    <n v="7000"/>
    <s v="A"/>
    <n v="7000"/>
    <n v="2.5"/>
    <s v="Total Loss"/>
    <n v="30"/>
    <n v="31"/>
    <n v="0"/>
    <n v="2"/>
    <s v="L"/>
    <x v="1"/>
    <x v="0"/>
    <s v="Own"/>
    <n v="0"/>
    <n v="0"/>
    <n v="2629.5"/>
    <n v="1919.5349999999999"/>
    <n v="-5080.4650000000001"/>
  </r>
  <r>
    <s v="TXN00005436"/>
    <s v="A00007663"/>
    <s v="PLC00001192"/>
    <d v="2013-11-03T00:00:00"/>
    <d v="2020-12-20T00:00:00"/>
    <d v="2020-12-25T00:00:00"/>
    <n v="5"/>
    <n v="70.05"/>
    <n v="840.6"/>
    <n v="9000"/>
    <s v="A"/>
    <n v="9000"/>
    <n v="3.25"/>
    <s v="Total Loss"/>
    <n v="39"/>
    <n v="48"/>
    <n v="0"/>
    <n v="2"/>
    <s v="L"/>
    <x v="1"/>
    <x v="3"/>
    <s v="Own"/>
    <n v="1"/>
    <n v="1"/>
    <n v="2731.9500000000003"/>
    <n v="1994.3235000000002"/>
    <n v="-7005.6764999999996"/>
  </r>
  <r>
    <s v="TXN00005441"/>
    <s v="A00005218"/>
    <s v="PLC00007393"/>
    <d v="2016-02-21T00:00:00"/>
    <d v="2020-12-24T00:00:00"/>
    <d v="2020-12-29T00:00:00"/>
    <n v="5"/>
    <n v="73.62"/>
    <n v="883.44"/>
    <n v="7000"/>
    <s v="A"/>
    <n v="7000"/>
    <n v="7.58"/>
    <s v="Total Loss"/>
    <n v="91"/>
    <n v="61"/>
    <n v="0"/>
    <n v="2"/>
    <s v="L"/>
    <x v="2"/>
    <x v="2"/>
    <s v="Mortgage"/>
    <n v="0"/>
    <n v="1"/>
    <n v="6696.4752000000008"/>
    <n v="4888.4268960000009"/>
    <n v="-2111.5731039999991"/>
  </r>
  <r>
    <s v="TXN00005442"/>
    <s v="A00003325"/>
    <s v="PLC00000641"/>
    <d v="2014-04-22T00:00:00"/>
    <d v="2020-12-16T00:00:00"/>
    <d v="2020-12-21T00:00:00"/>
    <n v="5"/>
    <n v="96.11"/>
    <n v="1153.32"/>
    <n v="8000"/>
    <s v="A"/>
    <n v="8000"/>
    <n v="8.58"/>
    <s v="Minor Loss"/>
    <n v="103"/>
    <n v="56"/>
    <n v="1"/>
    <n v="7"/>
    <s v="M"/>
    <x v="0"/>
    <x v="1"/>
    <s v="Own"/>
    <n v="1"/>
    <n v="1"/>
    <n v="9895.4856"/>
    <n v="7223.7044879999994"/>
    <n v="-776.2955120000006"/>
  </r>
  <r>
    <s v="TXN00005451"/>
    <s v="A00000566"/>
    <s v="PLC00006734"/>
    <d v="2010-10-27T00:00:00"/>
    <d v="2020-12-28T00:00:00"/>
    <d v="2020-12-31T00:00:00"/>
    <n v="3"/>
    <n v="75.72"/>
    <n v="908.64"/>
    <n v="5000"/>
    <s v="A"/>
    <n v="5000"/>
    <n v="1.5"/>
    <s v="Major Loss"/>
    <n v="18"/>
    <n v="49"/>
    <n v="1"/>
    <n v="5"/>
    <s v="M"/>
    <x v="2"/>
    <x v="4"/>
    <s v="Own"/>
    <n v="1"/>
    <n v="0"/>
    <n v="1362.96"/>
    <n v="994.96079999999995"/>
    <n v="-4005.0392000000002"/>
  </r>
  <r>
    <s v="TXN00005453"/>
    <s v="A00009344"/>
    <s v="PLC00009239"/>
    <d v="2017-10-04T00:00:00"/>
    <d v="2020-12-21T00:00:00"/>
    <d v="2020-12-26T00:00:00"/>
    <n v="5"/>
    <n v="79.59"/>
    <n v="955.08"/>
    <n v="10000"/>
    <s v="A"/>
    <n v="10000"/>
    <n v="3.17"/>
    <s v="Major Loss"/>
    <n v="38"/>
    <n v="41"/>
    <n v="0"/>
    <n v="7"/>
    <s v="L"/>
    <x v="0"/>
    <x v="3"/>
    <s v="Rent"/>
    <n v="1"/>
    <n v="1"/>
    <n v="3027.6035999999999"/>
    <n v="2210.1506279999999"/>
    <n v="-7789.8493720000006"/>
  </r>
  <r>
    <s v="TXN00005455"/>
    <s v="A00005268"/>
    <s v="PLC00004354"/>
    <d v="2018-12-09T00:00:00"/>
    <d v="2020-12-17T00:00:00"/>
    <d v="2020-12-22T00:00:00"/>
    <n v="5"/>
    <n v="114.18"/>
    <n v="1370.16"/>
    <n v="7000"/>
    <s v="A"/>
    <n v="7000"/>
    <n v="0.67"/>
    <s v="Total Loss"/>
    <n v="8"/>
    <n v="64"/>
    <n v="1"/>
    <n v="7"/>
    <s v="M"/>
    <x v="1"/>
    <x v="2"/>
    <s v="Rent"/>
    <n v="0"/>
    <n v="1"/>
    <n v="918.00720000000013"/>
    <n v="670.14525600000013"/>
    <n v="-6329.8547440000002"/>
  </r>
  <r>
    <s v="TXN00005457"/>
    <s v="A00000997"/>
    <s v="PLC00001658"/>
    <d v="2011-11-17T00:00:00"/>
    <d v="2020-12-27T00:00:00"/>
    <d v="2020-12-30T00:00:00"/>
    <n v="3"/>
    <n v="103.16"/>
    <n v="1237.92"/>
    <n v="9000"/>
    <s v="A"/>
    <n v="9000"/>
    <n v="2.5"/>
    <s v="Total Loss"/>
    <n v="30"/>
    <n v="57"/>
    <n v="1"/>
    <n v="4"/>
    <s v="M"/>
    <x v="0"/>
    <x v="2"/>
    <s v="Own"/>
    <n v="1"/>
    <n v="1"/>
    <n v="3094.8"/>
    <n v="2259.2040000000002"/>
    <n v="-6740.7960000000003"/>
  </r>
  <r>
    <s v="TXN00005464"/>
    <s v="A00003501"/>
    <s v="PLC00003566"/>
    <d v="2016-07-05T00:00:00"/>
    <d v="2020-12-19T00:00:00"/>
    <d v="2020-12-24T00:00:00"/>
    <n v="5"/>
    <n v="99.92"/>
    <n v="1199.04"/>
    <n v="8000"/>
    <s v="A"/>
    <n v="8000"/>
    <n v="9.17"/>
    <s v="Minor Loss"/>
    <n v="110"/>
    <n v="54"/>
    <n v="0"/>
    <n v="7"/>
    <s v="M"/>
    <x v="0"/>
    <x v="1"/>
    <s v="Mortgage"/>
    <n v="0"/>
    <n v="0"/>
    <n v="10995.1968"/>
    <n v="8026.4936639999996"/>
    <n v="26.493663999999626"/>
  </r>
  <r>
    <s v="TXN00005475"/>
    <s v="A00005426"/>
    <s v="PLC00009886"/>
    <d v="2011-01-24T00:00:00"/>
    <d v="2020-12-30T00:00:00"/>
    <d v="2021-01-01T00:00:00"/>
    <n v="2"/>
    <n v="105.16"/>
    <n v="1261.92"/>
    <n v="10000"/>
    <s v="A"/>
    <n v="10000"/>
    <n v="6.83"/>
    <s v="Total Loss"/>
    <n v="82"/>
    <n v="31"/>
    <n v="1"/>
    <n v="3"/>
    <s v="M"/>
    <x v="1"/>
    <x v="1"/>
    <s v="Own"/>
    <n v="1"/>
    <n v="1"/>
    <n v="8618.9135999999999"/>
    <n v="6291.806928"/>
    <n v="-3708.193072"/>
  </r>
  <r>
    <s v="TXN00005477"/>
    <s v="A00008468"/>
    <s v="PLC00001188"/>
    <d v="2013-08-09T00:00:00"/>
    <d v="2020-12-18T00:00:00"/>
    <d v="2020-12-23T00:00:00"/>
    <n v="5"/>
    <n v="87.52"/>
    <n v="1050.24"/>
    <n v="4000"/>
    <s v="A"/>
    <n v="4000"/>
    <n v="3.58"/>
    <s v="Minor Loss"/>
    <n v="43"/>
    <n v="58"/>
    <n v="1"/>
    <n v="5"/>
    <s v="L"/>
    <x v="2"/>
    <x v="0"/>
    <s v="Rent"/>
    <n v="1"/>
    <n v="1"/>
    <n v="3759.8592000000003"/>
    <n v="2744.697216"/>
    <n v="-1255.302784"/>
  </r>
  <r>
    <s v="TXN00005484"/>
    <s v="A00009308"/>
    <s v="PLC00008219"/>
    <d v="2011-10-04T00:00:00"/>
    <d v="2020-12-24T00:00:00"/>
    <d v="2020-12-29T00:00:00"/>
    <n v="5"/>
    <n v="111.74"/>
    <n v="1340.88"/>
    <n v="3000"/>
    <s v="A"/>
    <n v="3000"/>
    <n v="7.08"/>
    <s v="Major Loss"/>
    <n v="85"/>
    <n v="50"/>
    <n v="1"/>
    <n v="3"/>
    <s v="L"/>
    <x v="2"/>
    <x v="4"/>
    <s v="Rent"/>
    <n v="0"/>
    <n v="1"/>
    <n v="9493.4304000000011"/>
    <n v="6930.2041920000011"/>
    <n v="3930.2041920000011"/>
  </r>
  <r>
    <s v="TXN00005496"/>
    <s v="A00009748"/>
    <s v="PLC00002121"/>
    <d v="2011-08-11T00:00:00"/>
    <d v="2021-01-04T00:00:00"/>
    <d v="2021-01-04T00:00:00"/>
    <n v="0"/>
    <n v="123.71"/>
    <n v="1484.52"/>
    <n v="1000"/>
    <s v="A"/>
    <n v="1000"/>
    <n v="4.08"/>
    <s v="Minor Loss"/>
    <n v="49"/>
    <n v="42"/>
    <n v="1"/>
    <n v="6"/>
    <s v="L"/>
    <x v="0"/>
    <x v="2"/>
    <s v="Mortgage"/>
    <n v="0"/>
    <n v="1"/>
    <n v="6056.8415999999997"/>
    <n v="4421.4943679999997"/>
    <n v="3421.4943679999997"/>
  </r>
  <r>
    <s v="TXN00005504"/>
    <s v="A00007292"/>
    <s v="PLC00006222"/>
    <d v="2018-12-10T00:00:00"/>
    <d v="2020-12-18T00:00:00"/>
    <d v="2020-12-23T00:00:00"/>
    <n v="5"/>
    <n v="90.37"/>
    <n v="1084.44"/>
    <n v="2000"/>
    <s v="A"/>
    <n v="2000"/>
    <n v="3.17"/>
    <s v="Minor Loss"/>
    <n v="38"/>
    <n v="32"/>
    <n v="1"/>
    <n v="5"/>
    <s v="L"/>
    <x v="0"/>
    <x v="6"/>
    <s v="Rent"/>
    <n v="1"/>
    <n v="0"/>
    <n v="3437.6748000000002"/>
    <n v="2509.5026040000002"/>
    <n v="509.50260400000025"/>
  </r>
  <r>
    <s v="TXN00005518"/>
    <s v="A00007172"/>
    <s v="PLC00006477"/>
    <d v="2018-11-20T00:00:00"/>
    <d v="2020-12-26T00:00:00"/>
    <d v="2020-12-31T00:00:00"/>
    <n v="5"/>
    <n v="85.9"/>
    <n v="1030.8"/>
    <n v="1000"/>
    <s v="A"/>
    <n v="1000"/>
    <n v="8.25"/>
    <s v="Total Loss"/>
    <n v="99"/>
    <n v="25"/>
    <n v="1"/>
    <n v="2"/>
    <s v="L"/>
    <x v="1"/>
    <x v="0"/>
    <s v="Own"/>
    <n v="1"/>
    <n v="0"/>
    <n v="8504.1"/>
    <n v="6207.9930000000004"/>
    <n v="5207.9930000000004"/>
  </r>
  <r>
    <s v="TXN00005549"/>
    <s v="A00000899"/>
    <s v="PLC00006456"/>
    <d v="2017-07-27T00:00:00"/>
    <d v="2020-12-27T00:00:00"/>
    <d v="2021-01-01T00:00:00"/>
    <n v="5"/>
    <n v="125.71"/>
    <n v="1508.52"/>
    <n v="9000"/>
    <s v="A"/>
    <n v="9000"/>
    <n v="6.08"/>
    <s v="Total Loss"/>
    <n v="73"/>
    <n v="55"/>
    <n v="0"/>
    <n v="4"/>
    <s v="M"/>
    <x v="1"/>
    <x v="1"/>
    <s v="Mortgage"/>
    <n v="1"/>
    <n v="1"/>
    <n v="9171.8016000000007"/>
    <n v="6695.4151680000004"/>
    <n v="-2304.5848319999996"/>
  </r>
  <r>
    <s v="TXN00005555"/>
    <s v="A00008517"/>
    <s v="PLC00004808"/>
    <d v="2013-02-07T00:00:00"/>
    <d v="2020-12-24T00:00:00"/>
    <d v="2020-12-29T00:00:00"/>
    <n v="5"/>
    <n v="122.97"/>
    <n v="1475.64"/>
    <n v="4000"/>
    <s v="A"/>
    <n v="4000"/>
    <n v="2.5"/>
    <s v="Minor Loss"/>
    <n v="30"/>
    <n v="43"/>
    <n v="1"/>
    <n v="3"/>
    <s v="L"/>
    <x v="1"/>
    <x v="1"/>
    <s v="Own"/>
    <n v="1"/>
    <n v="1"/>
    <n v="3689.1000000000004"/>
    <n v="2693.0430000000001"/>
    <n v="-1306.9569999999999"/>
  </r>
  <r>
    <s v="TXN00005557"/>
    <s v="A00006154"/>
    <s v="PLC00002030"/>
    <d v="2012-02-26T00:00:00"/>
    <d v="2020-12-24T00:00:00"/>
    <d v="2020-12-29T00:00:00"/>
    <n v="5"/>
    <n v="115.27"/>
    <n v="1383.24"/>
    <n v="8000"/>
    <s v="A"/>
    <n v="8000"/>
    <n v="9.08"/>
    <s v="Minor Loss"/>
    <n v="109"/>
    <n v="57"/>
    <n v="0"/>
    <n v="2"/>
    <s v="L"/>
    <x v="0"/>
    <x v="0"/>
    <s v="Rent"/>
    <n v="0"/>
    <n v="1"/>
    <n v="12559.8192"/>
    <n v="9168.6680159999996"/>
    <n v="1168.6680159999996"/>
  </r>
  <r>
    <s v="TXN00005561"/>
    <s v="A00000502"/>
    <s v="PLC00009405"/>
    <d v="2016-09-27T00:00:00"/>
    <d v="2021-01-04T00:00:00"/>
    <d v="2021-01-05T00:00:00"/>
    <n v="1"/>
    <n v="91.34"/>
    <n v="1096.08"/>
    <n v="3000"/>
    <s v="A"/>
    <n v="3000"/>
    <n v="6.83"/>
    <s v="Total Loss"/>
    <n v="82"/>
    <n v="60"/>
    <n v="0"/>
    <n v="7"/>
    <s v="L"/>
    <x v="2"/>
    <x v="0"/>
    <s v="Rent"/>
    <n v="0"/>
    <n v="1"/>
    <n v="7486.2263999999996"/>
    <n v="5464.9452719999999"/>
    <n v="2464.9452719999999"/>
  </r>
  <r>
    <s v="TXN00005562"/>
    <s v="A00009941"/>
    <s v="PLC00003601"/>
    <d v="2013-01-21T00:00:00"/>
    <d v="2020-12-27T00:00:00"/>
    <d v="2021-01-01T00:00:00"/>
    <n v="5"/>
    <n v="127.23"/>
    <n v="1526.76"/>
    <n v="2000"/>
    <s v="A"/>
    <n v="2000"/>
    <n v="6.33"/>
    <s v="Minor Loss"/>
    <n v="76"/>
    <n v="55"/>
    <n v="0"/>
    <n v="7"/>
    <s v="L"/>
    <x v="0"/>
    <x v="1"/>
    <s v="Mortgage"/>
    <n v="1"/>
    <n v="1"/>
    <n v="9664.3907999999992"/>
    <n v="7055.0052839999989"/>
    <n v="5055.0052839999989"/>
  </r>
  <r>
    <s v="TXN00005569"/>
    <s v="A00006172"/>
    <s v="PLC00002547"/>
    <d v="2013-12-25T00:00:00"/>
    <d v="2021-01-02T00:00:00"/>
    <d v="2021-01-04T00:00:00"/>
    <n v="2"/>
    <n v="86.5"/>
    <n v="1038"/>
    <n v="8000"/>
    <s v="A"/>
    <n v="8000"/>
    <n v="7"/>
    <s v="Minor Loss"/>
    <n v="84"/>
    <n v="32"/>
    <n v="1"/>
    <n v="5"/>
    <s v="H"/>
    <x v="0"/>
    <x v="1"/>
    <s v="Mortgage"/>
    <n v="1"/>
    <n v="1"/>
    <n v="7266"/>
    <n v="5304.18"/>
    <n v="-2695.8199999999997"/>
  </r>
  <r>
    <s v="TXN00005574"/>
    <s v="A00006995"/>
    <s v="PLC00009161"/>
    <d v="2014-04-24T00:00:00"/>
    <d v="2020-12-20T00:00:00"/>
    <d v="2020-12-25T00:00:00"/>
    <n v="5"/>
    <n v="93.98"/>
    <n v="1127.76"/>
    <n v="2000"/>
    <s v="A"/>
    <n v="2000"/>
    <n v="1.17"/>
    <s v="Minor Loss"/>
    <n v="14"/>
    <n v="40"/>
    <n v="1"/>
    <n v="2"/>
    <s v="L"/>
    <x v="0"/>
    <x v="2"/>
    <s v="Mortgage"/>
    <n v="1"/>
    <n v="1"/>
    <n v="1319.4792"/>
    <n v="963.21981599999992"/>
    <n v="-1036.7801840000002"/>
  </r>
  <r>
    <s v="TXN00005597"/>
    <s v="A00005412"/>
    <s v="PLC00001513"/>
    <d v="2012-04-08T00:00:00"/>
    <d v="2020-12-25T00:00:00"/>
    <d v="2020-12-30T00:00:00"/>
    <n v="5"/>
    <n v="85.52"/>
    <n v="1026.24"/>
    <n v="6000"/>
    <s v="A"/>
    <n v="6000"/>
    <n v="3.08"/>
    <s v="Major Loss"/>
    <n v="37"/>
    <n v="64"/>
    <n v="1"/>
    <n v="4"/>
    <s v="M"/>
    <x v="1"/>
    <x v="1"/>
    <s v="Mortgage"/>
    <n v="1"/>
    <n v="1"/>
    <n v="3160.8191999999999"/>
    <n v="2307.3980160000001"/>
    <n v="-3692.6019839999999"/>
  </r>
  <r>
    <s v="TXN00005609"/>
    <s v="A00008760"/>
    <s v="PLC00009614"/>
    <d v="2016-10-27T00:00:00"/>
    <d v="2021-01-02T00:00:00"/>
    <d v="2021-01-05T00:00:00"/>
    <n v="3"/>
    <n v="78.709999999999994"/>
    <n v="944.52"/>
    <n v="2000"/>
    <s v="A"/>
    <n v="2000"/>
    <n v="7.33"/>
    <s v="Minor Loss"/>
    <n v="88"/>
    <n v="50"/>
    <n v="1"/>
    <n v="3"/>
    <s v="L"/>
    <x v="0"/>
    <x v="1"/>
    <s v="Own"/>
    <n v="1"/>
    <n v="0"/>
    <n v="6923.3315999999995"/>
    <n v="5054.0320679999995"/>
    <n v="3054.0320679999995"/>
  </r>
  <r>
    <s v="TXN00005614"/>
    <s v="A00005993"/>
    <s v="PLC00008416"/>
    <d v="2012-09-07T00:00:00"/>
    <d v="2020-12-25T00:00:00"/>
    <d v="2020-12-30T00:00:00"/>
    <n v="5"/>
    <n v="123.84"/>
    <n v="1486.08"/>
    <n v="4000"/>
    <s v="A"/>
    <n v="4000"/>
    <n v="2.67"/>
    <s v="Minor Loss"/>
    <n v="32"/>
    <n v="28"/>
    <n v="0"/>
    <n v="5"/>
    <s v="L"/>
    <x v="0"/>
    <x v="1"/>
    <s v="Rent"/>
    <n v="1"/>
    <n v="1"/>
    <n v="3967.8335999999995"/>
    <n v="2896.5185279999996"/>
    <n v="-1103.4814720000004"/>
  </r>
  <r>
    <s v="TXN00005615"/>
    <s v="A00003653"/>
    <s v="PLC00004244"/>
    <d v="2019-03-02T00:00:00"/>
    <d v="2020-12-26T00:00:00"/>
    <d v="2020-12-31T00:00:00"/>
    <n v="5"/>
    <n v="79.39"/>
    <n v="952.68"/>
    <n v="9000"/>
    <s v="A"/>
    <n v="9000"/>
    <n v="9.58"/>
    <s v="Total Loss"/>
    <n v="115"/>
    <n v="37"/>
    <n v="0"/>
    <n v="2"/>
    <s v="M"/>
    <x v="0"/>
    <x v="0"/>
    <s v="Own"/>
    <n v="1"/>
    <n v="1"/>
    <n v="9126.6743999999999"/>
    <n v="6662.4723119999999"/>
    <n v="-2337.5276880000001"/>
  </r>
  <r>
    <s v="TXN00005624"/>
    <s v="A00003191"/>
    <s v="PLC00009690"/>
    <d v="2015-01-03T00:00:00"/>
    <d v="2020-12-22T00:00:00"/>
    <d v="2020-12-27T00:00:00"/>
    <n v="5"/>
    <n v="81.790000000000006"/>
    <n v="981.48"/>
    <n v="7000"/>
    <s v="A"/>
    <n v="7000"/>
    <n v="5.83"/>
    <s v="Major Loss"/>
    <n v="70"/>
    <n v="51"/>
    <n v="1"/>
    <n v="7"/>
    <s v="H"/>
    <x v="0"/>
    <x v="0"/>
    <s v="Own"/>
    <n v="0"/>
    <n v="1"/>
    <n v="5722.0284000000001"/>
    <n v="4177.0807320000004"/>
    <n v="-2822.9192679999996"/>
  </r>
  <r>
    <s v="TXN00005634"/>
    <s v="A00002283"/>
    <s v="PLC00000283"/>
    <d v="2012-09-15T00:00:00"/>
    <d v="2021-01-06T00:00:00"/>
    <d v="2021-01-07T00:00:00"/>
    <n v="1"/>
    <n v="123.35"/>
    <n v="1480.2"/>
    <n v="2000"/>
    <s v="A"/>
    <n v="2000"/>
    <n v="5.58"/>
    <s v="Major Loss"/>
    <n v="67"/>
    <n v="36"/>
    <n v="1"/>
    <n v="7"/>
    <s v="L"/>
    <x v="0"/>
    <x v="1"/>
    <s v="Own"/>
    <n v="1"/>
    <n v="1"/>
    <n v="8259.5159999999996"/>
    <n v="6029.44668"/>
    <n v="4029.44668"/>
  </r>
  <r>
    <s v="TXN00005638"/>
    <s v="A00002481"/>
    <s v="PLC00009856"/>
    <d v="2010-11-03T00:00:00"/>
    <d v="2021-01-08T00:00:00"/>
    <d v="2021-01-08T00:00:00"/>
    <n v="0"/>
    <n v="82.89"/>
    <n v="994.68"/>
    <n v="2000"/>
    <s v="A"/>
    <n v="2000"/>
    <n v="8.92"/>
    <s v="Major Loss"/>
    <n v="107"/>
    <n v="55"/>
    <n v="1"/>
    <n v="2"/>
    <s v="M"/>
    <x v="1"/>
    <x v="1"/>
    <s v="Mortgage"/>
    <n v="0"/>
    <n v="0"/>
    <n v="8872.5455999999995"/>
    <n v="6476.9582879999998"/>
    <n v="4476.9582879999998"/>
  </r>
  <r>
    <s v="TXN00005648"/>
    <s v="A00003862"/>
    <s v="PLC00003328"/>
    <d v="2019-02-26T00:00:00"/>
    <d v="2020-12-31T00:00:00"/>
    <d v="2021-01-05T00:00:00"/>
    <n v="5"/>
    <n v="128.29"/>
    <n v="1539.48"/>
    <n v="4000"/>
    <s v="A"/>
    <n v="4000"/>
    <n v="6.83"/>
    <s v="Major Loss"/>
    <n v="82"/>
    <n v="49"/>
    <n v="0"/>
    <n v="4"/>
    <s v="L"/>
    <x v="0"/>
    <x v="4"/>
    <s v="Mortgage"/>
    <n v="1"/>
    <n v="1"/>
    <n v="10514.6484"/>
    <n v="7675.6933319999998"/>
    <n v="3675.6933319999998"/>
  </r>
  <r>
    <s v="TXN00005660"/>
    <s v="A00005056"/>
    <s v="PLC00003248"/>
    <d v="2015-04-29T00:00:00"/>
    <d v="2020-12-27T00:00:00"/>
    <d v="2021-01-01T00:00:00"/>
    <n v="5"/>
    <n v="91.43"/>
    <n v="1097.1600000000001"/>
    <n v="10000"/>
    <s v="A"/>
    <n v="10000"/>
    <n v="8.5"/>
    <s v="Major Loss"/>
    <n v="102"/>
    <n v="55"/>
    <n v="0"/>
    <n v="6"/>
    <s v="L"/>
    <x v="0"/>
    <x v="1"/>
    <s v="Mortgage"/>
    <n v="1"/>
    <n v="1"/>
    <n v="9325.86"/>
    <n v="6807.8778000000002"/>
    <n v="-3192.1221999999998"/>
  </r>
  <r>
    <s v="TXN00005666"/>
    <s v="A00009877"/>
    <s v="PLC00007860"/>
    <d v="2017-04-09T00:00:00"/>
    <d v="2021-01-02T00:00:00"/>
    <d v="2021-01-05T00:00:00"/>
    <n v="3"/>
    <n v="102.25"/>
    <n v="1227"/>
    <n v="5000"/>
    <s v="A"/>
    <n v="5000"/>
    <n v="2.33"/>
    <s v="Minor Loss"/>
    <n v="28"/>
    <n v="53"/>
    <n v="1"/>
    <n v="7"/>
    <s v="M"/>
    <x v="2"/>
    <x v="1"/>
    <s v="Rent"/>
    <n v="1"/>
    <n v="1"/>
    <n v="2858.9100000000003"/>
    <n v="2087.0043000000001"/>
    <n v="-2912.9956999999999"/>
  </r>
  <r>
    <s v="TXN00005671"/>
    <s v="A00009957"/>
    <s v="PLC00009003"/>
    <d v="2017-08-30T00:00:00"/>
    <d v="2020-12-26T00:00:00"/>
    <d v="2020-12-31T00:00:00"/>
    <n v="5"/>
    <n v="132.47999999999999"/>
    <n v="1589.76"/>
    <n v="3000"/>
    <s v="A"/>
    <n v="3000"/>
    <n v="9.58"/>
    <s v="Minor Loss"/>
    <n v="115"/>
    <n v="62"/>
    <n v="1"/>
    <n v="4"/>
    <s v="L"/>
    <x v="2"/>
    <x v="0"/>
    <s v="Rent"/>
    <n v="1"/>
    <n v="1"/>
    <n v="15229.900799999999"/>
    <n v="11117.827583999999"/>
    <n v="8117.8275839999988"/>
  </r>
  <r>
    <s v="TXN00005678"/>
    <s v="A00009212"/>
    <s v="PLC00003089"/>
    <d v="2017-10-24T00:00:00"/>
    <d v="2021-01-09T00:00:00"/>
    <d v="2021-01-10T00:00:00"/>
    <n v="1"/>
    <n v="95.37"/>
    <n v="1144.44"/>
    <n v="7000"/>
    <s v="A"/>
    <n v="7000"/>
    <n v="1.5"/>
    <s v="Total Loss"/>
    <n v="18"/>
    <n v="43"/>
    <n v="1"/>
    <n v="6"/>
    <s v="M"/>
    <x v="0"/>
    <x v="1"/>
    <s v="Mortgage"/>
    <n v="0"/>
    <n v="0"/>
    <n v="1716.66"/>
    <n v="1253.1618000000001"/>
    <n v="-5746.8382000000001"/>
  </r>
  <r>
    <s v="TXN00005684"/>
    <s v="A00003408"/>
    <s v="PLC00009755"/>
    <d v="2016-10-18T00:00:00"/>
    <d v="2020-12-24T00:00:00"/>
    <d v="2020-12-29T00:00:00"/>
    <n v="5"/>
    <n v="109.85"/>
    <n v="1318.2"/>
    <n v="6000"/>
    <s v="A"/>
    <n v="6000"/>
    <n v="3.17"/>
    <s v="Total Loss"/>
    <n v="38"/>
    <n v="57"/>
    <n v="0"/>
    <n v="6"/>
    <s v="M"/>
    <x v="1"/>
    <x v="1"/>
    <s v="Mortgage"/>
    <n v="1"/>
    <n v="1"/>
    <n v="4178.6940000000004"/>
    <n v="3050.4466200000002"/>
    <n v="-2949.5533799999998"/>
  </r>
  <r>
    <s v="TXN00005687"/>
    <s v="A00009679"/>
    <s v="PLC00001686"/>
    <d v="2015-02-06T00:00:00"/>
    <d v="2021-01-06T00:00:00"/>
    <d v="2021-01-08T00:00:00"/>
    <n v="2"/>
    <n v="84.56"/>
    <n v="1014.72"/>
    <n v="10000"/>
    <s v="A"/>
    <n v="10000"/>
    <n v="1.42"/>
    <s v="Total Loss"/>
    <n v="17"/>
    <n v="54"/>
    <n v="1"/>
    <n v="4"/>
    <s v="M"/>
    <x v="0"/>
    <x v="1"/>
    <s v="Mortgage"/>
    <n v="1"/>
    <n v="1"/>
    <n v="1440.9023999999999"/>
    <n v="1051.8587519999999"/>
    <n v="-8948.1412479999999"/>
  </r>
  <r>
    <s v="TXN00005701"/>
    <s v="A00005011"/>
    <s v="PLC00000728"/>
    <d v="2014-01-21T00:00:00"/>
    <d v="2021-01-12T00:00:00"/>
    <d v="2021-01-12T00:00:00"/>
    <n v="0"/>
    <n v="80.400000000000006"/>
    <n v="964.8"/>
    <n v="6000"/>
    <s v="A"/>
    <n v="6000"/>
    <n v="7.83"/>
    <s v="Total Loss"/>
    <n v="94"/>
    <n v="57"/>
    <n v="0"/>
    <n v="2"/>
    <s v="M"/>
    <x v="0"/>
    <x v="1"/>
    <s v="Rent"/>
    <n v="1"/>
    <n v="1"/>
    <n v="7554.384"/>
    <n v="5514.7003199999999"/>
    <n v="-485.29968000000008"/>
  </r>
  <r>
    <s v="TXN00005711"/>
    <s v="A00000902"/>
    <s v="PLC00004087"/>
    <d v="2016-01-28T00:00:00"/>
    <d v="2020-12-28T00:00:00"/>
    <d v="2021-01-02T00:00:00"/>
    <n v="5"/>
    <n v="127.71"/>
    <n v="1532.52"/>
    <n v="3000"/>
    <s v="A"/>
    <n v="3000"/>
    <n v="8.08"/>
    <s v="Total Loss"/>
    <n v="97"/>
    <n v="41"/>
    <n v="0"/>
    <n v="5"/>
    <s v="L"/>
    <x v="2"/>
    <x v="0"/>
    <s v="Own"/>
    <n v="1"/>
    <n v="1"/>
    <n v="12382.7616"/>
    <n v="9039.4159679999993"/>
    <n v="6039.4159679999993"/>
  </r>
  <r>
    <s v="TXN00005721"/>
    <s v="A00004959"/>
    <s v="PLC00004910"/>
    <d v="2017-04-18T00:00:00"/>
    <d v="2021-01-14T00:00:00"/>
    <d v="2021-01-14T00:00:00"/>
    <n v="0"/>
    <n v="78.41"/>
    <n v="940.92"/>
    <n v="1000"/>
    <s v="A"/>
    <n v="1000"/>
    <n v="9.42"/>
    <s v="Total Loss"/>
    <n v="113"/>
    <n v="32"/>
    <n v="0"/>
    <n v="7"/>
    <s v="M"/>
    <x v="1"/>
    <x v="0"/>
    <s v="Own"/>
    <n v="1"/>
    <n v="1"/>
    <n v="8863.4663999999993"/>
    <n v="6470.3304719999996"/>
    <n v="5470.3304719999996"/>
  </r>
  <r>
    <s v="TXN00005724"/>
    <s v="A00007006"/>
    <s v="PLC00007771"/>
    <d v="2011-01-23T00:00:00"/>
    <d v="2021-01-07T00:00:00"/>
    <d v="2021-01-10T00:00:00"/>
    <n v="3"/>
    <n v="78.069999999999993"/>
    <n v="936.84"/>
    <n v="8000"/>
    <s v="A"/>
    <n v="8000"/>
    <n v="7.33"/>
    <s v="Minor Loss"/>
    <n v="88"/>
    <n v="57"/>
    <n v="1"/>
    <n v="3"/>
    <s v="M"/>
    <x v="0"/>
    <x v="4"/>
    <s v="Mortgage"/>
    <n v="0"/>
    <n v="0"/>
    <n v="6867.0372000000007"/>
    <n v="5012.937156"/>
    <n v="-2987.062844"/>
  </r>
  <r>
    <s v="TXN00005730"/>
    <s v="A00008768"/>
    <s v="PLC00007921"/>
    <d v="2019-02-08T00:00:00"/>
    <d v="2020-12-30T00:00:00"/>
    <d v="2021-01-04T00:00:00"/>
    <n v="5"/>
    <n v="125.38"/>
    <n v="1504.56"/>
    <n v="1000"/>
    <s v="A"/>
    <n v="1000"/>
    <n v="3.25"/>
    <s v="Minor Loss"/>
    <n v="39"/>
    <n v="53"/>
    <n v="1"/>
    <n v="6"/>
    <s v="L"/>
    <x v="0"/>
    <x v="3"/>
    <s v="Own"/>
    <n v="1"/>
    <n v="0"/>
    <n v="4889.82"/>
    <n v="3569.5685999999996"/>
    <n v="2569.5685999999996"/>
  </r>
  <r>
    <s v="TXN00005747"/>
    <s v="A00004167"/>
    <s v="PLC00002838"/>
    <d v="2018-05-15T00:00:00"/>
    <d v="2020-12-30T00:00:00"/>
    <d v="2021-01-04T00:00:00"/>
    <n v="5"/>
    <n v="81.92"/>
    <n v="983.04"/>
    <n v="1000"/>
    <s v="A"/>
    <n v="1000"/>
    <n v="1.92"/>
    <s v="Total Loss"/>
    <n v="23"/>
    <n v="58"/>
    <n v="0"/>
    <n v="4"/>
    <s v="L"/>
    <x v="1"/>
    <x v="2"/>
    <s v="Mortgage"/>
    <n v="0"/>
    <n v="1"/>
    <n v="1887.4367999999999"/>
    <n v="1377.8288639999998"/>
    <n v="377.82886399999984"/>
  </r>
  <r>
    <s v="TXN00005754"/>
    <s v="A00008494"/>
    <s v="PLC00007339"/>
    <d v="2011-11-11T00:00:00"/>
    <d v="2021-01-05T00:00:00"/>
    <d v="2021-01-10T00:00:00"/>
    <n v="5"/>
    <n v="70.849999999999994"/>
    <n v="850.2"/>
    <n v="2000"/>
    <s v="A"/>
    <n v="2000"/>
    <n v="7.83"/>
    <s v="Major Loss"/>
    <n v="94"/>
    <n v="37"/>
    <n v="1"/>
    <n v="6"/>
    <s v="M"/>
    <x v="1"/>
    <x v="1"/>
    <s v="Mortgage"/>
    <n v="1"/>
    <n v="1"/>
    <n v="6657.0660000000007"/>
    <n v="4859.6581800000004"/>
    <n v="2859.6581800000004"/>
  </r>
  <r>
    <s v="TXN00005755"/>
    <s v="A00007491"/>
    <s v="PLC00005835"/>
    <d v="2019-06-11T00:00:00"/>
    <d v="2021-01-10T00:00:00"/>
    <d v="2021-01-12T00:00:00"/>
    <n v="2"/>
    <n v="126.46"/>
    <n v="1517.52"/>
    <n v="10000"/>
    <s v="A"/>
    <n v="10000"/>
    <n v="2"/>
    <s v="Minor Loss"/>
    <n v="24"/>
    <n v="58"/>
    <n v="0"/>
    <n v="4"/>
    <s v="L"/>
    <x v="0"/>
    <x v="6"/>
    <s v="Rent"/>
    <n v="0"/>
    <n v="1"/>
    <n v="3035.04"/>
    <n v="2215.5792000000001"/>
    <n v="-7784.4207999999999"/>
  </r>
  <r>
    <s v="TXN00005756"/>
    <s v="A00006796"/>
    <s v="PLC00003192"/>
    <d v="2012-05-24T00:00:00"/>
    <d v="2021-01-07T00:00:00"/>
    <d v="2021-01-10T00:00:00"/>
    <n v="3"/>
    <n v="131.26"/>
    <n v="1575.12"/>
    <n v="4000"/>
    <s v="A"/>
    <n v="4000"/>
    <n v="3.83"/>
    <s v="Minor Loss"/>
    <n v="46"/>
    <n v="26"/>
    <n v="0"/>
    <n v="7"/>
    <s v="L"/>
    <x v="0"/>
    <x v="0"/>
    <s v="Rent"/>
    <n v="1"/>
    <n v="0"/>
    <n v="6032.7096000000001"/>
    <n v="4403.8780079999997"/>
    <n v="403.87800799999968"/>
  </r>
  <r>
    <s v="TXN00005758"/>
    <s v="A00000874"/>
    <s v="PLC00006458"/>
    <d v="2016-03-21T00:00:00"/>
    <d v="2021-01-07T00:00:00"/>
    <d v="2021-01-10T00:00:00"/>
    <n v="3"/>
    <n v="138.06"/>
    <n v="1656.72"/>
    <n v="7000"/>
    <s v="A"/>
    <n v="7000"/>
    <n v="3.92"/>
    <s v="Major Loss"/>
    <n v="47"/>
    <n v="47"/>
    <n v="1"/>
    <n v="5"/>
    <s v="M"/>
    <x v="1"/>
    <x v="0"/>
    <s v="Mortgage"/>
    <n v="1"/>
    <n v="1"/>
    <n v="6494.3423999999995"/>
    <n v="4740.8699519999991"/>
    <n v="-2259.1300480000009"/>
  </r>
  <r>
    <s v="TXN00005766"/>
    <s v="A00000840"/>
    <s v="PLC00005921"/>
    <d v="2013-10-21T00:00:00"/>
    <d v="2021-01-10T00:00:00"/>
    <d v="2021-01-12T00:00:00"/>
    <n v="2"/>
    <n v="138.94999999999999"/>
    <n v="1667.4"/>
    <n v="4000"/>
    <s v="A"/>
    <n v="4000"/>
    <n v="8.25"/>
    <s v="Minor Loss"/>
    <n v="99"/>
    <n v="45"/>
    <n v="1"/>
    <n v="3"/>
    <s v="L"/>
    <x v="0"/>
    <x v="0"/>
    <s v="Mortgage"/>
    <n v="0"/>
    <n v="0"/>
    <n v="13756.050000000001"/>
    <n v="10041.916500000001"/>
    <n v="6041.9165000000012"/>
  </r>
  <r>
    <s v="TXN00005770"/>
    <s v="A00004817"/>
    <s v="PLC00005009"/>
    <d v="2011-04-28T00:00:00"/>
    <d v="2021-01-12T00:00:00"/>
    <d v="2021-01-13T00:00:00"/>
    <n v="1"/>
    <n v="73.41"/>
    <n v="880.92"/>
    <n v="4000"/>
    <s v="A"/>
    <n v="4000"/>
    <n v="2.58"/>
    <s v="Major Loss"/>
    <n v="31"/>
    <n v="28"/>
    <n v="1"/>
    <n v="5"/>
    <s v="L"/>
    <x v="0"/>
    <x v="1"/>
    <s v="Own"/>
    <n v="1"/>
    <n v="1"/>
    <n v="2272.7736"/>
    <n v="1659.124728"/>
    <n v="-2340.8752720000002"/>
  </r>
  <r>
    <s v="TXN00005776"/>
    <s v="A00008485"/>
    <s v="PLC00006104"/>
    <d v="2017-06-09T00:00:00"/>
    <d v="2020-12-29T00:00:00"/>
    <d v="2021-01-03T00:00:00"/>
    <n v="5"/>
    <n v="116.63"/>
    <n v="1399.56"/>
    <n v="1000"/>
    <s v="A"/>
    <n v="1000"/>
    <n v="2.33"/>
    <s v="Total Loss"/>
    <n v="28"/>
    <n v="31"/>
    <n v="1"/>
    <n v="2"/>
    <s v="L"/>
    <x v="2"/>
    <x v="1"/>
    <s v="Mortgage"/>
    <n v="0"/>
    <n v="1"/>
    <n v="3260.9748"/>
    <n v="2380.5116039999998"/>
    <n v="1380.5116039999998"/>
  </r>
  <r>
    <s v="TXN00005779"/>
    <s v="A00004082"/>
    <s v="PLC00004510"/>
    <d v="2019-07-04T00:00:00"/>
    <d v="2020-12-31T00:00:00"/>
    <d v="2021-01-05T00:00:00"/>
    <n v="5"/>
    <n v="104.02"/>
    <n v="1248.24"/>
    <n v="5000"/>
    <s v="A"/>
    <n v="5000"/>
    <n v="5.42"/>
    <s v="Total Loss"/>
    <n v="65"/>
    <n v="32"/>
    <n v="1"/>
    <n v="4"/>
    <s v="M"/>
    <x v="0"/>
    <x v="1"/>
    <s v="Own"/>
    <n v="1"/>
    <n v="1"/>
    <n v="6765.4607999999998"/>
    <n v="4938.786384"/>
    <n v="-61.213616000000002"/>
  </r>
  <r>
    <s v="TXN00005784"/>
    <s v="A00004465"/>
    <s v="PLC00005714"/>
    <d v="2015-03-13T00:00:00"/>
    <d v="2021-01-09T00:00:00"/>
    <d v="2021-01-12T00:00:00"/>
    <n v="3"/>
    <n v="137.05000000000001"/>
    <n v="1644.6"/>
    <n v="2000"/>
    <s v="A"/>
    <n v="2000"/>
    <n v="9.33"/>
    <s v="Major Loss"/>
    <n v="112"/>
    <n v="31"/>
    <n v="1"/>
    <n v="2"/>
    <s v="L"/>
    <x v="2"/>
    <x v="4"/>
    <s v="Own"/>
    <n v="1"/>
    <n v="0"/>
    <n v="15344.117999999999"/>
    <n v="11201.206139999998"/>
    <n v="9201.2061399999984"/>
  </r>
  <r>
    <s v="TXN00005797"/>
    <s v="A00008045"/>
    <s v="PLC00002968"/>
    <d v="2017-01-18T00:00:00"/>
    <d v="2021-01-16T00:00:00"/>
    <d v="2021-01-16T00:00:00"/>
    <n v="0"/>
    <n v="118.69"/>
    <n v="1424.28"/>
    <n v="4000"/>
    <s v="A"/>
    <n v="4000"/>
    <n v="3.92"/>
    <s v="Total Loss"/>
    <n v="47"/>
    <n v="33"/>
    <n v="0"/>
    <n v="7"/>
    <s v="L"/>
    <x v="2"/>
    <x v="0"/>
    <s v="Own"/>
    <n v="0"/>
    <n v="0"/>
    <n v="5583.1776"/>
    <n v="4075.7196479999998"/>
    <n v="75.719647999999779"/>
  </r>
  <r>
    <s v="TXN00005803"/>
    <s v="A00008176"/>
    <s v="PLC00000056"/>
    <d v="2013-03-29T00:00:00"/>
    <d v="2020-12-29T00:00:00"/>
    <d v="2021-01-03T00:00:00"/>
    <n v="5"/>
    <n v="73.06"/>
    <n v="876.72"/>
    <n v="1000"/>
    <s v="A"/>
    <n v="1000"/>
    <n v="8.67"/>
    <s v="Total Loss"/>
    <n v="104"/>
    <n v="51"/>
    <n v="1"/>
    <n v="6"/>
    <s v="M"/>
    <x v="0"/>
    <x v="1"/>
    <s v="Mortgage"/>
    <n v="0"/>
    <n v="1"/>
    <n v="7601.1624000000002"/>
    <n v="5548.8485520000004"/>
    <n v="4548.8485520000004"/>
  </r>
  <r>
    <s v="TXN00005805"/>
    <s v="A00001282"/>
    <s v="PLC00002892"/>
    <d v="2016-04-10T00:00:00"/>
    <d v="2021-01-13T00:00:00"/>
    <d v="2021-01-14T00:00:00"/>
    <n v="1"/>
    <n v="102.35"/>
    <n v="1228.2"/>
    <n v="8000"/>
    <s v="A"/>
    <n v="8000"/>
    <n v="3.17"/>
    <s v="Minor Loss"/>
    <n v="38"/>
    <n v="45"/>
    <n v="1"/>
    <n v="7"/>
    <s v="L"/>
    <x v="0"/>
    <x v="0"/>
    <s v="Mortgage"/>
    <n v="0"/>
    <n v="1"/>
    <n v="3893.3940000000002"/>
    <n v="2842.1776199999999"/>
    <n v="-5157.8223799999996"/>
  </r>
  <r>
    <s v="TXN00005818"/>
    <s v="A00003539"/>
    <s v="PLC00007283"/>
    <d v="2012-12-17T00:00:00"/>
    <d v="2021-01-08T00:00:00"/>
    <d v="2021-01-13T00:00:00"/>
    <n v="5"/>
    <n v="115.19"/>
    <n v="1382.28"/>
    <n v="10000"/>
    <s v="A"/>
    <n v="10000"/>
    <n v="7.83"/>
    <s v="Major Loss"/>
    <n v="94"/>
    <n v="45"/>
    <n v="1"/>
    <n v="2"/>
    <s v="H"/>
    <x v="0"/>
    <x v="4"/>
    <s v="Rent"/>
    <n v="1"/>
    <n v="1"/>
    <n v="10823.252399999999"/>
    <n v="7900.9742519999991"/>
    <n v="-2099.0257480000009"/>
  </r>
  <r>
    <s v="TXN00005824"/>
    <s v="A00007464"/>
    <s v="PLC00004755"/>
    <d v="2011-01-03T00:00:00"/>
    <d v="2021-01-11T00:00:00"/>
    <d v="2021-01-14T00:00:00"/>
    <n v="3"/>
    <n v="99.45"/>
    <n v="1193.4000000000001"/>
    <n v="6000"/>
    <s v="A"/>
    <n v="6000"/>
    <n v="2.08"/>
    <s v="Minor Loss"/>
    <n v="25"/>
    <n v="43"/>
    <n v="1"/>
    <n v="5"/>
    <s v="M"/>
    <x v="2"/>
    <x v="4"/>
    <s v="Rent"/>
    <n v="1"/>
    <n v="1"/>
    <n v="2482.2720000000004"/>
    <n v="1812.0585600000002"/>
    <n v="-4187.9414399999996"/>
  </r>
  <r>
    <s v="TXN00005826"/>
    <s v="A00006129"/>
    <s v="PLC00003542"/>
    <d v="2019-04-20T00:00:00"/>
    <d v="2021-01-03T00:00:00"/>
    <d v="2021-01-08T00:00:00"/>
    <n v="5"/>
    <n v="112.81"/>
    <n v="1353.72"/>
    <n v="10000"/>
    <s v="D"/>
    <n v="0"/>
    <n v="5.17"/>
    <s v="Major Loss"/>
    <n v="62"/>
    <n v="26"/>
    <n v="0"/>
    <n v="6"/>
    <s v="H"/>
    <x v="2"/>
    <x v="1"/>
    <s v="Rent"/>
    <n v="0"/>
    <n v="1"/>
    <n v="6998.7323999999999"/>
    <n v="5109.0746519999993"/>
    <n v="5109.0746519999993"/>
  </r>
  <r>
    <s v="TXN00005829"/>
    <s v="A00001149"/>
    <s v="PLC00006610"/>
    <d v="2016-06-26T00:00:00"/>
    <d v="2020-12-30T00:00:00"/>
    <d v="2021-01-04T00:00:00"/>
    <n v="5"/>
    <n v="133.69"/>
    <n v="1604.28"/>
    <n v="5000"/>
    <s v="A"/>
    <n v="5000"/>
    <n v="9"/>
    <s v="Minor Loss"/>
    <n v="108"/>
    <n v="35"/>
    <n v="1"/>
    <n v="3"/>
    <s v="L"/>
    <x v="2"/>
    <x v="1"/>
    <s v="Mortgage"/>
    <n v="1"/>
    <n v="0"/>
    <n v="14438.52"/>
    <n v="10540.1196"/>
    <n v="5540.1196"/>
  </r>
  <r>
    <s v="TXN00005832"/>
    <s v="A00005634"/>
    <s v="PLC00004902"/>
    <d v="2013-02-15T00:00:00"/>
    <d v="2021-01-17T00:00:00"/>
    <d v="2021-01-17T00:00:00"/>
    <n v="0"/>
    <n v="116.3"/>
    <n v="1395.6"/>
    <n v="4000"/>
    <s v="A"/>
    <n v="4000"/>
    <n v="2.5"/>
    <s v="Major Loss"/>
    <n v="30"/>
    <n v="41"/>
    <n v="1"/>
    <n v="6"/>
    <s v="L"/>
    <x v="0"/>
    <x v="1"/>
    <s v="Mortgage"/>
    <n v="0"/>
    <n v="1"/>
    <n v="3489"/>
    <n v="2546.9699999999998"/>
    <n v="-1453.0300000000002"/>
  </r>
  <r>
    <s v="TXN00005839"/>
    <s v="A00005049"/>
    <s v="PLC00006253"/>
    <d v="2019-02-06T00:00:00"/>
    <d v="2021-01-17T00:00:00"/>
    <d v="2021-01-17T00:00:00"/>
    <n v="0"/>
    <n v="112.84"/>
    <n v="1354.08"/>
    <n v="6000"/>
    <s v="A"/>
    <n v="6000"/>
    <n v="5.5"/>
    <s v="Major Loss"/>
    <n v="66"/>
    <n v="40"/>
    <n v="1"/>
    <n v="6"/>
    <s v="M"/>
    <x v="0"/>
    <x v="6"/>
    <s v="Rent"/>
    <n v="1"/>
    <n v="1"/>
    <n v="7447.44"/>
    <n v="5436.6311999999998"/>
    <n v="-563.36880000000019"/>
  </r>
  <r>
    <s v="TXN00005840"/>
    <s v="A00006040"/>
    <s v="PLC00001856"/>
    <d v="2017-08-29T00:00:00"/>
    <d v="2021-01-12T00:00:00"/>
    <d v="2021-01-14T00:00:00"/>
    <n v="2"/>
    <n v="81.86"/>
    <n v="982.32"/>
    <n v="1000"/>
    <s v="A"/>
    <n v="1000"/>
    <n v="6.5"/>
    <s v="Total Loss"/>
    <n v="78"/>
    <n v="55"/>
    <n v="1"/>
    <n v="3"/>
    <s v="M"/>
    <x v="0"/>
    <x v="4"/>
    <s v="Own"/>
    <n v="1"/>
    <n v="1"/>
    <n v="6385.08"/>
    <n v="4661.1084000000001"/>
    <n v="3661.1084000000001"/>
  </r>
  <r>
    <s v="TXN00005854"/>
    <s v="A00003371"/>
    <s v="PLC00002992"/>
    <d v="2020-01-07T00:00:00"/>
    <d v="2021-01-18T00:00:00"/>
    <d v="2021-01-18T00:00:00"/>
    <n v="0"/>
    <n v="92.95"/>
    <n v="1115.4000000000001"/>
    <n v="2000"/>
    <s v="A"/>
    <n v="2000"/>
    <n v="9.33"/>
    <s v="Minor Loss"/>
    <n v="112"/>
    <n v="35"/>
    <n v="0"/>
    <n v="3"/>
    <s v="L"/>
    <x v="0"/>
    <x v="1"/>
    <s v="Rent"/>
    <n v="0"/>
    <n v="1"/>
    <n v="10406.682000000001"/>
    <n v="7596.8778600000005"/>
    <n v="5596.8778600000005"/>
  </r>
  <r>
    <s v="TXN00005867"/>
    <s v="A00003625"/>
    <s v="PLC00000492"/>
    <d v="2017-12-17T00:00:00"/>
    <d v="2021-01-03T00:00:00"/>
    <d v="2021-01-08T00:00:00"/>
    <n v="5"/>
    <n v="81.209999999999994"/>
    <n v="974.52"/>
    <n v="1000"/>
    <s v="A"/>
    <n v="1000"/>
    <n v="5.83"/>
    <s v="Total Loss"/>
    <n v="70"/>
    <n v="64"/>
    <n v="1"/>
    <n v="6"/>
    <s v="H"/>
    <x v="0"/>
    <x v="1"/>
    <s v="Mortgage"/>
    <n v="1"/>
    <n v="0"/>
    <n v="5681.4516000000003"/>
    <n v="4147.4596680000004"/>
    <n v="3147.4596680000004"/>
  </r>
  <r>
    <s v="TXN00005869"/>
    <s v="A00007947"/>
    <s v="PLC00006022"/>
    <d v="2012-09-24T00:00:00"/>
    <d v="2021-01-10T00:00:00"/>
    <d v="2021-01-13T00:00:00"/>
    <n v="3"/>
    <n v="131.41999999999999"/>
    <n v="1577.04"/>
    <n v="1000"/>
    <s v="A"/>
    <n v="1000"/>
    <n v="1.33"/>
    <s v="Total Loss"/>
    <n v="16"/>
    <n v="44"/>
    <n v="1"/>
    <n v="6"/>
    <s v="L"/>
    <x v="0"/>
    <x v="2"/>
    <s v="Own"/>
    <n v="1"/>
    <n v="0"/>
    <n v="2097.4632000000001"/>
    <n v="1531.148136"/>
    <n v="531.14813600000002"/>
  </r>
  <r>
    <s v="TXN00005873"/>
    <s v="A00005306"/>
    <s v="PLC00001061"/>
    <d v="2015-01-27T00:00:00"/>
    <d v="2021-01-19T00:00:00"/>
    <d v="2021-01-19T00:00:00"/>
    <n v="0"/>
    <n v="113.73"/>
    <n v="1364.76"/>
    <n v="5000"/>
    <s v="A"/>
    <n v="5000"/>
    <n v="7.33"/>
    <s v="Total Loss"/>
    <n v="88"/>
    <n v="50"/>
    <n v="1"/>
    <n v="5"/>
    <s v="M"/>
    <x v="0"/>
    <x v="5"/>
    <s v="Rent"/>
    <n v="1"/>
    <n v="1"/>
    <n v="10003.6908"/>
    <n v="7302.6942840000002"/>
    <n v="2302.6942840000002"/>
  </r>
  <r>
    <s v="TXN00005875"/>
    <s v="A00000054"/>
    <s v="PLC00005522"/>
    <d v="2011-06-05T00:00:00"/>
    <d v="2021-01-09T00:00:00"/>
    <d v="2021-01-14T00:00:00"/>
    <n v="5"/>
    <n v="122.66"/>
    <n v="1471.92"/>
    <n v="9000"/>
    <s v="A"/>
    <n v="9000"/>
    <n v="6.83"/>
    <s v="Total Loss"/>
    <n v="82"/>
    <n v="35"/>
    <n v="1"/>
    <n v="6"/>
    <s v="L"/>
    <x v="1"/>
    <x v="1"/>
    <s v="Rent"/>
    <n v="0"/>
    <n v="1"/>
    <n v="10053.213600000001"/>
    <n v="7338.8459280000006"/>
    <n v="-1661.1540719999994"/>
  </r>
  <r>
    <s v="TXN00005886"/>
    <s v="A00008848"/>
    <s v="PLC00008778"/>
    <d v="2012-10-13T00:00:00"/>
    <d v="2021-01-03T00:00:00"/>
    <d v="2021-01-08T00:00:00"/>
    <n v="5"/>
    <n v="118.68"/>
    <n v="1424.16"/>
    <n v="7000"/>
    <s v="A"/>
    <n v="7000"/>
    <n v="0.75"/>
    <s v="Major Loss"/>
    <n v="9"/>
    <n v="26"/>
    <n v="1"/>
    <n v="2"/>
    <s v="M"/>
    <x v="0"/>
    <x v="1"/>
    <s v="Own"/>
    <n v="0"/>
    <n v="1"/>
    <n v="1068.1200000000001"/>
    <n v="779.72760000000005"/>
    <n v="-6220.2723999999998"/>
  </r>
  <r>
    <s v="TXN00005890"/>
    <s v="A00009686"/>
    <s v="PLC00000747"/>
    <d v="2018-12-19T00:00:00"/>
    <d v="2021-01-18T00:00:00"/>
    <d v="2021-01-18T00:00:00"/>
    <n v="0"/>
    <n v="77.680000000000007"/>
    <n v="932.16"/>
    <n v="6000"/>
    <s v="A"/>
    <n v="6000"/>
    <n v="2.5"/>
    <s v="Major Loss"/>
    <n v="30"/>
    <n v="35"/>
    <n v="1"/>
    <n v="5"/>
    <s v="M"/>
    <x v="1"/>
    <x v="0"/>
    <s v="Rent"/>
    <n v="1"/>
    <n v="0"/>
    <n v="2330.4"/>
    <n v="1701.192"/>
    <n v="-4298.808"/>
  </r>
  <r>
    <s v="TXN00005891"/>
    <s v="A00008756"/>
    <s v="PLC00009609"/>
    <d v="2019-06-06T00:00:00"/>
    <d v="2021-01-03T00:00:00"/>
    <d v="2021-01-08T00:00:00"/>
    <n v="5"/>
    <n v="95.47"/>
    <n v="1145.6400000000001"/>
    <n v="1000"/>
    <s v="A"/>
    <n v="1000"/>
    <n v="5.17"/>
    <s v="Total Loss"/>
    <n v="62"/>
    <n v="63"/>
    <n v="1"/>
    <n v="7"/>
    <s v="M"/>
    <x v="2"/>
    <x v="1"/>
    <s v="Own"/>
    <n v="1"/>
    <n v="1"/>
    <n v="5922.9588000000003"/>
    <n v="4323.759924"/>
    <n v="3323.759924"/>
  </r>
  <r>
    <s v="TXN00005908"/>
    <s v="A00008892"/>
    <s v="PLC00007963"/>
    <d v="2013-07-26T00:00:00"/>
    <d v="2021-01-21T00:00:00"/>
    <d v="2021-01-21T00:00:00"/>
    <n v="0"/>
    <n v="84.63"/>
    <n v="1015.56"/>
    <n v="9000"/>
    <s v="A"/>
    <n v="9000"/>
    <n v="5.5"/>
    <s v="Minor Loss"/>
    <n v="66"/>
    <n v="51"/>
    <n v="1"/>
    <n v="7"/>
    <s v="L"/>
    <x v="1"/>
    <x v="1"/>
    <s v="Own"/>
    <n v="1"/>
    <n v="1"/>
    <n v="5585.58"/>
    <n v="4077.4733999999999"/>
    <n v="-4922.5266000000001"/>
  </r>
  <r>
    <s v="TXN00005915"/>
    <s v="A00006840"/>
    <s v="PLC00006671"/>
    <d v="2019-02-02T00:00:00"/>
    <d v="2021-01-05T00:00:00"/>
    <d v="2021-01-10T00:00:00"/>
    <n v="5"/>
    <n v="93.42"/>
    <n v="1121.04"/>
    <n v="5000"/>
    <s v="A"/>
    <n v="5000"/>
    <n v="9.58"/>
    <s v="Major Loss"/>
    <n v="115"/>
    <n v="27"/>
    <n v="1"/>
    <n v="4"/>
    <s v="L"/>
    <x v="0"/>
    <x v="2"/>
    <s v="Rent"/>
    <n v="1"/>
    <n v="1"/>
    <n v="10739.563200000001"/>
    <n v="7839.881136"/>
    <n v="2839.881136"/>
  </r>
  <r>
    <s v="TXN00005928"/>
    <s v="A00008681"/>
    <s v="PLC00000779"/>
    <d v="2014-11-01T00:00:00"/>
    <d v="2021-01-04T00:00:00"/>
    <d v="2021-01-09T00:00:00"/>
    <n v="5"/>
    <n v="79.400000000000006"/>
    <n v="952.8"/>
    <n v="6000"/>
    <s v="A"/>
    <n v="6000"/>
    <n v="7.33"/>
    <s v="Major Loss"/>
    <n v="88"/>
    <n v="28"/>
    <n v="1"/>
    <n v="3"/>
    <s v="M"/>
    <x v="1"/>
    <x v="5"/>
    <s v="Rent"/>
    <n v="1"/>
    <n v="0"/>
    <n v="6984.0239999999994"/>
    <n v="5098.3375199999991"/>
    <n v="-901.66248000000087"/>
  </r>
  <r>
    <s v="TXN00005939"/>
    <s v="A00009074"/>
    <s v="PLC00006850"/>
    <d v="2011-06-05T00:00:00"/>
    <d v="2021-01-06T00:00:00"/>
    <d v="2021-01-11T00:00:00"/>
    <n v="5"/>
    <n v="110.3"/>
    <n v="1323.6"/>
    <n v="9000"/>
    <s v="A"/>
    <n v="9000"/>
    <n v="5.25"/>
    <s v="Major Loss"/>
    <n v="63"/>
    <n v="64"/>
    <n v="1"/>
    <n v="2"/>
    <s v="H"/>
    <x v="2"/>
    <x v="0"/>
    <s v="Own"/>
    <n v="1"/>
    <n v="0"/>
    <n v="6948.9"/>
    <n v="5072.6969999999992"/>
    <n v="-3927.3030000000008"/>
  </r>
  <r>
    <s v="TXN00005943"/>
    <s v="A00008920"/>
    <s v="PLC00004378"/>
    <d v="2018-02-20T00:00:00"/>
    <d v="2021-01-11T00:00:00"/>
    <d v="2021-01-16T00:00:00"/>
    <n v="5"/>
    <n v="85.8"/>
    <n v="1029.5999999999999"/>
    <n v="7000"/>
    <s v="A"/>
    <n v="7000"/>
    <n v="0.57999999999999996"/>
    <s v="Total Loss"/>
    <n v="7"/>
    <n v="57"/>
    <n v="0"/>
    <n v="4"/>
    <s v="M"/>
    <x v="0"/>
    <x v="1"/>
    <s v="Own"/>
    <n v="1"/>
    <n v="0"/>
    <n v="597.16799999999989"/>
    <n v="435.93263999999994"/>
    <n v="-6564.06736"/>
  </r>
  <r>
    <s v="TXN00005958"/>
    <s v="A00008526"/>
    <s v="PLC00009945"/>
    <d v="2016-03-21T00:00:00"/>
    <d v="2021-01-04T00:00:00"/>
    <d v="2021-01-09T00:00:00"/>
    <n v="5"/>
    <n v="77.319999999999993"/>
    <n v="927.84"/>
    <n v="2000"/>
    <s v="A"/>
    <n v="2000"/>
    <n v="6.75"/>
    <s v="Total Loss"/>
    <n v="81"/>
    <n v="25"/>
    <n v="1"/>
    <n v="7"/>
    <s v="H"/>
    <x v="1"/>
    <x v="0"/>
    <s v="Mortgage"/>
    <n v="1"/>
    <n v="1"/>
    <n v="6262.92"/>
    <n v="4571.9315999999999"/>
    <n v="2571.9315999999999"/>
  </r>
  <r>
    <s v="TXN00005964"/>
    <s v="A00007581"/>
    <s v="PLC00004247"/>
    <d v="2018-12-28T00:00:00"/>
    <d v="2021-01-08T00:00:00"/>
    <d v="2021-01-13T00:00:00"/>
    <n v="5"/>
    <n v="77.06"/>
    <n v="924.72"/>
    <n v="10000"/>
    <s v="A"/>
    <n v="10000"/>
    <n v="1.08"/>
    <s v="Total Loss"/>
    <n v="13"/>
    <n v="62"/>
    <n v="1"/>
    <n v="2"/>
    <s v="M"/>
    <x v="2"/>
    <x v="4"/>
    <s v="Rent"/>
    <n v="0"/>
    <n v="1"/>
    <n v="998.69760000000008"/>
    <n v="729.04924800000003"/>
    <n v="-9270.9507520000006"/>
  </r>
  <r>
    <s v="TXN00005971"/>
    <s v="A00000181"/>
    <s v="PLC00008768"/>
    <d v="2013-05-21T00:00:00"/>
    <d v="2021-01-24T00:00:00"/>
    <d v="2021-01-24T00:00:00"/>
    <n v="0"/>
    <n v="71.040000000000006"/>
    <n v="852.48"/>
    <n v="2000"/>
    <s v="A"/>
    <n v="2000"/>
    <n v="1.83"/>
    <s v="Minor Loss"/>
    <n v="22"/>
    <n v="42"/>
    <n v="1"/>
    <n v="2"/>
    <s v="L"/>
    <x v="0"/>
    <x v="3"/>
    <s v="Rent"/>
    <n v="0"/>
    <n v="1"/>
    <n v="1560.0384000000001"/>
    <n v="1138.8280320000001"/>
    <n v="-861.17196799999988"/>
  </r>
  <r>
    <s v="TXN00005973"/>
    <s v="A00008606"/>
    <s v="PLC00009731"/>
    <d v="2019-08-20T00:00:00"/>
    <d v="2021-01-14T00:00:00"/>
    <d v="2021-01-19T00:00:00"/>
    <n v="5"/>
    <n v="128.31"/>
    <n v="1539.72"/>
    <n v="7000"/>
    <s v="A"/>
    <n v="7000"/>
    <n v="2.67"/>
    <s v="Total Loss"/>
    <n v="32"/>
    <n v="62"/>
    <n v="0"/>
    <n v="2"/>
    <s v="L"/>
    <x v="2"/>
    <x v="0"/>
    <s v="Mortgage"/>
    <n v="1"/>
    <n v="0"/>
    <n v="4111.0523999999996"/>
    <n v="3001.0682519999996"/>
    <n v="-3998.9317480000004"/>
  </r>
  <r>
    <s v="TXN00005983"/>
    <s v="A00000667"/>
    <s v="PLC00002542"/>
    <d v="2019-03-03T00:00:00"/>
    <d v="2021-01-17T00:00:00"/>
    <d v="2021-01-20T00:00:00"/>
    <n v="3"/>
    <n v="115.16"/>
    <n v="1381.92"/>
    <n v="5000"/>
    <s v="A"/>
    <n v="5000"/>
    <n v="7.58"/>
    <s v="Total Loss"/>
    <n v="91"/>
    <n v="35"/>
    <n v="1"/>
    <n v="4"/>
    <s v="M"/>
    <x v="1"/>
    <x v="4"/>
    <s v="Rent"/>
    <n v="1"/>
    <n v="1"/>
    <n v="10474.953600000001"/>
    <n v="7646.716128"/>
    <n v="2646.716128"/>
  </r>
  <r>
    <s v="TXN00005987"/>
    <s v="A00005015"/>
    <s v="PLC00007125"/>
    <d v="2018-10-10T00:00:00"/>
    <d v="2021-01-18T00:00:00"/>
    <d v="2021-01-20T00:00:00"/>
    <n v="2"/>
    <n v="115.57"/>
    <n v="1386.84"/>
    <n v="7000"/>
    <s v="A"/>
    <n v="7000"/>
    <n v="4.08"/>
    <s v="Total Loss"/>
    <n v="49"/>
    <n v="26"/>
    <n v="0"/>
    <n v="3"/>
    <s v="M"/>
    <x v="0"/>
    <x v="1"/>
    <s v="Rent"/>
    <n v="0"/>
    <n v="1"/>
    <n v="5658.3072000000002"/>
    <n v="4130.5642559999997"/>
    <n v="-2869.4357440000003"/>
  </r>
  <r>
    <s v="TXN00005993"/>
    <s v="A00001916"/>
    <s v="PLC00006798"/>
    <d v="2018-09-14T00:00:00"/>
    <d v="2021-01-13T00:00:00"/>
    <d v="2021-01-18T00:00:00"/>
    <n v="5"/>
    <n v="134.44"/>
    <n v="1613.28"/>
    <n v="3000"/>
    <s v="A"/>
    <n v="3000"/>
    <n v="1.5"/>
    <s v="Total Loss"/>
    <n v="18"/>
    <n v="30"/>
    <n v="1"/>
    <n v="6"/>
    <s v="M"/>
    <x v="2"/>
    <x v="3"/>
    <s v="Own"/>
    <n v="1"/>
    <n v="1"/>
    <n v="2419.92"/>
    <n v="1766.5416"/>
    <n v="-1233.4584"/>
  </r>
  <r>
    <s v="TXN00006007"/>
    <s v="A00000522"/>
    <s v="PLC00000257"/>
    <d v="2010-11-03T00:00:00"/>
    <d v="2021-01-13T00:00:00"/>
    <d v="2021-01-18T00:00:00"/>
    <n v="5"/>
    <n v="77.02"/>
    <n v="924.24"/>
    <n v="10000"/>
    <s v="A"/>
    <n v="10000"/>
    <n v="7.58"/>
    <s v="Major Loss"/>
    <n v="91"/>
    <n v="47"/>
    <n v="1"/>
    <n v="2"/>
    <s v="L"/>
    <x v="0"/>
    <x v="0"/>
    <s v="Rent"/>
    <n v="1"/>
    <n v="0"/>
    <n v="7005.7392"/>
    <n v="5114.1896159999997"/>
    <n v="-4885.8103840000003"/>
  </r>
  <r>
    <s v="TXN00006014"/>
    <s v="A00004862"/>
    <s v="PLC00005983"/>
    <d v="2012-07-03T00:00:00"/>
    <d v="2021-01-09T00:00:00"/>
    <d v="2021-01-14T00:00:00"/>
    <n v="5"/>
    <n v="118.7"/>
    <n v="1424.4"/>
    <n v="5000"/>
    <s v="A"/>
    <n v="5000"/>
    <n v="6.33"/>
    <s v="Total Loss"/>
    <n v="76"/>
    <n v="55"/>
    <n v="1"/>
    <n v="2"/>
    <s v="M"/>
    <x v="0"/>
    <x v="3"/>
    <s v="Own"/>
    <n v="0"/>
    <n v="1"/>
    <n v="9016.4520000000011"/>
    <n v="6582.0099600000003"/>
    <n v="1582.0099600000003"/>
  </r>
  <r>
    <s v="TXN00006018"/>
    <s v="A00007476"/>
    <s v="PLC00002772"/>
    <d v="2015-02-14T00:00:00"/>
    <d v="2021-01-21T00:00:00"/>
    <d v="2021-01-22T00:00:00"/>
    <n v="1"/>
    <n v="106.22"/>
    <n v="1274.6400000000001"/>
    <n v="9000"/>
    <s v="A"/>
    <n v="9000"/>
    <n v="1"/>
    <s v="Total Loss"/>
    <n v="12"/>
    <n v="36"/>
    <n v="0"/>
    <n v="7"/>
    <s v="H"/>
    <x v="0"/>
    <x v="1"/>
    <s v="Rent"/>
    <n v="1"/>
    <n v="0"/>
    <n v="1274.6400000000001"/>
    <n v="930.48720000000003"/>
    <n v="-8069.5128000000004"/>
  </r>
  <r>
    <s v="TXN00006024"/>
    <s v="A00001655"/>
    <s v="PLC00008460"/>
    <d v="2015-10-07T00:00:00"/>
    <d v="2021-01-20T00:00:00"/>
    <d v="2021-01-22T00:00:00"/>
    <n v="2"/>
    <n v="136.61000000000001"/>
    <n v="1639.32"/>
    <n v="1000"/>
    <s v="A"/>
    <n v="1000"/>
    <n v="2.08"/>
    <s v="Total Loss"/>
    <n v="25"/>
    <n v="37"/>
    <n v="0"/>
    <n v="5"/>
    <s v="M"/>
    <x v="1"/>
    <x v="3"/>
    <s v="Own"/>
    <n v="1"/>
    <n v="0"/>
    <n v="3409.7856000000002"/>
    <n v="2489.1434880000002"/>
    <n v="1489.1434880000002"/>
  </r>
  <r>
    <s v="TXN00006028"/>
    <s v="A00007723"/>
    <s v="PLC00004840"/>
    <d v="2010-08-22T00:00:00"/>
    <d v="2021-01-19T00:00:00"/>
    <d v="2021-01-21T00:00:00"/>
    <n v="2"/>
    <n v="90.47"/>
    <n v="1085.6400000000001"/>
    <n v="9000"/>
    <s v="A"/>
    <n v="9000"/>
    <n v="9.33"/>
    <s v="Total Loss"/>
    <n v="112"/>
    <n v="32"/>
    <n v="1"/>
    <n v="4"/>
    <s v="L"/>
    <x v="0"/>
    <x v="1"/>
    <s v="Mortgage"/>
    <n v="0"/>
    <n v="1"/>
    <n v="10129.021200000001"/>
    <n v="7394.1854760000006"/>
    <n v="-1605.8145239999994"/>
  </r>
  <r>
    <s v="TXN00006048"/>
    <s v="A00007764"/>
    <s v="PLC00005222"/>
    <d v="2013-12-24T00:00:00"/>
    <d v="2021-01-11T00:00:00"/>
    <d v="2021-01-16T00:00:00"/>
    <n v="5"/>
    <n v="122.82"/>
    <n v="1473.84"/>
    <n v="4000"/>
    <s v="A"/>
    <n v="4000"/>
    <n v="7.42"/>
    <s v="Minor Loss"/>
    <n v="89"/>
    <n v="33"/>
    <n v="1"/>
    <n v="3"/>
    <s v="M"/>
    <x v="2"/>
    <x v="0"/>
    <s v="Own"/>
    <n v="1"/>
    <n v="0"/>
    <n v="10935.8928"/>
    <n v="7983.201744"/>
    <n v="3983.201744"/>
  </r>
  <r>
    <s v="TXN00006049"/>
    <s v="A00006171"/>
    <s v="PLC00000447"/>
    <d v="2013-01-15T00:00:00"/>
    <d v="2021-01-16T00:00:00"/>
    <d v="2021-01-21T00:00:00"/>
    <n v="5"/>
    <n v="103.31"/>
    <n v="1239.72"/>
    <n v="3000"/>
    <s v="A"/>
    <n v="3000"/>
    <n v="2.25"/>
    <s v="Minor Loss"/>
    <n v="27"/>
    <n v="49"/>
    <n v="1"/>
    <n v="3"/>
    <s v="L"/>
    <x v="1"/>
    <x v="1"/>
    <s v="Mortgage"/>
    <n v="0"/>
    <n v="1"/>
    <n v="2789.37"/>
    <n v="2036.2401"/>
    <n v="-963.75990000000002"/>
  </r>
  <r>
    <s v="TXN00006055"/>
    <s v="A00000715"/>
    <s v="PLC00009876"/>
    <d v="2018-06-23T00:00:00"/>
    <d v="2021-01-10T00:00:00"/>
    <d v="2021-01-15T00:00:00"/>
    <n v="5"/>
    <n v="114.39"/>
    <n v="1372.68"/>
    <n v="7000"/>
    <s v="A"/>
    <n v="7000"/>
    <n v="4.67"/>
    <s v="Major Loss"/>
    <n v="56"/>
    <n v="25"/>
    <n v="0"/>
    <n v="5"/>
    <s v="M"/>
    <x v="0"/>
    <x v="3"/>
    <s v="Rent"/>
    <n v="0"/>
    <n v="0"/>
    <n v="6410.4156000000003"/>
    <n v="4679.6033880000005"/>
    <n v="-2320.3966119999995"/>
  </r>
  <r>
    <s v="TXN00006073"/>
    <s v="A00005210"/>
    <s v="PLC00004980"/>
    <d v="2011-07-24T00:00:00"/>
    <d v="2021-01-08T00:00:00"/>
    <d v="2021-01-13T00:00:00"/>
    <n v="5"/>
    <n v="75.73"/>
    <n v="908.76"/>
    <n v="5000"/>
    <s v="A"/>
    <n v="5000"/>
    <n v="7.67"/>
    <s v="Total Loss"/>
    <n v="92"/>
    <n v="32"/>
    <n v="0"/>
    <n v="7"/>
    <s v="M"/>
    <x v="0"/>
    <x v="5"/>
    <s v="Own"/>
    <n v="1"/>
    <n v="1"/>
    <n v="6970.1891999999998"/>
    <n v="5088.2381159999995"/>
    <n v="88.238115999999536"/>
  </r>
  <r>
    <s v="TXN00006088"/>
    <s v="A00004703"/>
    <s v="PLC00003929"/>
    <d v="2010-08-27T00:00:00"/>
    <d v="2021-01-16T00:00:00"/>
    <d v="2021-01-21T00:00:00"/>
    <n v="5"/>
    <n v="97.63"/>
    <n v="1171.56"/>
    <n v="7000"/>
    <s v="A"/>
    <n v="7000"/>
    <n v="8.42"/>
    <s v="Total Loss"/>
    <n v="101"/>
    <n v="41"/>
    <n v="1"/>
    <n v="5"/>
    <s v="L"/>
    <x v="2"/>
    <x v="2"/>
    <s v="Mortgage"/>
    <n v="1"/>
    <n v="1"/>
    <n v="9864.5352000000003"/>
    <n v="7201.1106959999997"/>
    <n v="201.11069599999973"/>
  </r>
  <r>
    <s v="TXN00006114"/>
    <s v="A00001269"/>
    <s v="PLC00004637"/>
    <d v="2016-11-27T00:00:00"/>
    <d v="2021-01-11T00:00:00"/>
    <d v="2021-01-16T00:00:00"/>
    <n v="5"/>
    <n v="120.53"/>
    <n v="1446.36"/>
    <n v="3000"/>
    <s v="A"/>
    <n v="3000"/>
    <n v="8.42"/>
    <s v="Minor Loss"/>
    <n v="101"/>
    <n v="47"/>
    <n v="0"/>
    <n v="7"/>
    <s v="M"/>
    <x v="0"/>
    <x v="1"/>
    <s v="Rent"/>
    <n v="1"/>
    <n v="1"/>
    <n v="12178.351199999999"/>
    <n v="8890.1963759999999"/>
    <n v="5890.1963759999999"/>
  </r>
  <r>
    <s v="TXN00006117"/>
    <s v="A00008131"/>
    <s v="PLC00007247"/>
    <d v="2012-06-28T00:00:00"/>
    <d v="2021-01-19T00:00:00"/>
    <d v="2021-01-22T00:00:00"/>
    <n v="3"/>
    <n v="129.28"/>
    <n v="1551.36"/>
    <n v="10000"/>
    <s v="A"/>
    <n v="10000"/>
    <n v="6.17"/>
    <s v="Major Loss"/>
    <n v="74"/>
    <n v="38"/>
    <n v="1"/>
    <n v="7"/>
    <s v="M"/>
    <x v="0"/>
    <x v="0"/>
    <s v="Rent"/>
    <n v="1"/>
    <n v="1"/>
    <n v="9571.8912"/>
    <n v="6987.4805759999999"/>
    <n v="-3012.5194240000001"/>
  </r>
  <r>
    <s v="TXN00006119"/>
    <s v="A00003783"/>
    <s v="PLC00000003"/>
    <d v="2015-01-06T00:00:00"/>
    <d v="2021-01-23T00:00:00"/>
    <d v="2021-01-25T00:00:00"/>
    <n v="2"/>
    <n v="95.31"/>
    <n v="1143.72"/>
    <n v="6000"/>
    <s v="A"/>
    <n v="6000"/>
    <n v="1.75"/>
    <s v="Major Loss"/>
    <n v="21"/>
    <n v="51"/>
    <n v="1"/>
    <n v="7"/>
    <s v="M"/>
    <x v="1"/>
    <x v="1"/>
    <s v="Rent"/>
    <n v="1"/>
    <n v="1"/>
    <n v="2001.51"/>
    <n v="1461.1023"/>
    <n v="-4538.8976999999995"/>
  </r>
  <r>
    <s v="TXN00006126"/>
    <s v="A00002129"/>
    <s v="PLC00007749"/>
    <d v="2015-02-18T00:00:00"/>
    <d v="2021-01-12T00:00:00"/>
    <d v="2021-01-17T00:00:00"/>
    <n v="5"/>
    <n v="85.43"/>
    <n v="1025.1600000000001"/>
    <n v="3000"/>
    <s v="A"/>
    <n v="3000"/>
    <n v="3.33"/>
    <s v="Minor Loss"/>
    <n v="40"/>
    <n v="39"/>
    <n v="0"/>
    <n v="4"/>
    <s v="M"/>
    <x v="0"/>
    <x v="1"/>
    <s v="Own"/>
    <n v="1"/>
    <n v="1"/>
    <n v="3413.7828000000004"/>
    <n v="2492.0614440000004"/>
    <n v="-507.93855599999961"/>
  </r>
  <r>
    <s v="TXN00006135"/>
    <s v="A00004819"/>
    <s v="PLC00001159"/>
    <d v="2016-01-31T00:00:00"/>
    <d v="2021-01-23T00:00:00"/>
    <d v="2021-01-25T00:00:00"/>
    <n v="2"/>
    <n v="73.790000000000006"/>
    <n v="885.48"/>
    <n v="9000"/>
    <s v="A"/>
    <n v="9000"/>
    <n v="7.75"/>
    <s v="Total Loss"/>
    <n v="93"/>
    <n v="48"/>
    <n v="0"/>
    <n v="2"/>
    <s v="L"/>
    <x v="0"/>
    <x v="4"/>
    <s v="Own"/>
    <n v="0"/>
    <n v="1"/>
    <n v="6862.47"/>
    <n v="5009.6031000000003"/>
    <n v="-3990.3968999999997"/>
  </r>
  <r>
    <s v="TXN00006136"/>
    <s v="A00007204"/>
    <s v="PLC00009908"/>
    <d v="2018-10-17T00:00:00"/>
    <d v="2021-01-12T00:00:00"/>
    <d v="2021-01-17T00:00:00"/>
    <n v="5"/>
    <n v="78.08"/>
    <n v="936.96"/>
    <n v="10000"/>
    <s v="A"/>
    <n v="10000"/>
    <n v="4.67"/>
    <s v="Major Loss"/>
    <n v="56"/>
    <n v="35"/>
    <n v="1"/>
    <n v="2"/>
    <s v="M"/>
    <x v="2"/>
    <x v="1"/>
    <s v="Mortgage"/>
    <n v="0"/>
    <n v="0"/>
    <n v="4375.6032000000005"/>
    <n v="3194.1903360000001"/>
    <n v="-6805.8096640000003"/>
  </r>
  <r>
    <s v="TXN00006143"/>
    <s v="A00000198"/>
    <s v="PLC00004475"/>
    <d v="2013-10-09T00:00:00"/>
    <d v="2021-01-13T00:00:00"/>
    <d v="2021-01-18T00:00:00"/>
    <n v="5"/>
    <n v="110.01"/>
    <n v="1320.12"/>
    <n v="9000"/>
    <s v="A"/>
    <n v="9000"/>
    <n v="4.83"/>
    <s v="Minor Loss"/>
    <n v="58"/>
    <n v="60"/>
    <n v="0"/>
    <n v="5"/>
    <s v="L"/>
    <x v="1"/>
    <x v="1"/>
    <s v="Own"/>
    <n v="0"/>
    <n v="1"/>
    <n v="6376.1795999999995"/>
    <n v="4654.6111079999991"/>
    <n v="-4345.3888920000009"/>
  </r>
  <r>
    <s v="TXN00006146"/>
    <s v="A00003057"/>
    <s v="PLC00005695"/>
    <d v="2011-02-03T00:00:00"/>
    <d v="2021-01-28T00:00:00"/>
    <d v="2021-01-28T00:00:00"/>
    <n v="0"/>
    <n v="122.3"/>
    <n v="1467.6"/>
    <n v="2000"/>
    <s v="A"/>
    <n v="2000"/>
    <n v="6.25"/>
    <s v="Major Loss"/>
    <n v="75"/>
    <n v="48"/>
    <n v="1"/>
    <n v="2"/>
    <s v="M"/>
    <x v="0"/>
    <x v="5"/>
    <s v="Rent"/>
    <n v="1"/>
    <n v="0"/>
    <n v="9172.5"/>
    <n v="6695.9250000000002"/>
    <n v="4695.9250000000002"/>
  </r>
  <r>
    <s v="TXN00006154"/>
    <s v="A00009830"/>
    <s v="PLC00000072"/>
    <d v="2019-02-06T00:00:00"/>
    <d v="2021-01-13T00:00:00"/>
    <d v="2021-01-18T00:00:00"/>
    <n v="5"/>
    <n v="73.72"/>
    <n v="884.64"/>
    <n v="9000"/>
    <s v="A"/>
    <n v="9000"/>
    <n v="2.92"/>
    <s v="Minor Loss"/>
    <n v="35"/>
    <n v="30"/>
    <n v="1"/>
    <n v="3"/>
    <s v="L"/>
    <x v="0"/>
    <x v="2"/>
    <s v="Mortgage"/>
    <n v="1"/>
    <n v="1"/>
    <n v="2583.1487999999999"/>
    <n v="1885.6986239999999"/>
    <n v="-7114.3013760000003"/>
  </r>
  <r>
    <s v="TXN00006172"/>
    <s v="A00004549"/>
    <s v="PLC00006947"/>
    <d v="2015-12-09T00:00:00"/>
    <d v="2021-01-24T00:00:00"/>
    <d v="2021-01-26T00:00:00"/>
    <n v="2"/>
    <n v="94.17"/>
    <n v="1130.04"/>
    <n v="8000"/>
    <s v="D"/>
    <n v="0"/>
    <n v="1.25"/>
    <s v="Total Loss"/>
    <n v="15"/>
    <n v="41"/>
    <n v="1"/>
    <n v="4"/>
    <s v="L"/>
    <x v="0"/>
    <x v="1"/>
    <s v="Mortgage"/>
    <n v="1"/>
    <n v="1"/>
    <n v="1412.55"/>
    <n v="1031.1614999999999"/>
    <n v="1031.1614999999999"/>
  </r>
  <r>
    <s v="TXN00006178"/>
    <s v="A00007500"/>
    <s v="PLC00005512"/>
    <d v="2016-03-01T00:00:00"/>
    <d v="2021-01-30T00:00:00"/>
    <d v="2021-01-30T00:00:00"/>
    <n v="0"/>
    <n v="112.23"/>
    <n v="1346.76"/>
    <n v="3000"/>
    <s v="A"/>
    <n v="3000"/>
    <n v="5.08"/>
    <s v="Minor Loss"/>
    <n v="61"/>
    <n v="30"/>
    <n v="1"/>
    <n v="3"/>
    <s v="L"/>
    <x v="1"/>
    <x v="1"/>
    <s v="Own"/>
    <n v="0"/>
    <n v="1"/>
    <n v="6841.5407999999998"/>
    <n v="4994.3247839999995"/>
    <n v="1994.3247839999995"/>
  </r>
  <r>
    <s v="TXN00006179"/>
    <s v="A00009386"/>
    <s v="PLC00008926"/>
    <d v="2014-04-10T00:00:00"/>
    <d v="2021-01-14T00:00:00"/>
    <d v="2021-01-19T00:00:00"/>
    <n v="5"/>
    <n v="108.16"/>
    <n v="1297.92"/>
    <n v="10000"/>
    <s v="A"/>
    <n v="10000"/>
    <n v="1.75"/>
    <s v="Total Loss"/>
    <n v="21"/>
    <n v="26"/>
    <n v="1"/>
    <n v="5"/>
    <s v="M"/>
    <x v="0"/>
    <x v="1"/>
    <s v="Mortgage"/>
    <n v="1"/>
    <n v="1"/>
    <n v="2271.36"/>
    <n v="1658.0928000000001"/>
    <n v="-8341.9071999999996"/>
  </r>
  <r>
    <s v="TXN00006181"/>
    <s v="A00004572"/>
    <s v="PLC00007654"/>
    <d v="2017-07-02T00:00:00"/>
    <d v="2021-01-24T00:00:00"/>
    <d v="2021-01-27T00:00:00"/>
    <n v="3"/>
    <n v="132.63999999999999"/>
    <n v="1591.68"/>
    <n v="4000"/>
    <s v="A"/>
    <n v="4000"/>
    <n v="7.08"/>
    <s v="Total Loss"/>
    <n v="85"/>
    <n v="57"/>
    <n v="1"/>
    <n v="3"/>
    <s v="L"/>
    <x v="1"/>
    <x v="1"/>
    <s v="Mortgage"/>
    <n v="1"/>
    <n v="1"/>
    <n v="11269.0944"/>
    <n v="8226.4389119999996"/>
    <n v="4226.4389119999996"/>
  </r>
  <r>
    <s v="TXN00006187"/>
    <s v="A00004272"/>
    <s v="PLC00008083"/>
    <d v="2014-08-06T00:00:00"/>
    <d v="2021-01-27T00:00:00"/>
    <d v="2021-01-28T00:00:00"/>
    <n v="1"/>
    <n v="128.55000000000001"/>
    <n v="1542.6"/>
    <n v="7000"/>
    <s v="A"/>
    <n v="7000"/>
    <n v="1.67"/>
    <s v="Total Loss"/>
    <n v="20"/>
    <n v="35"/>
    <n v="1"/>
    <n v="4"/>
    <s v="M"/>
    <x v="1"/>
    <x v="0"/>
    <s v="Own"/>
    <n v="0"/>
    <n v="1"/>
    <n v="2576.1419999999998"/>
    <n v="1880.5836599999998"/>
    <n v="-5119.4163399999998"/>
  </r>
  <r>
    <s v="TXN00006192"/>
    <s v="A00007910"/>
    <s v="PLC00001217"/>
    <d v="2014-05-23T00:00:00"/>
    <d v="2021-01-29T00:00:00"/>
    <d v="2021-01-29T00:00:00"/>
    <n v="0"/>
    <n v="83.14"/>
    <n v="997.68"/>
    <n v="4000"/>
    <s v="A"/>
    <n v="4000"/>
    <n v="5.42"/>
    <s v="Major Loss"/>
    <n v="65"/>
    <n v="43"/>
    <n v="1"/>
    <n v="2"/>
    <s v="L"/>
    <x v="0"/>
    <x v="1"/>
    <s v="Own"/>
    <n v="1"/>
    <n v="1"/>
    <n v="5407.4255999999996"/>
    <n v="3947.4206879999997"/>
    <n v="-52.5793120000003"/>
  </r>
  <r>
    <s v="TXN00006193"/>
    <s v="A00000907"/>
    <s v="PLC00006813"/>
    <d v="2016-06-01T00:00:00"/>
    <d v="2021-01-29T00:00:00"/>
    <d v="2021-01-29T00:00:00"/>
    <n v="0"/>
    <n v="85.75"/>
    <n v="1029"/>
    <n v="9000"/>
    <s v="A"/>
    <n v="9000"/>
    <n v="6.08"/>
    <s v="Total Loss"/>
    <n v="73"/>
    <n v="45"/>
    <n v="1"/>
    <n v="2"/>
    <s v="L"/>
    <x v="1"/>
    <x v="0"/>
    <s v="Rent"/>
    <n v="1"/>
    <n v="1"/>
    <n v="6256.32"/>
    <n v="4567.1135999999997"/>
    <n v="-4432.8864000000003"/>
  </r>
  <r>
    <s v="TXN00006234"/>
    <s v="A00005531"/>
    <s v="PLC00000294"/>
    <d v="2019-05-05T00:00:00"/>
    <d v="2021-01-20T00:00:00"/>
    <d v="2021-01-25T00:00:00"/>
    <n v="5"/>
    <n v="110.42"/>
    <n v="1325.04"/>
    <n v="4000"/>
    <s v="A"/>
    <n v="4000"/>
    <n v="1.58"/>
    <s v="Total Loss"/>
    <n v="19"/>
    <n v="28"/>
    <n v="1"/>
    <n v="3"/>
    <s v="H"/>
    <x v="1"/>
    <x v="0"/>
    <s v="Mortgage"/>
    <n v="1"/>
    <n v="1"/>
    <n v="2093.5632000000001"/>
    <n v="1528.301136"/>
    <n v="-2471.698864"/>
  </r>
  <r>
    <s v="TXN00006235"/>
    <s v="A00009457"/>
    <s v="PLC00000936"/>
    <d v="2011-06-17T00:00:00"/>
    <d v="2021-01-18T00:00:00"/>
    <d v="2021-01-23T00:00:00"/>
    <n v="5"/>
    <n v="136.94999999999999"/>
    <n v="1643.4"/>
    <n v="7000"/>
    <s v="A"/>
    <n v="7000"/>
    <n v="3.17"/>
    <s v="Major Loss"/>
    <n v="38"/>
    <n v="25"/>
    <n v="1"/>
    <n v="4"/>
    <s v="M"/>
    <x v="0"/>
    <x v="4"/>
    <s v="Mortgage"/>
    <n v="1"/>
    <n v="0"/>
    <n v="5209.5780000000004"/>
    <n v="3802.9919400000003"/>
    <n v="-3197.0080599999997"/>
  </r>
  <r>
    <s v="TXN00006240"/>
    <s v="A00001421"/>
    <s v="PLC00003930"/>
    <d v="2017-09-09T00:00:00"/>
    <d v="2021-01-14T00:00:00"/>
    <d v="2021-01-19T00:00:00"/>
    <n v="5"/>
    <n v="77.77"/>
    <n v="933.24"/>
    <n v="9000"/>
    <s v="A"/>
    <n v="9000"/>
    <n v="3.67"/>
    <s v="Minor Loss"/>
    <n v="44"/>
    <n v="53"/>
    <n v="1"/>
    <n v="7"/>
    <s v="L"/>
    <x v="0"/>
    <x v="1"/>
    <s v="Own"/>
    <n v="1"/>
    <n v="1"/>
    <n v="3424.9908"/>
    <n v="2500.2432840000001"/>
    <n v="-6499.7567159999999"/>
  </r>
  <r>
    <s v="TXN00006249"/>
    <s v="A00008991"/>
    <s v="PLC00006811"/>
    <d v="2019-09-30T00:00:00"/>
    <d v="2021-02-02T00:00:00"/>
    <d v="2021-02-02T00:00:00"/>
    <n v="0"/>
    <n v="136.66"/>
    <n v="1639.92"/>
    <n v="4000"/>
    <s v="A"/>
    <n v="4000"/>
    <n v="5.25"/>
    <s v="Total Loss"/>
    <n v="63"/>
    <n v="30"/>
    <n v="1"/>
    <n v="3"/>
    <s v="L"/>
    <x v="0"/>
    <x v="0"/>
    <s v="Rent"/>
    <n v="0"/>
    <n v="1"/>
    <n v="8609.58"/>
    <n v="6284.9933999999994"/>
    <n v="2284.9933999999994"/>
  </r>
  <r>
    <s v="TXN00006252"/>
    <s v="A00008724"/>
    <s v="PLC00008520"/>
    <d v="2013-07-05T00:00:00"/>
    <d v="2021-01-25T00:00:00"/>
    <d v="2021-01-28T00:00:00"/>
    <n v="3"/>
    <n v="71.150000000000006"/>
    <n v="853.8"/>
    <n v="10000"/>
    <s v="A"/>
    <n v="10000"/>
    <n v="4.33"/>
    <s v="Total Loss"/>
    <n v="52"/>
    <n v="40"/>
    <n v="1"/>
    <n v="3"/>
    <s v="L"/>
    <x v="0"/>
    <x v="1"/>
    <s v="Mortgage"/>
    <n v="1"/>
    <n v="0"/>
    <n v="3696.9539999999997"/>
    <n v="2698.7764199999997"/>
    <n v="-7301.2235799999999"/>
  </r>
  <r>
    <s v="TXN00006287"/>
    <s v="A00000147"/>
    <s v="PLC00007304"/>
    <d v="2017-09-26T00:00:00"/>
    <d v="2021-02-03T00:00:00"/>
    <d v="2021-02-03T00:00:00"/>
    <n v="0"/>
    <n v="79.2"/>
    <n v="950.4"/>
    <n v="8000"/>
    <s v="A"/>
    <n v="8000"/>
    <n v="5.92"/>
    <s v="Minor Loss"/>
    <n v="71"/>
    <n v="48"/>
    <n v="1"/>
    <n v="5"/>
    <s v="M"/>
    <x v="1"/>
    <x v="1"/>
    <s v="Rent"/>
    <n v="0"/>
    <n v="1"/>
    <n v="5626.3679999999995"/>
    <n v="4107.2486399999998"/>
    <n v="-3892.7513600000002"/>
  </r>
  <r>
    <s v="TXN00006291"/>
    <s v="A00004947"/>
    <s v="PLC00001072"/>
    <d v="2010-10-07T00:00:00"/>
    <d v="2021-01-21T00:00:00"/>
    <d v="2021-01-26T00:00:00"/>
    <n v="5"/>
    <n v="129.66"/>
    <n v="1555.92"/>
    <n v="4000"/>
    <s v="A"/>
    <n v="4000"/>
    <n v="8.67"/>
    <s v="Minor Loss"/>
    <n v="104"/>
    <n v="29"/>
    <n v="1"/>
    <n v="3"/>
    <s v="H"/>
    <x v="2"/>
    <x v="1"/>
    <s v="Mortgage"/>
    <n v="0"/>
    <n v="0"/>
    <n v="13489.8264"/>
    <n v="9847.5732719999996"/>
    <n v="5847.5732719999996"/>
  </r>
  <r>
    <s v="TXN00006292"/>
    <s v="A00002163"/>
    <s v="PLC00003086"/>
    <d v="2012-10-18T00:00:00"/>
    <d v="2021-01-30T00:00:00"/>
    <d v="2021-02-01T00:00:00"/>
    <n v="2"/>
    <n v="109.55"/>
    <n v="1314.6"/>
    <n v="3000"/>
    <s v="A"/>
    <n v="3000"/>
    <n v="1.33"/>
    <s v="Minor Loss"/>
    <n v="16"/>
    <n v="29"/>
    <n v="1"/>
    <n v="5"/>
    <s v="M"/>
    <x v="1"/>
    <x v="6"/>
    <s v="Own"/>
    <n v="1"/>
    <n v="1"/>
    <n v="1748.4179999999999"/>
    <n v="1276.3451399999999"/>
    <n v="-1723.6548600000001"/>
  </r>
  <r>
    <s v="TXN00006307"/>
    <s v="A00000436"/>
    <s v="PLC00002109"/>
    <d v="2016-07-01T00:00:00"/>
    <d v="2021-02-05T00:00:00"/>
    <d v="2021-02-05T00:00:00"/>
    <n v="0"/>
    <n v="86.01"/>
    <n v="1032.1199999999999"/>
    <n v="9000"/>
    <s v="A"/>
    <n v="9000"/>
    <n v="6.42"/>
    <s v="Major Loss"/>
    <n v="77"/>
    <n v="46"/>
    <n v="1"/>
    <n v="7"/>
    <s v="L"/>
    <x v="2"/>
    <x v="0"/>
    <s v="Own"/>
    <n v="1"/>
    <n v="1"/>
    <n v="6626.210399999999"/>
    <n v="4837.1335919999992"/>
    <n v="-4162.8664080000008"/>
  </r>
  <r>
    <s v="TXN00006316"/>
    <s v="A00006649"/>
    <s v="PLC00007118"/>
    <d v="2017-02-23T00:00:00"/>
    <d v="2021-01-29T00:00:00"/>
    <d v="2021-02-01T00:00:00"/>
    <n v="3"/>
    <n v="128.35"/>
    <n v="1540.2"/>
    <n v="10000"/>
    <s v="D"/>
    <n v="0"/>
    <n v="8.5"/>
    <s v="Total Loss"/>
    <n v="102"/>
    <n v="49"/>
    <n v="1"/>
    <n v="7"/>
    <s v="M"/>
    <x v="1"/>
    <x v="4"/>
    <s v="Mortgage"/>
    <n v="0"/>
    <n v="1"/>
    <n v="13091.7"/>
    <n v="9556.9410000000007"/>
    <n v="9556.9410000000007"/>
  </r>
  <r>
    <s v="TXN00006326"/>
    <s v="A00000918"/>
    <s v="PLC00009712"/>
    <d v="2017-08-26T00:00:00"/>
    <d v="2021-01-20T00:00:00"/>
    <d v="2021-01-25T00:00:00"/>
    <n v="5"/>
    <n v="105.73"/>
    <n v="1268.76"/>
    <n v="10000"/>
    <s v="A"/>
    <n v="10000"/>
    <n v="9.75"/>
    <s v="Major Loss"/>
    <n v="117"/>
    <n v="39"/>
    <n v="0"/>
    <n v="4"/>
    <s v="L"/>
    <x v="1"/>
    <x v="3"/>
    <s v="Own"/>
    <n v="0"/>
    <n v="1"/>
    <n v="12370.41"/>
    <n v="9030.3992999999991"/>
    <n v="-969.60070000000087"/>
  </r>
  <r>
    <s v="TXN00006329"/>
    <s v="A00003716"/>
    <s v="PLC00000124"/>
    <d v="2017-12-02T00:00:00"/>
    <d v="2021-01-17T00:00:00"/>
    <d v="2021-01-22T00:00:00"/>
    <n v="5"/>
    <n v="120.33"/>
    <n v="1443.96"/>
    <n v="3000"/>
    <s v="A"/>
    <n v="3000"/>
    <n v="4.08"/>
    <s v="Major Loss"/>
    <n v="49"/>
    <n v="59"/>
    <n v="1"/>
    <n v="2"/>
    <s v="M"/>
    <x v="0"/>
    <x v="1"/>
    <s v="Mortgage"/>
    <n v="1"/>
    <n v="0"/>
    <n v="5891.3568000000005"/>
    <n v="4300.6904640000002"/>
    <n v="1300.6904640000002"/>
  </r>
  <r>
    <s v="TXN00006335"/>
    <s v="A00004573"/>
    <s v="PLC00006198"/>
    <d v="2019-08-22T00:00:00"/>
    <d v="2021-01-24T00:00:00"/>
    <d v="2021-01-29T00:00:00"/>
    <n v="5"/>
    <n v="127.66"/>
    <n v="1531.92"/>
    <n v="5000"/>
    <s v="A"/>
    <n v="5000"/>
    <n v="6.67"/>
    <s v="Minor Loss"/>
    <n v="80"/>
    <n v="38"/>
    <n v="1"/>
    <n v="3"/>
    <s v="M"/>
    <x v="1"/>
    <x v="1"/>
    <s v="Rent"/>
    <n v="1"/>
    <n v="1"/>
    <n v="10217.9064"/>
    <n v="7459.071672"/>
    <n v="2459.071672"/>
  </r>
  <r>
    <s v="TXN00006361"/>
    <s v="A00008878"/>
    <s v="PLC00006388"/>
    <d v="2014-02-14T00:00:00"/>
    <d v="2021-01-19T00:00:00"/>
    <d v="2021-01-24T00:00:00"/>
    <n v="5"/>
    <n v="104.66"/>
    <n v="1255.92"/>
    <n v="5000"/>
    <s v="A"/>
    <n v="5000"/>
    <n v="5.08"/>
    <s v="Total Loss"/>
    <n v="61"/>
    <n v="62"/>
    <n v="0"/>
    <n v="4"/>
    <s v="L"/>
    <x v="0"/>
    <x v="1"/>
    <s v="Rent"/>
    <n v="1"/>
    <n v="1"/>
    <n v="6380.0736000000006"/>
    <n v="4657.4537280000004"/>
    <n v="-342.54627199999959"/>
  </r>
  <r>
    <s v="TXN00006362"/>
    <s v="A00004495"/>
    <s v="PLC00003694"/>
    <d v="2016-11-04T00:00:00"/>
    <d v="2021-01-21T00:00:00"/>
    <d v="2021-01-26T00:00:00"/>
    <n v="5"/>
    <n v="139.12"/>
    <n v="1669.44"/>
    <n v="9000"/>
    <s v="A"/>
    <n v="9000"/>
    <n v="3.67"/>
    <s v="Total Loss"/>
    <n v="44"/>
    <n v="56"/>
    <n v="0"/>
    <n v="2"/>
    <s v="L"/>
    <x v="0"/>
    <x v="1"/>
    <s v="Rent"/>
    <n v="0"/>
    <n v="1"/>
    <n v="6126.8447999999999"/>
    <n v="4472.5967039999996"/>
    <n v="-4527.4032960000004"/>
  </r>
  <r>
    <s v="TXN00006369"/>
    <s v="A00000258"/>
    <s v="PLC00008593"/>
    <d v="2012-02-08T00:00:00"/>
    <d v="2021-02-02T00:00:00"/>
    <d v="2021-02-04T00:00:00"/>
    <n v="2"/>
    <n v="105.84"/>
    <n v="1270.08"/>
    <n v="8000"/>
    <s v="A"/>
    <n v="8000"/>
    <n v="7.5"/>
    <s v="Major Loss"/>
    <n v="90"/>
    <n v="51"/>
    <n v="1"/>
    <n v="5"/>
    <s v="L"/>
    <x v="2"/>
    <x v="3"/>
    <s v="Own"/>
    <n v="1"/>
    <n v="1"/>
    <n v="9525.5999999999985"/>
    <n v="6953.6879999999992"/>
    <n v="-1046.3120000000008"/>
  </r>
  <r>
    <s v="TXN00006372"/>
    <s v="A00002247"/>
    <s v="PLC00007308"/>
    <d v="2015-01-29T00:00:00"/>
    <d v="2021-02-07T00:00:00"/>
    <d v="2021-02-07T00:00:00"/>
    <n v="0"/>
    <n v="116.09"/>
    <n v="1393.08"/>
    <n v="4000"/>
    <s v="A"/>
    <n v="4000"/>
    <n v="1.5"/>
    <s v="Minor Loss"/>
    <n v="18"/>
    <n v="47"/>
    <n v="1"/>
    <n v="3"/>
    <s v="M"/>
    <x v="1"/>
    <x v="6"/>
    <s v="Mortgage"/>
    <n v="0"/>
    <n v="0"/>
    <n v="2089.62"/>
    <n v="1525.4225999999999"/>
    <n v="-2474.5774000000001"/>
  </r>
  <r>
    <s v="TXN00006381"/>
    <s v="A00007557"/>
    <s v="PLC00007812"/>
    <d v="2011-02-07T00:00:00"/>
    <d v="2021-02-03T00:00:00"/>
    <d v="2021-02-04T00:00:00"/>
    <n v="1"/>
    <n v="123.44"/>
    <n v="1481.28"/>
    <n v="5000"/>
    <s v="A"/>
    <n v="5000"/>
    <n v="6.42"/>
    <s v="Minor Loss"/>
    <n v="77"/>
    <n v="53"/>
    <n v="0"/>
    <n v="5"/>
    <s v="M"/>
    <x v="2"/>
    <x v="1"/>
    <s v="Mortgage"/>
    <n v="1"/>
    <n v="1"/>
    <n v="9509.8176000000003"/>
    <n v="6942.1668479999998"/>
    <n v="1942.1668479999998"/>
  </r>
  <r>
    <s v="TXN00006391"/>
    <s v="A00002099"/>
    <s v="PLC00002539"/>
    <d v="2015-06-25T00:00:00"/>
    <d v="2021-02-01T00:00:00"/>
    <d v="2021-02-03T00:00:00"/>
    <n v="2"/>
    <n v="118.18"/>
    <n v="1418.16"/>
    <n v="2000"/>
    <s v="A"/>
    <n v="2000"/>
    <n v="7"/>
    <s v="Minor Loss"/>
    <n v="84"/>
    <n v="43"/>
    <n v="1"/>
    <n v="6"/>
    <s v="H"/>
    <x v="1"/>
    <x v="2"/>
    <s v="Mortgage"/>
    <n v="0"/>
    <n v="1"/>
    <n v="9927.1200000000008"/>
    <n v="7246.7976000000008"/>
    <n v="5246.7976000000008"/>
  </r>
  <r>
    <s v="TXN00006398"/>
    <s v="A00004416"/>
    <s v="PLC00005845"/>
    <d v="2016-10-28T00:00:00"/>
    <d v="2021-02-07T00:00:00"/>
    <d v="2021-02-07T00:00:00"/>
    <n v="0"/>
    <n v="73.53"/>
    <n v="882.36"/>
    <n v="4000"/>
    <s v="A"/>
    <n v="4000"/>
    <n v="2.92"/>
    <s v="Major Loss"/>
    <n v="35"/>
    <n v="42"/>
    <n v="0"/>
    <n v="5"/>
    <s v="M"/>
    <x v="0"/>
    <x v="1"/>
    <s v="Own"/>
    <n v="1"/>
    <n v="1"/>
    <n v="2576.4911999999999"/>
    <n v="1880.8385759999999"/>
    <n v="-2119.1614239999999"/>
  </r>
  <r>
    <s v="TXN00006401"/>
    <s v="A00006525"/>
    <s v="PLC00007248"/>
    <d v="2012-05-13T00:00:00"/>
    <d v="2021-01-23T00:00:00"/>
    <d v="2021-01-28T00:00:00"/>
    <n v="5"/>
    <n v="80.010000000000005"/>
    <n v="960.12"/>
    <n v="6000"/>
    <s v="A"/>
    <n v="6000"/>
    <n v="5.75"/>
    <s v="Total Loss"/>
    <n v="69"/>
    <n v="52"/>
    <n v="1"/>
    <n v="6"/>
    <s v="M"/>
    <x v="0"/>
    <x v="0"/>
    <s v="Rent"/>
    <n v="1"/>
    <n v="0"/>
    <n v="5520.69"/>
    <n v="4030.1036999999997"/>
    <n v="-1969.8963000000003"/>
  </r>
  <r>
    <s v="TXN00006405"/>
    <s v="A00005175"/>
    <s v="PLC00008744"/>
    <d v="2017-07-27T00:00:00"/>
    <d v="2021-02-05T00:00:00"/>
    <d v="2021-02-06T00:00:00"/>
    <n v="1"/>
    <n v="123.97"/>
    <n v="1487.64"/>
    <n v="4000"/>
    <s v="A"/>
    <n v="4000"/>
    <n v="8.08"/>
    <s v="Major Loss"/>
    <n v="97"/>
    <n v="56"/>
    <n v="1"/>
    <n v="3"/>
    <s v="M"/>
    <x v="0"/>
    <x v="1"/>
    <s v="Mortgage"/>
    <n v="0"/>
    <n v="1"/>
    <n v="12020.131200000002"/>
    <n v="8774.6957760000005"/>
    <n v="4774.6957760000005"/>
  </r>
  <r>
    <s v="TXN00006412"/>
    <s v="A00008213"/>
    <s v="PLC00000479"/>
    <d v="2016-11-17T00:00:00"/>
    <d v="2021-02-03T00:00:00"/>
    <d v="2021-02-05T00:00:00"/>
    <n v="2"/>
    <n v="116.62"/>
    <n v="1399.44"/>
    <n v="5000"/>
    <s v="A"/>
    <n v="5000"/>
    <n v="9.17"/>
    <s v="Minor Loss"/>
    <n v="110"/>
    <n v="48"/>
    <n v="0"/>
    <n v="3"/>
    <s v="H"/>
    <x v="0"/>
    <x v="1"/>
    <s v="Rent"/>
    <n v="1"/>
    <n v="1"/>
    <n v="12832.864800000001"/>
    <n v="9367.991304000001"/>
    <n v="4367.991304000001"/>
  </r>
  <r>
    <s v="TXN00006414"/>
    <s v="A00007203"/>
    <s v="PLC00004555"/>
    <d v="2012-09-19T00:00:00"/>
    <d v="2021-02-04T00:00:00"/>
    <d v="2021-02-05T00:00:00"/>
    <n v="1"/>
    <n v="106.28"/>
    <n v="1275.3599999999999"/>
    <n v="10000"/>
    <s v="A"/>
    <n v="10000"/>
    <n v="4.42"/>
    <s v="Total Loss"/>
    <n v="53"/>
    <n v="25"/>
    <n v="1"/>
    <n v="6"/>
    <s v="L"/>
    <x v="2"/>
    <x v="4"/>
    <s v="Rent"/>
    <n v="1"/>
    <n v="1"/>
    <n v="5637.0911999999998"/>
    <n v="4115.0765759999995"/>
    <n v="-5884.9234240000005"/>
  </r>
  <r>
    <s v="TXN00006429"/>
    <s v="A00003618"/>
    <s v="PLC00008323"/>
    <d v="2020-01-14T00:00:00"/>
    <d v="2021-02-06T00:00:00"/>
    <d v="2021-02-07T00:00:00"/>
    <n v="1"/>
    <n v="109.72"/>
    <n v="1316.64"/>
    <n v="4000"/>
    <s v="A"/>
    <n v="4000"/>
    <n v="7.08"/>
    <s v="Minor Loss"/>
    <n v="85"/>
    <n v="26"/>
    <n v="1"/>
    <n v="7"/>
    <s v="H"/>
    <x v="2"/>
    <x v="5"/>
    <s v="Mortgage"/>
    <n v="1"/>
    <n v="1"/>
    <n v="9321.8112000000001"/>
    <n v="6804.922176"/>
    <n v="2804.922176"/>
  </r>
  <r>
    <s v="TXN00006432"/>
    <s v="A00009463"/>
    <s v="PLC00002964"/>
    <d v="2014-06-27T00:00:00"/>
    <d v="2021-02-06T00:00:00"/>
    <d v="2021-02-07T00:00:00"/>
    <n v="1"/>
    <n v="99.55"/>
    <n v="1194.5999999999999"/>
    <n v="3000"/>
    <s v="A"/>
    <n v="3000"/>
    <n v="8"/>
    <s v="Minor Loss"/>
    <n v="96"/>
    <n v="34"/>
    <n v="0"/>
    <n v="2"/>
    <s v="L"/>
    <x v="0"/>
    <x v="0"/>
    <s v="Mortgage"/>
    <n v="1"/>
    <n v="0"/>
    <n v="9556.7999999999993"/>
    <n v="6976.463999999999"/>
    <n v="3976.463999999999"/>
  </r>
  <r>
    <s v="TXN00006434"/>
    <s v="A00007639"/>
    <s v="PLC00005471"/>
    <d v="2017-05-28T00:00:00"/>
    <d v="2021-02-09T00:00:00"/>
    <d v="2021-02-09T00:00:00"/>
    <n v="0"/>
    <n v="78.73"/>
    <n v="944.76"/>
    <n v="3000"/>
    <s v="A"/>
    <n v="3000"/>
    <n v="3.5"/>
    <s v="Total Loss"/>
    <n v="42"/>
    <n v="26"/>
    <n v="0"/>
    <n v="4"/>
    <s v="L"/>
    <x v="0"/>
    <x v="1"/>
    <s v="Rent"/>
    <n v="0"/>
    <n v="0"/>
    <n v="3306.66"/>
    <n v="2413.8617999999997"/>
    <n v="-586.13820000000032"/>
  </r>
  <r>
    <s v="TXN00006436"/>
    <s v="A00002872"/>
    <s v="PLC00009779"/>
    <d v="2018-04-30T00:00:00"/>
    <d v="2021-01-25T00:00:00"/>
    <d v="2021-01-30T00:00:00"/>
    <n v="5"/>
    <n v="126.54"/>
    <n v="1518.48"/>
    <n v="9000"/>
    <s v="A"/>
    <n v="9000"/>
    <n v="6.33"/>
    <s v="Total Loss"/>
    <n v="76"/>
    <n v="54"/>
    <n v="1"/>
    <n v="6"/>
    <s v="L"/>
    <x v="2"/>
    <x v="6"/>
    <s v="Rent"/>
    <n v="1"/>
    <n v="1"/>
    <n v="9611.9784"/>
    <n v="7016.744232"/>
    <n v="-1983.255768"/>
  </r>
  <r>
    <s v="TXN00006440"/>
    <s v="A00009369"/>
    <s v="PLC00001382"/>
    <d v="2015-08-19T00:00:00"/>
    <d v="2021-02-08T00:00:00"/>
    <d v="2021-02-08T00:00:00"/>
    <n v="0"/>
    <n v="107.21"/>
    <n v="1286.52"/>
    <n v="2000"/>
    <s v="A"/>
    <n v="2000"/>
    <n v="6"/>
    <s v="Major Loss"/>
    <n v="72"/>
    <n v="49"/>
    <n v="1"/>
    <n v="6"/>
    <s v="M"/>
    <x v="0"/>
    <x v="0"/>
    <s v="Rent"/>
    <n v="1"/>
    <n v="1"/>
    <n v="7719.12"/>
    <n v="5634.9575999999997"/>
    <n v="3634.9575999999997"/>
  </r>
  <r>
    <s v="TXN00006441"/>
    <s v="A00008821"/>
    <s v="PLC00000365"/>
    <d v="2011-07-01T00:00:00"/>
    <d v="2021-01-27T00:00:00"/>
    <d v="2021-02-01T00:00:00"/>
    <n v="5"/>
    <n v="107.19"/>
    <n v="1286.28"/>
    <n v="8000"/>
    <s v="A"/>
    <n v="8000"/>
    <n v="6"/>
    <s v="Total Loss"/>
    <n v="72"/>
    <n v="43"/>
    <n v="0"/>
    <n v="4"/>
    <s v="L"/>
    <x v="2"/>
    <x v="1"/>
    <s v="Own"/>
    <n v="1"/>
    <n v="1"/>
    <n v="7717.68"/>
    <n v="5633.9063999999998"/>
    <n v="-2366.0936000000002"/>
  </r>
  <r>
    <s v="TXN00006463"/>
    <s v="A00006929"/>
    <s v="PLC00001776"/>
    <d v="2010-11-27T00:00:00"/>
    <d v="2021-01-23T00:00:00"/>
    <d v="2021-01-28T00:00:00"/>
    <n v="5"/>
    <n v="94.68"/>
    <n v="1136.1600000000001"/>
    <n v="8000"/>
    <s v="A"/>
    <n v="8000"/>
    <n v="2.17"/>
    <s v="Minor Loss"/>
    <n v="26"/>
    <n v="63"/>
    <n v="1"/>
    <n v="5"/>
    <s v="H"/>
    <x v="2"/>
    <x v="5"/>
    <s v="Own"/>
    <n v="1"/>
    <n v="1"/>
    <n v="2465.4672"/>
    <n v="1799.791056"/>
    <n v="-6200.208944"/>
  </r>
  <r>
    <s v="TXN00006465"/>
    <s v="A00007285"/>
    <s v="PLC00008980"/>
    <d v="2011-04-02T00:00:00"/>
    <d v="2021-02-05T00:00:00"/>
    <d v="2021-02-07T00:00:00"/>
    <n v="2"/>
    <n v="70.099999999999994"/>
    <n v="841.2"/>
    <n v="8000"/>
    <s v="A"/>
    <n v="8000"/>
    <n v="1.25"/>
    <s v="Minor Loss"/>
    <n v="15"/>
    <n v="55"/>
    <n v="1"/>
    <n v="6"/>
    <s v="H"/>
    <x v="0"/>
    <x v="0"/>
    <s v="Own"/>
    <n v="1"/>
    <n v="1"/>
    <n v="1051.5"/>
    <n v="767.59500000000003"/>
    <n v="-7232.4049999999997"/>
  </r>
  <r>
    <s v="TXN00006467"/>
    <s v="A00003609"/>
    <s v="PLC00001034"/>
    <d v="2015-04-04T00:00:00"/>
    <d v="2021-01-22T00:00:00"/>
    <d v="2021-01-27T00:00:00"/>
    <n v="5"/>
    <n v="139.43"/>
    <n v="1673.16"/>
    <n v="1000"/>
    <s v="A"/>
    <n v="1000"/>
    <n v="2.08"/>
    <s v="Minor Loss"/>
    <n v="25"/>
    <n v="51"/>
    <n v="0"/>
    <n v="4"/>
    <s v="L"/>
    <x v="2"/>
    <x v="1"/>
    <s v="Mortgage"/>
    <n v="1"/>
    <n v="0"/>
    <n v="3480.1728000000003"/>
    <n v="2540.5261439999999"/>
    <n v="1540.5261439999999"/>
  </r>
  <r>
    <s v="TXN00006470"/>
    <s v="A00009470"/>
    <s v="PLC00006645"/>
    <d v="2012-02-27T00:00:00"/>
    <d v="2021-02-03T00:00:00"/>
    <d v="2021-02-06T00:00:00"/>
    <n v="3"/>
    <n v="137.79"/>
    <n v="1653.48"/>
    <n v="8000"/>
    <s v="A"/>
    <n v="8000"/>
    <n v="6.17"/>
    <s v="Major Loss"/>
    <n v="74"/>
    <n v="64"/>
    <n v="1"/>
    <n v="5"/>
    <s v="L"/>
    <x v="2"/>
    <x v="1"/>
    <s v="Mortgage"/>
    <n v="0"/>
    <n v="1"/>
    <n v="10201.971600000001"/>
    <n v="7447.4392680000001"/>
    <n v="-552.56073199999992"/>
  </r>
  <r>
    <s v="TXN00006475"/>
    <s v="A00009800"/>
    <s v="PLC00009563"/>
    <d v="2010-12-29T00:00:00"/>
    <d v="2021-02-07T00:00:00"/>
    <d v="2021-02-08T00:00:00"/>
    <n v="1"/>
    <n v="92.06"/>
    <n v="1104.72"/>
    <n v="4000"/>
    <s v="D"/>
    <n v="0"/>
    <n v="0.67"/>
    <s v="Major Loss"/>
    <n v="8"/>
    <n v="40"/>
    <n v="1"/>
    <n v="6"/>
    <s v="H"/>
    <x v="2"/>
    <x v="0"/>
    <s v="Mortgage"/>
    <n v="1"/>
    <n v="1"/>
    <n v="740.16240000000005"/>
    <n v="540.31855200000007"/>
    <n v="540.31855200000007"/>
  </r>
  <r>
    <s v="TXN00006479"/>
    <s v="A00001699"/>
    <s v="PLC00002820"/>
    <d v="2012-07-02T00:00:00"/>
    <d v="2021-02-03T00:00:00"/>
    <d v="2021-02-06T00:00:00"/>
    <n v="3"/>
    <n v="90.25"/>
    <n v="1083"/>
    <n v="2000"/>
    <s v="A"/>
    <n v="2000"/>
    <n v="8.58"/>
    <s v="Total Loss"/>
    <n v="103"/>
    <n v="38"/>
    <n v="1"/>
    <n v="7"/>
    <s v="L"/>
    <x v="0"/>
    <x v="1"/>
    <s v="Own"/>
    <n v="0"/>
    <n v="1"/>
    <n v="9292.14"/>
    <n v="6783.2621999999992"/>
    <n v="4783.2621999999992"/>
  </r>
  <r>
    <s v="TXN00006484"/>
    <s v="A00008015"/>
    <s v="PLC00007240"/>
    <d v="2012-11-09T00:00:00"/>
    <d v="2021-02-05T00:00:00"/>
    <d v="2021-02-07T00:00:00"/>
    <n v="2"/>
    <n v="116.24"/>
    <n v="1394.88"/>
    <n v="3000"/>
    <s v="A"/>
    <n v="3000"/>
    <n v="7.42"/>
    <s v="Total Loss"/>
    <n v="89"/>
    <n v="33"/>
    <n v="1"/>
    <n v="2"/>
    <s v="M"/>
    <x v="1"/>
    <x v="4"/>
    <s v="Mortgage"/>
    <n v="0"/>
    <n v="0"/>
    <n v="10350.009600000001"/>
    <n v="7555.5070080000005"/>
    <n v="4555.5070080000005"/>
  </r>
  <r>
    <s v="TXN00006490"/>
    <s v="A00004072"/>
    <s v="PLC00001019"/>
    <d v="2011-01-14T00:00:00"/>
    <d v="2021-01-28T00:00:00"/>
    <d v="2021-02-02T00:00:00"/>
    <n v="5"/>
    <n v="109.99"/>
    <n v="1319.88"/>
    <n v="5000"/>
    <s v="A"/>
    <n v="5000"/>
    <n v="6.42"/>
    <s v="Major Loss"/>
    <n v="77"/>
    <n v="48"/>
    <n v="1"/>
    <n v="6"/>
    <s v="M"/>
    <x v="0"/>
    <x v="0"/>
    <s v="Own"/>
    <n v="1"/>
    <n v="0"/>
    <n v="8473.6296000000002"/>
    <n v="6185.7496080000001"/>
    <n v="1185.7496080000001"/>
  </r>
  <r>
    <s v="TXN00006492"/>
    <s v="A00008216"/>
    <s v="PLC00003993"/>
    <d v="2015-08-04T00:00:00"/>
    <d v="2021-02-06T00:00:00"/>
    <d v="2021-02-08T00:00:00"/>
    <n v="2"/>
    <n v="135.19999999999999"/>
    <n v="1622.4"/>
    <n v="10000"/>
    <s v="A"/>
    <n v="10000"/>
    <n v="8.75"/>
    <s v="Total Loss"/>
    <n v="105"/>
    <n v="63"/>
    <n v="1"/>
    <n v="7"/>
    <s v="L"/>
    <x v="0"/>
    <x v="0"/>
    <s v="Mortgage"/>
    <n v="1"/>
    <n v="1"/>
    <n v="14196"/>
    <n v="10363.08"/>
    <n v="363.07999999999993"/>
  </r>
  <r>
    <s v="TXN00006496"/>
    <s v="A00004881"/>
    <s v="PLC00002873"/>
    <d v="2016-12-20T00:00:00"/>
    <d v="2021-02-07T00:00:00"/>
    <d v="2021-02-08T00:00:00"/>
    <n v="1"/>
    <n v="98.66"/>
    <n v="1183.92"/>
    <n v="10000"/>
    <s v="D"/>
    <n v="0"/>
    <n v="6.83"/>
    <s v="Major Loss"/>
    <n v="82"/>
    <n v="50"/>
    <n v="1"/>
    <n v="7"/>
    <s v="L"/>
    <x v="0"/>
    <x v="1"/>
    <s v="Mortgage"/>
    <n v="1"/>
    <n v="1"/>
    <n v="8086.173600000001"/>
    <n v="5902.9067280000008"/>
    <n v="5902.9067280000008"/>
  </r>
  <r>
    <s v="TXN00006502"/>
    <s v="A00001188"/>
    <s v="PLC00002153"/>
    <d v="2010-07-21T00:00:00"/>
    <d v="2021-02-10T00:00:00"/>
    <d v="2021-02-10T00:00:00"/>
    <n v="0"/>
    <n v="124.03"/>
    <n v="1488.36"/>
    <n v="3000"/>
    <s v="A"/>
    <n v="3000"/>
    <n v="2.75"/>
    <s v="Minor Loss"/>
    <n v="33"/>
    <n v="53"/>
    <n v="1"/>
    <n v="5"/>
    <s v="L"/>
    <x v="1"/>
    <x v="0"/>
    <s v="Rent"/>
    <n v="1"/>
    <n v="1"/>
    <n v="4092.99"/>
    <n v="2987.8826999999997"/>
    <n v="-12.117300000000341"/>
  </r>
  <r>
    <s v="TXN00006510"/>
    <s v="A00006884"/>
    <s v="PLC00000401"/>
    <d v="2013-11-08T00:00:00"/>
    <d v="2021-02-07T00:00:00"/>
    <d v="2021-02-09T00:00:00"/>
    <n v="2"/>
    <n v="71.510000000000005"/>
    <n v="858.12"/>
    <n v="8000"/>
    <s v="A"/>
    <n v="8000"/>
    <n v="5.33"/>
    <s v="Total Loss"/>
    <n v="64"/>
    <n v="29"/>
    <n v="1"/>
    <n v="4"/>
    <s v="M"/>
    <x v="1"/>
    <x v="1"/>
    <s v="Rent"/>
    <n v="1"/>
    <n v="0"/>
    <n v="4573.7795999999998"/>
    <n v="3338.8591079999997"/>
    <n v="-4661.1408920000003"/>
  </r>
  <r>
    <s v="TXN00006511"/>
    <s v="A00002415"/>
    <s v="PLC00006918"/>
    <d v="2013-01-30T00:00:00"/>
    <d v="2021-02-12T00:00:00"/>
    <d v="2021-02-12T00:00:00"/>
    <n v="0"/>
    <n v="116.33"/>
    <n v="1395.96"/>
    <n v="1000"/>
    <s v="A"/>
    <n v="1000"/>
    <n v="3.75"/>
    <s v="Minor Loss"/>
    <n v="45"/>
    <n v="43"/>
    <n v="1"/>
    <n v="4"/>
    <s v="M"/>
    <x v="2"/>
    <x v="3"/>
    <s v="Rent"/>
    <n v="1"/>
    <n v="1"/>
    <n v="5234.8500000000004"/>
    <n v="3821.4405000000002"/>
    <n v="2821.4405000000002"/>
  </r>
  <r>
    <s v="TXN00006518"/>
    <s v="A00005656"/>
    <s v="PLC00005107"/>
    <d v="2017-06-26T00:00:00"/>
    <d v="2021-01-24T00:00:00"/>
    <d v="2021-01-29T00:00:00"/>
    <n v="5"/>
    <n v="103.26"/>
    <n v="1239.1199999999999"/>
    <n v="4000"/>
    <s v="A"/>
    <n v="4000"/>
    <n v="1.75"/>
    <s v="Total Loss"/>
    <n v="21"/>
    <n v="25"/>
    <n v="0"/>
    <n v="7"/>
    <s v="L"/>
    <x v="0"/>
    <x v="4"/>
    <s v="Own"/>
    <n v="1"/>
    <n v="0"/>
    <n v="2168.46"/>
    <n v="1582.9757999999999"/>
    <n v="-2417.0241999999998"/>
  </r>
  <r>
    <s v="TXN00006522"/>
    <s v="A00006751"/>
    <s v="PLC00000898"/>
    <d v="2012-01-14T00:00:00"/>
    <d v="2021-02-01T00:00:00"/>
    <d v="2021-02-06T00:00:00"/>
    <n v="5"/>
    <n v="121.98"/>
    <n v="1463.76"/>
    <n v="1000"/>
    <s v="A"/>
    <n v="1000"/>
    <n v="9.42"/>
    <s v="Minor Loss"/>
    <n v="113"/>
    <n v="47"/>
    <n v="1"/>
    <n v="4"/>
    <s v="M"/>
    <x v="0"/>
    <x v="1"/>
    <s v="Rent"/>
    <n v="0"/>
    <n v="1"/>
    <n v="13788.619199999999"/>
    <n v="10065.692015999999"/>
    <n v="9065.6920159999991"/>
  </r>
  <r>
    <s v="TXN00006530"/>
    <s v="A00009616"/>
    <s v="PLC00007420"/>
    <d v="2014-09-23T00:00:00"/>
    <d v="2021-02-08T00:00:00"/>
    <d v="2021-02-09T00:00:00"/>
    <n v="1"/>
    <n v="109.43"/>
    <n v="1313.16"/>
    <n v="5000"/>
    <s v="A"/>
    <n v="5000"/>
    <n v="6.67"/>
    <s v="Minor Loss"/>
    <n v="80"/>
    <n v="28"/>
    <n v="1"/>
    <n v="3"/>
    <s v="M"/>
    <x v="1"/>
    <x v="4"/>
    <s v="Rent"/>
    <n v="0"/>
    <n v="1"/>
    <n v="8758.7772000000004"/>
    <n v="6393.9073560000006"/>
    <n v="1393.9073560000006"/>
  </r>
  <r>
    <s v="TXN00006532"/>
    <s v="A00003199"/>
    <s v="PLC00004728"/>
    <d v="2012-10-31T00:00:00"/>
    <d v="2021-01-29T00:00:00"/>
    <d v="2021-02-03T00:00:00"/>
    <n v="5"/>
    <n v="108.38"/>
    <n v="1300.56"/>
    <n v="4000"/>
    <s v="A"/>
    <n v="4000"/>
    <n v="4.5"/>
    <s v="Minor Loss"/>
    <n v="54"/>
    <n v="31"/>
    <n v="0"/>
    <n v="2"/>
    <s v="L"/>
    <x v="0"/>
    <x v="0"/>
    <s v="Own"/>
    <n v="1"/>
    <n v="1"/>
    <n v="5852.5199999999995"/>
    <n v="4272.3395999999993"/>
    <n v="272.33959999999934"/>
  </r>
  <r>
    <s v="TXN00006542"/>
    <s v="A00008351"/>
    <s v="PLC00001366"/>
    <d v="2013-02-08T00:00:00"/>
    <d v="2021-01-28T00:00:00"/>
    <d v="2021-02-02T00:00:00"/>
    <n v="5"/>
    <n v="100.74"/>
    <n v="1208.8800000000001"/>
    <n v="6000"/>
    <s v="A"/>
    <n v="6000"/>
    <n v="9.58"/>
    <s v="Total Loss"/>
    <n v="115"/>
    <n v="26"/>
    <n v="1"/>
    <n v="6"/>
    <s v="L"/>
    <x v="0"/>
    <x v="0"/>
    <s v="Own"/>
    <n v="1"/>
    <n v="1"/>
    <n v="11581.070400000001"/>
    <n v="8454.1813920000004"/>
    <n v="2454.1813920000004"/>
  </r>
  <r>
    <s v="TXN00006548"/>
    <s v="A00001314"/>
    <s v="PLC00002725"/>
    <d v="2011-01-25T00:00:00"/>
    <d v="2021-02-13T00:00:00"/>
    <d v="2021-02-13T00:00:00"/>
    <n v="0"/>
    <n v="92.15"/>
    <n v="1105.8"/>
    <n v="3000"/>
    <s v="A"/>
    <n v="3000"/>
    <n v="1.58"/>
    <s v="Total Loss"/>
    <n v="19"/>
    <n v="32"/>
    <n v="1"/>
    <n v="6"/>
    <s v="L"/>
    <x v="1"/>
    <x v="1"/>
    <s v="Mortgage"/>
    <n v="1"/>
    <n v="1"/>
    <n v="1747.164"/>
    <n v="1275.4297199999999"/>
    <n v="-1724.5702800000001"/>
  </r>
  <r>
    <s v="TXN00006562"/>
    <s v="A00005039"/>
    <s v="PLC00008038"/>
    <d v="2010-11-29T00:00:00"/>
    <d v="2021-01-30T00:00:00"/>
    <d v="2021-02-04T00:00:00"/>
    <n v="5"/>
    <n v="82.86"/>
    <n v="994.32"/>
    <n v="9000"/>
    <s v="A"/>
    <n v="9000"/>
    <n v="3.58"/>
    <s v="Major Loss"/>
    <n v="43"/>
    <n v="64"/>
    <n v="1"/>
    <n v="7"/>
    <s v="M"/>
    <x v="0"/>
    <x v="1"/>
    <s v="Rent"/>
    <n v="1"/>
    <n v="1"/>
    <n v="3559.6656000000003"/>
    <n v="2598.5558880000003"/>
    <n v="-6401.4441119999992"/>
  </r>
  <r>
    <s v="TXN00006569"/>
    <s v="A00003711"/>
    <s v="PLC00000600"/>
    <d v="2017-08-24T00:00:00"/>
    <d v="2021-02-07T00:00:00"/>
    <d v="2021-02-10T00:00:00"/>
    <n v="3"/>
    <n v="88.26"/>
    <n v="1059.1199999999999"/>
    <n v="10000"/>
    <s v="A"/>
    <n v="10000"/>
    <n v="9.67"/>
    <s v="Major Loss"/>
    <n v="116"/>
    <n v="27"/>
    <n v="0"/>
    <n v="6"/>
    <s v="L"/>
    <x v="1"/>
    <x v="5"/>
    <s v="Mortgage"/>
    <n v="0"/>
    <n v="0"/>
    <n v="10241.690399999999"/>
    <n v="7476.4339919999993"/>
    <n v="-2523.5660080000007"/>
  </r>
  <r>
    <s v="TXN00006576"/>
    <s v="A00003489"/>
    <s v="PLC00003693"/>
    <d v="2015-03-12T00:00:00"/>
    <d v="2021-02-02T00:00:00"/>
    <d v="2021-02-07T00:00:00"/>
    <n v="5"/>
    <n v="101.08"/>
    <n v="1212.96"/>
    <n v="2000"/>
    <s v="A"/>
    <n v="2000"/>
    <n v="3.92"/>
    <s v="Major Loss"/>
    <n v="47"/>
    <n v="41"/>
    <n v="1"/>
    <n v="4"/>
    <s v="M"/>
    <x v="2"/>
    <x v="1"/>
    <s v="Mortgage"/>
    <n v="0"/>
    <n v="1"/>
    <n v="4754.8032000000003"/>
    <n v="3471.0063359999999"/>
    <n v="1471.0063359999999"/>
  </r>
  <r>
    <s v="TXN00006579"/>
    <s v="A00004462"/>
    <s v="PLC00002371"/>
    <d v="2019-12-12T00:00:00"/>
    <d v="2021-02-01T00:00:00"/>
    <d v="2021-02-06T00:00:00"/>
    <n v="5"/>
    <n v="109.23"/>
    <n v="1310.76"/>
    <n v="4000"/>
    <s v="A"/>
    <n v="4000"/>
    <n v="2.92"/>
    <s v="Major Loss"/>
    <n v="35"/>
    <n v="58"/>
    <n v="0"/>
    <n v="6"/>
    <s v="M"/>
    <x v="0"/>
    <x v="0"/>
    <s v="Rent"/>
    <n v="0"/>
    <n v="1"/>
    <n v="3827.4191999999998"/>
    <n v="2794.0160159999996"/>
    <n v="-1205.9839840000004"/>
  </r>
  <r>
    <s v="TXN00006581"/>
    <s v="A00001565"/>
    <s v="PLC00001384"/>
    <d v="2012-12-26T00:00:00"/>
    <d v="2021-02-10T00:00:00"/>
    <d v="2021-02-11T00:00:00"/>
    <n v="1"/>
    <n v="93.91"/>
    <n v="1126.92"/>
    <n v="9000"/>
    <s v="A"/>
    <n v="9000"/>
    <n v="3.33"/>
    <s v="Total Loss"/>
    <n v="40"/>
    <n v="34"/>
    <n v="1"/>
    <n v="4"/>
    <s v="M"/>
    <x v="0"/>
    <x v="0"/>
    <s v="Own"/>
    <n v="0"/>
    <n v="1"/>
    <n v="3752.6436000000003"/>
    <n v="2739.4298280000003"/>
    <n v="-6260.5701719999997"/>
  </r>
  <r>
    <s v="TXN00006585"/>
    <s v="A00005635"/>
    <s v="PLC00004831"/>
    <d v="2016-06-25T00:00:00"/>
    <d v="2021-01-28T00:00:00"/>
    <d v="2021-02-02T00:00:00"/>
    <n v="5"/>
    <n v="133.12"/>
    <n v="1597.44"/>
    <n v="8000"/>
    <s v="A"/>
    <n v="8000"/>
    <n v="5.17"/>
    <s v="Minor Loss"/>
    <n v="62"/>
    <n v="43"/>
    <n v="1"/>
    <n v="7"/>
    <s v="M"/>
    <x v="0"/>
    <x v="1"/>
    <s v="Own"/>
    <n v="1"/>
    <n v="1"/>
    <n v="8258.7648000000008"/>
    <n v="6028.8983040000003"/>
    <n v="-1971.1016959999997"/>
  </r>
  <r>
    <s v="TXN00006589"/>
    <s v="A00001704"/>
    <s v="PLC00004067"/>
    <d v="2012-04-09T00:00:00"/>
    <d v="2021-01-27T00:00:00"/>
    <d v="2021-02-01T00:00:00"/>
    <n v="5"/>
    <n v="87.6"/>
    <n v="1051.2"/>
    <n v="1000"/>
    <s v="A"/>
    <n v="1000"/>
    <n v="8.92"/>
    <s v="Minor Loss"/>
    <n v="107"/>
    <n v="64"/>
    <n v="1"/>
    <n v="3"/>
    <s v="M"/>
    <x v="0"/>
    <x v="0"/>
    <s v="Own"/>
    <n v="0"/>
    <n v="1"/>
    <n v="9376.7039999999997"/>
    <n v="6844.9939199999999"/>
    <n v="5844.9939199999999"/>
  </r>
  <r>
    <s v="TXN00006595"/>
    <s v="A00002127"/>
    <s v="PLC00003688"/>
    <d v="2011-07-29T00:00:00"/>
    <d v="2021-02-14T00:00:00"/>
    <d v="2021-02-14T00:00:00"/>
    <n v="0"/>
    <n v="96.52"/>
    <n v="1158.24"/>
    <n v="1000"/>
    <s v="A"/>
    <n v="1000"/>
    <n v="9.25"/>
    <s v="Minor Loss"/>
    <n v="111"/>
    <n v="38"/>
    <n v="1"/>
    <n v="6"/>
    <s v="H"/>
    <x v="2"/>
    <x v="1"/>
    <s v="Mortgage"/>
    <n v="0"/>
    <n v="1"/>
    <n v="10713.72"/>
    <n v="7821.0155999999997"/>
    <n v="6821.0155999999997"/>
  </r>
  <r>
    <s v="TXN00006602"/>
    <s v="A00002428"/>
    <s v="PLC00006841"/>
    <d v="2015-12-23T00:00:00"/>
    <d v="2021-02-10T00:00:00"/>
    <d v="2021-02-12T00:00:00"/>
    <n v="2"/>
    <n v="107.56"/>
    <n v="1290.72"/>
    <n v="2000"/>
    <s v="D"/>
    <n v="0"/>
    <n v="5.83"/>
    <s v="Minor Loss"/>
    <n v="70"/>
    <n v="58"/>
    <n v="1"/>
    <n v="3"/>
    <s v="M"/>
    <x v="0"/>
    <x v="0"/>
    <s v="Mortgage"/>
    <n v="1"/>
    <n v="1"/>
    <n v="7524.8976000000002"/>
    <n v="5493.1752480000005"/>
    <n v="5493.1752480000005"/>
  </r>
  <r>
    <s v="TXN00006614"/>
    <s v="A00009500"/>
    <s v="PLC00008140"/>
    <d v="2010-11-28T00:00:00"/>
    <d v="2021-02-06T00:00:00"/>
    <d v="2021-02-09T00:00:00"/>
    <n v="3"/>
    <n v="106.78"/>
    <n v="1281.3599999999999"/>
    <n v="5000"/>
    <s v="A"/>
    <n v="5000"/>
    <n v="1.83"/>
    <s v="Minor Loss"/>
    <n v="22"/>
    <n v="47"/>
    <n v="1"/>
    <n v="2"/>
    <s v="L"/>
    <x v="0"/>
    <x v="0"/>
    <s v="Rent"/>
    <n v="1"/>
    <n v="0"/>
    <n v="2344.8887999999997"/>
    <n v="1711.7688239999998"/>
    <n v="-3288.2311760000002"/>
  </r>
  <r>
    <s v="TXN00006619"/>
    <s v="A00002557"/>
    <s v="PLC00004803"/>
    <d v="2014-02-26T00:00:00"/>
    <d v="2021-02-14T00:00:00"/>
    <d v="2021-02-14T00:00:00"/>
    <n v="0"/>
    <n v="73.42"/>
    <n v="881.04"/>
    <n v="6000"/>
    <s v="A"/>
    <n v="6000"/>
    <n v="3.58"/>
    <s v="Minor Loss"/>
    <n v="43"/>
    <n v="26"/>
    <n v="1"/>
    <n v="3"/>
    <s v="M"/>
    <x v="2"/>
    <x v="1"/>
    <s v="Mortgage"/>
    <n v="1"/>
    <n v="0"/>
    <n v="3154.1232"/>
    <n v="2302.5099359999999"/>
    <n v="-3697.4900640000001"/>
  </r>
  <r>
    <s v="TXN00006632"/>
    <s v="A00008541"/>
    <s v="PLC00006032"/>
    <d v="2016-07-12T00:00:00"/>
    <d v="2021-02-04T00:00:00"/>
    <d v="2021-02-09T00:00:00"/>
    <n v="5"/>
    <n v="136.94"/>
    <n v="1643.28"/>
    <n v="10000"/>
    <s v="A"/>
    <n v="10000"/>
    <n v="6.67"/>
    <s v="Total Loss"/>
    <n v="80"/>
    <n v="49"/>
    <n v="0"/>
    <n v="2"/>
    <s v="L"/>
    <x v="0"/>
    <x v="3"/>
    <s v="Rent"/>
    <n v="1"/>
    <n v="1"/>
    <n v="10960.677599999999"/>
    <n v="8001.2946479999991"/>
    <n v="-1998.7053520000009"/>
  </r>
  <r>
    <s v="TXN00006633"/>
    <s v="A00000661"/>
    <s v="PLC00002728"/>
    <d v="2019-02-20T00:00:00"/>
    <d v="2021-01-28T00:00:00"/>
    <d v="2021-02-02T00:00:00"/>
    <n v="5"/>
    <n v="139.72999999999999"/>
    <n v="1676.76"/>
    <n v="4000"/>
    <s v="A"/>
    <n v="4000"/>
    <n v="6.33"/>
    <s v="Total Loss"/>
    <n v="76"/>
    <n v="45"/>
    <n v="1"/>
    <n v="4"/>
    <s v="L"/>
    <x v="2"/>
    <x v="1"/>
    <s v="Rent"/>
    <n v="0"/>
    <n v="1"/>
    <n v="10613.890799999999"/>
    <n v="7748.1402839999992"/>
    <n v="3748.1402839999992"/>
  </r>
  <r>
    <s v="TXN00006640"/>
    <s v="A00001860"/>
    <s v="PLC00002565"/>
    <d v="2019-04-14T00:00:00"/>
    <d v="2021-01-29T00:00:00"/>
    <d v="2021-02-03T00:00:00"/>
    <n v="5"/>
    <n v="73.25"/>
    <n v="879"/>
    <n v="1000"/>
    <s v="A"/>
    <n v="1000"/>
    <n v="1.67"/>
    <s v="Minor Loss"/>
    <n v="20"/>
    <n v="35"/>
    <n v="1"/>
    <n v="3"/>
    <s v="L"/>
    <x v="0"/>
    <x v="0"/>
    <s v="Mortgage"/>
    <n v="1"/>
    <n v="1"/>
    <n v="1467.9299999999998"/>
    <n v="1071.5889"/>
    <n v="71.588899999999967"/>
  </r>
  <r>
    <s v="TXN00006646"/>
    <s v="A00004602"/>
    <s v="PLC00002430"/>
    <d v="2016-06-29T00:00:00"/>
    <d v="2021-02-03T00:00:00"/>
    <d v="2021-02-08T00:00:00"/>
    <n v="5"/>
    <n v="133.87"/>
    <n v="1606.44"/>
    <n v="2000"/>
    <s v="A"/>
    <n v="2000"/>
    <n v="9.58"/>
    <s v="Total Loss"/>
    <n v="115"/>
    <n v="30"/>
    <n v="0"/>
    <n v="4"/>
    <s v="M"/>
    <x v="0"/>
    <x v="1"/>
    <s v="Mortgage"/>
    <n v="1"/>
    <n v="1"/>
    <n v="15389.6952"/>
    <n v="11234.477496"/>
    <n v="9234.4774959999995"/>
  </r>
  <r>
    <s v="TXN00006657"/>
    <s v="A00007971"/>
    <s v="PLC00000980"/>
    <d v="2014-11-01T00:00:00"/>
    <d v="2021-01-29T00:00:00"/>
    <d v="2021-02-03T00:00:00"/>
    <n v="5"/>
    <n v="119.06"/>
    <n v="1428.72"/>
    <n v="10000"/>
    <s v="A"/>
    <n v="10000"/>
    <n v="7.75"/>
    <s v="Minor Loss"/>
    <n v="93"/>
    <n v="61"/>
    <n v="1"/>
    <n v="5"/>
    <s v="M"/>
    <x v="0"/>
    <x v="1"/>
    <s v="Rent"/>
    <n v="0"/>
    <n v="1"/>
    <n v="11072.58"/>
    <n v="8082.9834000000001"/>
    <n v="-1917.0165999999999"/>
  </r>
  <r>
    <s v="TXN00006658"/>
    <s v="A00004262"/>
    <s v="PLC00001397"/>
    <d v="2014-05-03T00:00:00"/>
    <d v="2021-02-04T00:00:00"/>
    <d v="2021-02-09T00:00:00"/>
    <n v="5"/>
    <n v="91.52"/>
    <n v="1098.24"/>
    <n v="4000"/>
    <s v="A"/>
    <n v="4000"/>
    <n v="4.92"/>
    <s v="Major Loss"/>
    <n v="59"/>
    <n v="29"/>
    <n v="0"/>
    <n v="5"/>
    <s v="M"/>
    <x v="0"/>
    <x v="0"/>
    <s v="Mortgage"/>
    <n v="1"/>
    <n v="1"/>
    <n v="5403.3407999999999"/>
    <n v="3944.4387839999999"/>
    <n v="-55.561216000000059"/>
  </r>
  <r>
    <s v="TXN00006670"/>
    <s v="A00001731"/>
    <s v="PLC00000097"/>
    <d v="2018-06-23T00:00:00"/>
    <d v="2021-01-30T00:00:00"/>
    <d v="2021-02-04T00:00:00"/>
    <n v="5"/>
    <n v="78.22"/>
    <n v="938.64"/>
    <n v="7000"/>
    <s v="A"/>
    <n v="7000"/>
    <n v="1.08"/>
    <s v="Major Loss"/>
    <n v="13"/>
    <n v="41"/>
    <n v="1"/>
    <n v="6"/>
    <s v="H"/>
    <x v="0"/>
    <x v="1"/>
    <s v="Mortgage"/>
    <n v="1"/>
    <n v="1"/>
    <n v="1013.7312000000001"/>
    <n v="740.023776"/>
    <n v="-6259.976224"/>
  </r>
  <r>
    <s v="TXN00006685"/>
    <s v="A00003038"/>
    <s v="PLC00006397"/>
    <d v="2019-02-22T00:00:00"/>
    <d v="2021-02-02T00:00:00"/>
    <d v="2021-02-07T00:00:00"/>
    <n v="5"/>
    <n v="87.6"/>
    <n v="1051.2"/>
    <n v="1000"/>
    <s v="A"/>
    <n v="1000"/>
    <n v="4.42"/>
    <s v="Total Loss"/>
    <n v="53"/>
    <n v="53"/>
    <n v="1"/>
    <n v="7"/>
    <s v="M"/>
    <x v="0"/>
    <x v="4"/>
    <s v="Mortgage"/>
    <n v="1"/>
    <n v="1"/>
    <n v="4646.3040000000001"/>
    <n v="3391.8019199999999"/>
    <n v="2391.8019199999999"/>
  </r>
  <r>
    <s v="TXN00006692"/>
    <s v="A00000714"/>
    <s v="PLC00001341"/>
    <d v="2013-07-09T00:00:00"/>
    <d v="2021-02-06T00:00:00"/>
    <d v="2021-02-11T00:00:00"/>
    <n v="5"/>
    <n v="95.43"/>
    <n v="1145.1600000000001"/>
    <n v="7000"/>
    <s v="A"/>
    <n v="7000"/>
    <n v="3.92"/>
    <s v="Minor Loss"/>
    <n v="47"/>
    <n v="38"/>
    <n v="0"/>
    <n v="2"/>
    <s v="M"/>
    <x v="1"/>
    <x v="1"/>
    <s v="Own"/>
    <n v="1"/>
    <n v="1"/>
    <n v="4489.0272000000004"/>
    <n v="3276.9898560000001"/>
    <n v="-3723.0101439999999"/>
  </r>
  <r>
    <s v="TXN00006700"/>
    <s v="A00000527"/>
    <s v="PLC00009397"/>
    <d v="2016-08-27T00:00:00"/>
    <d v="2021-02-16T00:00:00"/>
    <d v="2021-02-17T00:00:00"/>
    <n v="1"/>
    <n v="78.5"/>
    <n v="942"/>
    <n v="1000"/>
    <s v="A"/>
    <n v="1000"/>
    <n v="2.25"/>
    <s v="Total Loss"/>
    <n v="27"/>
    <n v="38"/>
    <n v="0"/>
    <n v="3"/>
    <s v="L"/>
    <x v="1"/>
    <x v="1"/>
    <s v="Own"/>
    <n v="0"/>
    <n v="0"/>
    <n v="2119.5"/>
    <n v="1547.2349999999999"/>
    <n v="547.2349999999999"/>
  </r>
  <r>
    <s v="TXN00006705"/>
    <s v="A00003623"/>
    <s v="PLC00004726"/>
    <d v="2011-10-08T00:00:00"/>
    <d v="2021-02-07T00:00:00"/>
    <d v="2021-02-12T00:00:00"/>
    <n v="5"/>
    <n v="135.79"/>
    <n v="1629.48"/>
    <n v="5000"/>
    <s v="A"/>
    <n v="5000"/>
    <n v="5.75"/>
    <s v="Total Loss"/>
    <n v="69"/>
    <n v="51"/>
    <n v="1"/>
    <n v="3"/>
    <s v="M"/>
    <x v="0"/>
    <x v="1"/>
    <s v="Own"/>
    <n v="0"/>
    <n v="1"/>
    <n v="9369.51"/>
    <n v="6839.7422999999999"/>
    <n v="1839.7422999999999"/>
  </r>
  <r>
    <s v="TXN00006707"/>
    <s v="A00001599"/>
    <s v="PLC00007019"/>
    <d v="2019-08-26T00:00:00"/>
    <d v="2021-02-08T00:00:00"/>
    <d v="2021-02-13T00:00:00"/>
    <n v="5"/>
    <n v="119.96"/>
    <n v="1439.52"/>
    <n v="7000"/>
    <s v="A"/>
    <n v="7000"/>
    <n v="5"/>
    <s v="Total Loss"/>
    <n v="60"/>
    <n v="58"/>
    <n v="1"/>
    <n v="4"/>
    <s v="M"/>
    <x v="0"/>
    <x v="3"/>
    <s v="Rent"/>
    <n v="1"/>
    <n v="1"/>
    <n v="7197.6"/>
    <n v="5254.2480000000005"/>
    <n v="-1745.7519999999995"/>
  </r>
  <r>
    <s v="TXN00006708"/>
    <s v="A00000772"/>
    <s v="PLC00000647"/>
    <d v="2016-01-28T00:00:00"/>
    <d v="2021-02-03T00:00:00"/>
    <d v="2021-02-08T00:00:00"/>
    <n v="5"/>
    <n v="88.79"/>
    <n v="1065.48"/>
    <n v="2000"/>
    <s v="A"/>
    <n v="2000"/>
    <n v="8.33"/>
    <s v="Total Loss"/>
    <n v="100"/>
    <n v="43"/>
    <n v="1"/>
    <n v="3"/>
    <s v="M"/>
    <x v="1"/>
    <x v="6"/>
    <s v="Rent"/>
    <n v="1"/>
    <n v="1"/>
    <n v="8875.4484000000011"/>
    <n v="6479.0773320000008"/>
    <n v="4479.0773320000008"/>
  </r>
  <r>
    <s v="TXN00006715"/>
    <s v="A00005181"/>
    <s v="PLC00002769"/>
    <d v="2014-11-06T00:00:00"/>
    <d v="2021-02-08T00:00:00"/>
    <d v="2021-02-13T00:00:00"/>
    <n v="5"/>
    <n v="82.72"/>
    <n v="992.64"/>
    <n v="3000"/>
    <s v="A"/>
    <n v="3000"/>
    <n v="7.5"/>
    <s v="Major Loss"/>
    <n v="90"/>
    <n v="54"/>
    <n v="0"/>
    <n v="7"/>
    <s v="M"/>
    <x v="0"/>
    <x v="1"/>
    <s v="Rent"/>
    <n v="1"/>
    <n v="1"/>
    <n v="7444.8"/>
    <n v="5434.7039999999997"/>
    <n v="2434.7039999999997"/>
  </r>
  <r>
    <s v="TXN00006717"/>
    <s v="A00000319"/>
    <s v="PLC00008640"/>
    <d v="2019-12-31T00:00:00"/>
    <d v="2021-02-19T00:00:00"/>
    <d v="2021-02-19T00:00:00"/>
    <n v="0"/>
    <n v="100.58"/>
    <n v="1206.96"/>
    <n v="3000"/>
    <s v="A"/>
    <n v="3000"/>
    <n v="6.58"/>
    <s v="Minor Loss"/>
    <n v="79"/>
    <n v="57"/>
    <n v="0"/>
    <n v="2"/>
    <s v="M"/>
    <x v="1"/>
    <x v="2"/>
    <s v="Rent"/>
    <n v="0"/>
    <n v="0"/>
    <n v="7941.7968000000001"/>
    <n v="5797.5116639999997"/>
    <n v="2797.5116639999997"/>
  </r>
  <r>
    <s v="TXN00006718"/>
    <s v="A00004934"/>
    <s v="PLC00008458"/>
    <d v="2017-07-14T00:00:00"/>
    <d v="2021-02-11T00:00:00"/>
    <d v="2021-02-14T00:00:00"/>
    <n v="3"/>
    <n v="121.64"/>
    <n v="1459.68"/>
    <n v="3000"/>
    <s v="A"/>
    <n v="3000"/>
    <n v="2.92"/>
    <s v="Minor Loss"/>
    <n v="35"/>
    <n v="50"/>
    <n v="0"/>
    <n v="7"/>
    <s v="L"/>
    <x v="2"/>
    <x v="1"/>
    <s v="Own"/>
    <n v="0"/>
    <n v="1"/>
    <n v="4262.2655999999997"/>
    <n v="3111.4538879999996"/>
    <n v="111.45388799999955"/>
  </r>
  <r>
    <s v="TXN00006719"/>
    <s v="A00005668"/>
    <s v="PLC00001005"/>
    <d v="2019-10-20T00:00:00"/>
    <d v="2021-02-17T00:00:00"/>
    <d v="2021-02-18T00:00:00"/>
    <n v="1"/>
    <n v="106.34"/>
    <n v="1276.08"/>
    <n v="1000"/>
    <s v="A"/>
    <n v="1000"/>
    <n v="9.83"/>
    <s v="Total Loss"/>
    <n v="118"/>
    <n v="29"/>
    <n v="1"/>
    <n v="3"/>
    <s v="L"/>
    <x v="0"/>
    <x v="3"/>
    <s v="Mortgage"/>
    <n v="0"/>
    <n v="1"/>
    <n v="12543.866399999999"/>
    <n v="9157.0224719999987"/>
    <n v="8157.0224719999987"/>
  </r>
  <r>
    <s v="TXN00006720"/>
    <s v="A00004616"/>
    <s v="PLC00005183"/>
    <d v="2014-02-16T00:00:00"/>
    <d v="2021-02-18T00:00:00"/>
    <d v="2021-02-18T00:00:00"/>
    <n v="0"/>
    <n v="124.76"/>
    <n v="1497.12"/>
    <n v="6000"/>
    <s v="A"/>
    <n v="6000"/>
    <n v="7"/>
    <s v="Minor Loss"/>
    <n v="84"/>
    <n v="47"/>
    <n v="1"/>
    <n v="6"/>
    <s v="L"/>
    <x v="2"/>
    <x v="1"/>
    <s v="Rent"/>
    <n v="1"/>
    <n v="0"/>
    <n v="10479.84"/>
    <n v="7650.2831999999999"/>
    <n v="1650.2831999999999"/>
  </r>
  <r>
    <s v="TXN00006726"/>
    <s v="A00002139"/>
    <s v="PLC00001385"/>
    <d v="2011-05-20T00:00:00"/>
    <d v="2021-02-20T00:00:00"/>
    <d v="2021-02-20T00:00:00"/>
    <n v="0"/>
    <n v="100.63"/>
    <n v="1207.56"/>
    <n v="5000"/>
    <s v="A"/>
    <n v="5000"/>
    <n v="1.42"/>
    <s v="Total Loss"/>
    <n v="17"/>
    <n v="64"/>
    <n v="1"/>
    <n v="7"/>
    <s v="L"/>
    <x v="1"/>
    <x v="4"/>
    <s v="Rent"/>
    <n v="1"/>
    <n v="1"/>
    <n v="1714.7351999999998"/>
    <n v="1251.7566959999999"/>
    <n v="-3748.2433040000001"/>
  </r>
  <r>
    <s v="TXN00006731"/>
    <s v="A00001444"/>
    <s v="PLC00001611"/>
    <d v="2012-04-11T00:00:00"/>
    <d v="2021-02-08T00:00:00"/>
    <d v="2021-02-13T00:00:00"/>
    <n v="5"/>
    <n v="114.78"/>
    <n v="1377.36"/>
    <n v="3000"/>
    <s v="A"/>
    <n v="3000"/>
    <n v="1.67"/>
    <s v="Minor Loss"/>
    <n v="20"/>
    <n v="38"/>
    <n v="0"/>
    <n v="6"/>
    <s v="L"/>
    <x v="1"/>
    <x v="1"/>
    <s v="Rent"/>
    <n v="0"/>
    <n v="0"/>
    <n v="2300.1911999999998"/>
    <n v="1679.1395759999998"/>
    <n v="-1320.8604240000002"/>
  </r>
  <r>
    <s v="TXN00006742"/>
    <s v="A00007612"/>
    <s v="PLC00003487"/>
    <d v="2011-08-08T00:00:00"/>
    <d v="2021-02-03T00:00:00"/>
    <d v="2021-02-08T00:00:00"/>
    <n v="5"/>
    <n v="109.41"/>
    <n v="1312.92"/>
    <n v="4000"/>
    <s v="A"/>
    <n v="4000"/>
    <n v="8.92"/>
    <s v="Minor Loss"/>
    <n v="107"/>
    <n v="60"/>
    <n v="0"/>
    <n v="5"/>
    <s v="M"/>
    <x v="2"/>
    <x v="3"/>
    <s v="Mortgage"/>
    <n v="1"/>
    <n v="1"/>
    <n v="11711.2464"/>
    <n v="8549.2098719999995"/>
    <n v="4549.2098719999995"/>
  </r>
  <r>
    <s v="TXN00006753"/>
    <s v="A00004002"/>
    <s v="PLC00009915"/>
    <d v="2013-07-21T00:00:00"/>
    <d v="2021-02-03T00:00:00"/>
    <d v="2021-02-08T00:00:00"/>
    <n v="5"/>
    <n v="93.17"/>
    <n v="1118.04"/>
    <n v="9000"/>
    <s v="A"/>
    <n v="9000"/>
    <n v="0.57999999999999996"/>
    <s v="Total Loss"/>
    <n v="7"/>
    <n v="30"/>
    <n v="1"/>
    <n v="7"/>
    <s v="M"/>
    <x v="1"/>
    <x v="1"/>
    <s v="Mortgage"/>
    <n v="1"/>
    <n v="1"/>
    <n v="648.46319999999992"/>
    <n v="473.37813599999993"/>
    <n v="-8526.6218640000006"/>
  </r>
  <r>
    <s v="TXN00006760"/>
    <s v="A00000233"/>
    <s v="PLC00001084"/>
    <d v="2010-07-01T00:00:00"/>
    <d v="2021-02-13T00:00:00"/>
    <d v="2021-02-16T00:00:00"/>
    <n v="3"/>
    <n v="77.83"/>
    <n v="933.96"/>
    <n v="1000"/>
    <s v="A"/>
    <n v="1000"/>
    <n v="4.17"/>
    <s v="Total Loss"/>
    <n v="50"/>
    <n v="51"/>
    <n v="1"/>
    <n v="2"/>
    <s v="M"/>
    <x v="0"/>
    <x v="0"/>
    <s v="Mortgage"/>
    <n v="1"/>
    <n v="1"/>
    <n v="3894.6132000000002"/>
    <n v="2843.0676360000002"/>
    <n v="1843.0676360000002"/>
  </r>
  <r>
    <s v="TXN00006768"/>
    <s v="A00004087"/>
    <s v="PLC00001770"/>
    <d v="2015-07-16T00:00:00"/>
    <d v="2021-02-09T00:00:00"/>
    <d v="2021-02-14T00:00:00"/>
    <n v="5"/>
    <n v="133.63999999999999"/>
    <n v="1603.68"/>
    <n v="9000"/>
    <s v="A"/>
    <n v="9000"/>
    <n v="8.17"/>
    <s v="Total Loss"/>
    <n v="98"/>
    <n v="62"/>
    <n v="1"/>
    <n v="4"/>
    <s v="L"/>
    <x v="0"/>
    <x v="1"/>
    <s v="Rent"/>
    <n v="0"/>
    <n v="1"/>
    <n v="13102.0656"/>
    <n v="9564.5078880000001"/>
    <n v="564.50788800000009"/>
  </r>
  <r>
    <s v="TXN00006773"/>
    <s v="A00003806"/>
    <s v="PLC00007638"/>
    <d v="2016-08-19T00:00:00"/>
    <d v="2021-02-13T00:00:00"/>
    <d v="2021-02-16T00:00:00"/>
    <n v="3"/>
    <n v="110.22"/>
    <n v="1322.64"/>
    <n v="8000"/>
    <s v="A"/>
    <n v="8000"/>
    <n v="8.33"/>
    <s v="Minor Loss"/>
    <n v="100"/>
    <n v="56"/>
    <n v="1"/>
    <n v="5"/>
    <s v="L"/>
    <x v="0"/>
    <x v="3"/>
    <s v="Mortgage"/>
    <n v="1"/>
    <n v="1"/>
    <n v="11017.591200000001"/>
    <n v="8042.8415760000007"/>
    <n v="42.841576000000714"/>
  </r>
  <r>
    <s v="TXN00006780"/>
    <s v="A00008297"/>
    <s v="PLC00006025"/>
    <d v="2013-06-01T00:00:00"/>
    <d v="2021-02-04T00:00:00"/>
    <d v="2021-02-09T00:00:00"/>
    <n v="5"/>
    <n v="121.05"/>
    <n v="1452.6"/>
    <n v="6000"/>
    <s v="A"/>
    <n v="6000"/>
    <n v="6.58"/>
    <s v="Total Loss"/>
    <n v="79"/>
    <n v="28"/>
    <n v="0"/>
    <n v="4"/>
    <s v="M"/>
    <x v="1"/>
    <x v="0"/>
    <s v="Rent"/>
    <n v="1"/>
    <n v="1"/>
    <n v="9558.1080000000002"/>
    <n v="6977.4188400000003"/>
    <n v="977.41884000000027"/>
  </r>
  <r>
    <s v="TXN00006781"/>
    <s v="A00004303"/>
    <s v="PLC00006577"/>
    <d v="2013-06-24T00:00:00"/>
    <d v="2021-02-15T00:00:00"/>
    <d v="2021-02-18T00:00:00"/>
    <n v="3"/>
    <n v="118.57"/>
    <n v="1422.84"/>
    <n v="9000"/>
    <s v="A"/>
    <n v="9000"/>
    <n v="5.83"/>
    <s v="Major Loss"/>
    <n v="70"/>
    <n v="38"/>
    <n v="0"/>
    <n v="5"/>
    <s v="L"/>
    <x v="0"/>
    <x v="0"/>
    <s v="Rent"/>
    <n v="0"/>
    <n v="1"/>
    <n v="8295.1571999999996"/>
    <n v="6055.4647559999994"/>
    <n v="-2944.5352440000006"/>
  </r>
  <r>
    <s v="TXN00006787"/>
    <s v="A00009529"/>
    <s v="PLC00004460"/>
    <d v="2013-12-12T00:00:00"/>
    <d v="2021-02-16T00:00:00"/>
    <d v="2021-02-18T00:00:00"/>
    <n v="2"/>
    <n v="136.87"/>
    <n v="1642.44"/>
    <n v="10000"/>
    <s v="A"/>
    <n v="10000"/>
    <n v="1.17"/>
    <s v="Minor Loss"/>
    <n v="14"/>
    <n v="25"/>
    <n v="1"/>
    <n v="4"/>
    <s v="L"/>
    <x v="0"/>
    <x v="5"/>
    <s v="Own"/>
    <n v="1"/>
    <n v="1"/>
    <n v="1921.6548"/>
    <n v="1402.808004"/>
    <n v="-8597.1919959999996"/>
  </r>
  <r>
    <s v="TXN00006791"/>
    <s v="A00004006"/>
    <s v="PLC00007893"/>
    <d v="2018-09-19T00:00:00"/>
    <d v="2021-02-20T00:00:00"/>
    <d v="2021-02-20T00:00:00"/>
    <n v="0"/>
    <n v="130.79"/>
    <n v="1569.48"/>
    <n v="9000"/>
    <s v="A"/>
    <n v="9000"/>
    <n v="3.58"/>
    <s v="Minor Loss"/>
    <n v="43"/>
    <n v="36"/>
    <n v="1"/>
    <n v="2"/>
    <s v="L"/>
    <x v="0"/>
    <x v="3"/>
    <s v="Rent"/>
    <n v="0"/>
    <n v="1"/>
    <n v="5618.7384000000002"/>
    <n v="4101.679032"/>
    <n v="-4898.320968"/>
  </r>
  <r>
    <s v="TXN00006799"/>
    <s v="A00002151"/>
    <s v="PLC00000242"/>
    <d v="2017-08-14T00:00:00"/>
    <d v="2021-02-22T00:00:00"/>
    <d v="2021-02-22T00:00:00"/>
    <n v="0"/>
    <n v="109.2"/>
    <n v="1310.4000000000001"/>
    <n v="3000"/>
    <s v="A"/>
    <n v="3000"/>
    <n v="8.08"/>
    <s v="Total Loss"/>
    <n v="97"/>
    <n v="35"/>
    <n v="1"/>
    <n v="5"/>
    <s v="L"/>
    <x v="0"/>
    <x v="0"/>
    <s v="Rent"/>
    <n v="0"/>
    <n v="0"/>
    <n v="10588.032000000001"/>
    <n v="7729.2633600000008"/>
    <n v="4729.2633600000008"/>
  </r>
  <r>
    <s v="TXN00006806"/>
    <s v="A00002803"/>
    <s v="PLC00001307"/>
    <d v="2018-07-16T00:00:00"/>
    <d v="2021-02-17T00:00:00"/>
    <d v="2021-02-19T00:00:00"/>
    <n v="2"/>
    <n v="97.96"/>
    <n v="1175.52"/>
    <n v="1000"/>
    <s v="A"/>
    <n v="1000"/>
    <n v="0.75"/>
    <s v="Total Loss"/>
    <n v="9"/>
    <n v="60"/>
    <n v="1"/>
    <n v="4"/>
    <s v="L"/>
    <x v="0"/>
    <x v="4"/>
    <s v="Own"/>
    <n v="1"/>
    <n v="1"/>
    <n v="881.64"/>
    <n v="643.59719999999993"/>
    <n v="-356.40280000000007"/>
  </r>
  <r>
    <s v="TXN00006808"/>
    <s v="A00007959"/>
    <s v="PLC00003095"/>
    <d v="2016-01-10T00:00:00"/>
    <d v="2021-02-15T00:00:00"/>
    <d v="2021-02-18T00:00:00"/>
    <n v="3"/>
    <n v="97.38"/>
    <n v="1168.56"/>
    <n v="8000"/>
    <s v="A"/>
    <n v="8000"/>
    <n v="1.58"/>
    <s v="Major Loss"/>
    <n v="19"/>
    <n v="40"/>
    <n v="1"/>
    <n v="5"/>
    <s v="H"/>
    <x v="2"/>
    <x v="1"/>
    <s v="Rent"/>
    <n v="1"/>
    <n v="1"/>
    <n v="1846.3248000000001"/>
    <n v="1347.817104"/>
    <n v="-6652.1828960000003"/>
  </r>
  <r>
    <s v="TXN00006816"/>
    <s v="A00002253"/>
    <s v="PLC00008235"/>
    <d v="2018-07-06T00:00:00"/>
    <d v="2021-02-16T00:00:00"/>
    <d v="2021-02-19T00:00:00"/>
    <n v="3"/>
    <n v="115.95"/>
    <n v="1391.4"/>
    <n v="1000"/>
    <s v="D"/>
    <n v="0"/>
    <n v="3.75"/>
    <s v="Total Loss"/>
    <n v="45"/>
    <n v="54"/>
    <n v="1"/>
    <n v="3"/>
    <s v="L"/>
    <x v="0"/>
    <x v="1"/>
    <s v="Rent"/>
    <n v="1"/>
    <n v="1"/>
    <n v="5217.75"/>
    <n v="3808.9575"/>
    <n v="3808.9575"/>
  </r>
  <r>
    <s v="TXN00006819"/>
    <s v="A00003513"/>
    <s v="PLC00008990"/>
    <d v="2014-02-03T00:00:00"/>
    <d v="2021-02-06T00:00:00"/>
    <d v="2021-02-11T00:00:00"/>
    <n v="5"/>
    <n v="138.41"/>
    <n v="1660.92"/>
    <n v="8000"/>
    <s v="A"/>
    <n v="8000"/>
    <n v="3.92"/>
    <s v="Total Loss"/>
    <n v="47"/>
    <n v="60"/>
    <n v="0"/>
    <n v="2"/>
    <s v="L"/>
    <x v="2"/>
    <x v="1"/>
    <s v="Mortgage"/>
    <n v="1"/>
    <n v="0"/>
    <n v="6510.8064000000004"/>
    <n v="4752.888672"/>
    <n v="-3247.111328"/>
  </r>
  <r>
    <s v="TXN00006832"/>
    <s v="A00001508"/>
    <s v="PLC00009605"/>
    <d v="2013-01-21T00:00:00"/>
    <d v="2021-02-12T00:00:00"/>
    <d v="2021-02-17T00:00:00"/>
    <n v="5"/>
    <n v="76.349999999999994"/>
    <n v="916.2"/>
    <n v="10000"/>
    <s v="A"/>
    <n v="10000"/>
    <n v="7.17"/>
    <s v="Major Loss"/>
    <n v="86"/>
    <n v="27"/>
    <n v="0"/>
    <n v="4"/>
    <s v="H"/>
    <x v="1"/>
    <x v="5"/>
    <s v="Own"/>
    <n v="1"/>
    <n v="0"/>
    <n v="6569.1540000000005"/>
    <n v="4795.4824200000003"/>
    <n v="-5204.5175799999997"/>
  </r>
  <r>
    <s v="TXN00006834"/>
    <s v="A00003129"/>
    <s v="PLC00003334"/>
    <d v="2011-05-17T00:00:00"/>
    <d v="2021-02-07T00:00:00"/>
    <d v="2021-02-12T00:00:00"/>
    <n v="5"/>
    <n v="133.78"/>
    <n v="1605.36"/>
    <n v="3000"/>
    <s v="A"/>
    <n v="3000"/>
    <n v="6.67"/>
    <s v="Major Loss"/>
    <n v="80"/>
    <n v="25"/>
    <n v="1"/>
    <n v="3"/>
    <s v="M"/>
    <x v="0"/>
    <x v="5"/>
    <s v="Rent"/>
    <n v="1"/>
    <n v="1"/>
    <n v="10707.751199999999"/>
    <n v="7816.6583759999985"/>
    <n v="4816.6583759999985"/>
  </r>
  <r>
    <s v="TXN00006837"/>
    <s v="A00004255"/>
    <s v="PLC00003743"/>
    <d v="2016-12-27T00:00:00"/>
    <d v="2021-02-20T00:00:00"/>
    <d v="2021-02-21T00:00:00"/>
    <n v="1"/>
    <n v="123.06"/>
    <n v="1476.72"/>
    <n v="1000"/>
    <s v="A"/>
    <n v="1000"/>
    <n v="9.75"/>
    <s v="Total Loss"/>
    <n v="117"/>
    <n v="47"/>
    <n v="0"/>
    <n v="6"/>
    <s v="M"/>
    <x v="0"/>
    <x v="3"/>
    <s v="Own"/>
    <n v="1"/>
    <n v="1"/>
    <n v="14398.02"/>
    <n v="10510.554599999999"/>
    <n v="9510.5545999999995"/>
  </r>
  <r>
    <s v="TXN00006838"/>
    <s v="A00009815"/>
    <s v="PLC00003644"/>
    <d v="2015-09-10T00:00:00"/>
    <d v="2021-02-08T00:00:00"/>
    <d v="2021-02-13T00:00:00"/>
    <n v="5"/>
    <n v="114.35"/>
    <n v="1372.2"/>
    <n v="9000"/>
    <s v="A"/>
    <n v="9000"/>
    <n v="0.5"/>
    <s v="Minor Loss"/>
    <n v="6"/>
    <n v="32"/>
    <n v="0"/>
    <n v="7"/>
    <s v="L"/>
    <x v="1"/>
    <x v="6"/>
    <s v="Rent"/>
    <n v="1"/>
    <n v="1"/>
    <n v="686.1"/>
    <n v="500.85300000000001"/>
    <n v="-8499.1470000000008"/>
  </r>
  <r>
    <s v="TXN00006846"/>
    <s v="A00004376"/>
    <s v="PLC00004999"/>
    <d v="2013-08-04T00:00:00"/>
    <d v="2021-02-24T00:00:00"/>
    <d v="2021-02-24T00:00:00"/>
    <n v="0"/>
    <n v="126.03"/>
    <n v="1512.36"/>
    <n v="6000"/>
    <s v="A"/>
    <n v="6000"/>
    <n v="6.33"/>
    <s v="Major Loss"/>
    <n v="76"/>
    <n v="49"/>
    <n v="1"/>
    <n v="5"/>
    <s v="L"/>
    <x v="1"/>
    <x v="6"/>
    <s v="Own"/>
    <n v="1"/>
    <n v="1"/>
    <n v="9573.2387999999992"/>
    <n v="6988.4643239999996"/>
    <n v="988.46432399999958"/>
  </r>
  <r>
    <s v="TXN00006847"/>
    <s v="A00008063"/>
    <s v="PLC00004443"/>
    <d v="2011-11-23T00:00:00"/>
    <d v="2021-02-17T00:00:00"/>
    <d v="2021-02-20T00:00:00"/>
    <n v="3"/>
    <n v="118.53"/>
    <n v="1422.36"/>
    <n v="9000"/>
    <s v="A"/>
    <n v="9000"/>
    <n v="6.42"/>
    <s v="Major Loss"/>
    <n v="77"/>
    <n v="28"/>
    <n v="1"/>
    <n v="3"/>
    <s v="L"/>
    <x v="0"/>
    <x v="0"/>
    <s v="Rent"/>
    <n v="1"/>
    <n v="1"/>
    <n v="9131.5511999999999"/>
    <n v="6666.0323760000001"/>
    <n v="-2333.9676239999999"/>
  </r>
  <r>
    <s v="TXN00006848"/>
    <s v="A00007977"/>
    <s v="PLC00009178"/>
    <d v="2014-02-27T00:00:00"/>
    <d v="2021-02-24T00:00:00"/>
    <d v="2021-02-24T00:00:00"/>
    <n v="0"/>
    <n v="137.68"/>
    <n v="1652.16"/>
    <n v="9000"/>
    <s v="A"/>
    <n v="9000"/>
    <n v="0.75"/>
    <s v="Total Loss"/>
    <n v="9"/>
    <n v="26"/>
    <n v="0"/>
    <n v="3"/>
    <s v="L"/>
    <x v="2"/>
    <x v="0"/>
    <s v="Rent"/>
    <n v="1"/>
    <n v="1"/>
    <n v="1239.1200000000001"/>
    <n v="904.55760000000009"/>
    <n v="-8095.4423999999999"/>
  </r>
  <r>
    <s v="TXN00006850"/>
    <s v="A00002894"/>
    <s v="PLC00009871"/>
    <d v="2012-09-02T00:00:00"/>
    <d v="2021-02-19T00:00:00"/>
    <d v="2021-02-21T00:00:00"/>
    <n v="2"/>
    <n v="72.37"/>
    <n v="868.44"/>
    <n v="9000"/>
    <s v="A"/>
    <n v="9000"/>
    <n v="0.75"/>
    <s v="Minor Loss"/>
    <n v="9"/>
    <n v="50"/>
    <n v="1"/>
    <n v="7"/>
    <s v="M"/>
    <x v="2"/>
    <x v="1"/>
    <s v="Mortgage"/>
    <n v="1"/>
    <n v="1"/>
    <n v="651.33000000000004"/>
    <n v="475.47090000000003"/>
    <n v="-8524.5290999999997"/>
  </r>
  <r>
    <s v="TXN00006886"/>
    <s v="A00003575"/>
    <s v="PLC00000866"/>
    <d v="2012-02-08T00:00:00"/>
    <d v="2021-02-20T00:00:00"/>
    <d v="2021-02-22T00:00:00"/>
    <n v="2"/>
    <n v="70.760000000000005"/>
    <n v="849.12"/>
    <n v="6000"/>
    <s v="A"/>
    <n v="6000"/>
    <n v="3"/>
    <s v="Total Loss"/>
    <n v="36"/>
    <n v="53"/>
    <n v="1"/>
    <n v="3"/>
    <s v="M"/>
    <x v="0"/>
    <x v="5"/>
    <s v="Rent"/>
    <n v="1"/>
    <n v="0"/>
    <n v="2547.36"/>
    <n v="1859.5728000000001"/>
    <n v="-4140.4272000000001"/>
  </r>
  <r>
    <s v="TXN00006890"/>
    <s v="A00008437"/>
    <s v="PLC00001976"/>
    <d v="2017-11-22T00:00:00"/>
    <d v="2021-02-11T00:00:00"/>
    <d v="2021-02-16T00:00:00"/>
    <n v="5"/>
    <n v="112.45"/>
    <n v="1349.4"/>
    <n v="4000"/>
    <s v="A"/>
    <n v="4000"/>
    <n v="3.17"/>
    <s v="Major Loss"/>
    <n v="38"/>
    <n v="62"/>
    <n v="1"/>
    <n v="5"/>
    <s v="L"/>
    <x v="0"/>
    <x v="2"/>
    <s v="Mortgage"/>
    <n v="1"/>
    <n v="1"/>
    <n v="4277.598"/>
    <n v="3122.6465399999997"/>
    <n v="-877.35346000000027"/>
  </r>
  <r>
    <s v="TXN00006891"/>
    <s v="A00000474"/>
    <s v="PLC00008705"/>
    <d v="2016-10-12T00:00:00"/>
    <d v="2021-02-13T00:00:00"/>
    <d v="2021-02-18T00:00:00"/>
    <n v="5"/>
    <n v="110.85"/>
    <n v="1330.2"/>
    <n v="3000"/>
    <s v="A"/>
    <n v="3000"/>
    <n v="5.5"/>
    <s v="Total Loss"/>
    <n v="66"/>
    <n v="53"/>
    <n v="1"/>
    <n v="3"/>
    <s v="L"/>
    <x v="2"/>
    <x v="1"/>
    <s v="Mortgage"/>
    <n v="1"/>
    <n v="0"/>
    <n v="7316.1"/>
    <n v="5340.7529999999997"/>
    <n v="2340.7529999999997"/>
  </r>
  <r>
    <s v="TXN00006907"/>
    <s v="A00001255"/>
    <s v="PLC00009916"/>
    <d v="2014-04-14T00:00:00"/>
    <d v="2021-02-13T00:00:00"/>
    <d v="2021-02-18T00:00:00"/>
    <n v="5"/>
    <n v="128.66"/>
    <n v="1543.92"/>
    <n v="6000"/>
    <s v="A"/>
    <n v="6000"/>
    <n v="3.92"/>
    <s v="Major Loss"/>
    <n v="47"/>
    <n v="60"/>
    <n v="1"/>
    <n v="3"/>
    <s v="L"/>
    <x v="1"/>
    <x v="1"/>
    <s v="Mortgage"/>
    <n v="1"/>
    <n v="1"/>
    <n v="6052.1664000000001"/>
    <n v="4418.0814719999998"/>
    <n v="-1581.9185280000002"/>
  </r>
  <r>
    <s v="TXN00006921"/>
    <s v="A00009810"/>
    <s v="PLC00001117"/>
    <d v="2016-03-04T00:00:00"/>
    <d v="2021-02-11T00:00:00"/>
    <d v="2021-02-16T00:00:00"/>
    <n v="5"/>
    <n v="126.68"/>
    <n v="1520.16"/>
    <n v="4000"/>
    <s v="A"/>
    <n v="4000"/>
    <n v="9.42"/>
    <s v="Major Loss"/>
    <n v="113"/>
    <n v="37"/>
    <n v="0"/>
    <n v="7"/>
    <s v="L"/>
    <x v="1"/>
    <x v="0"/>
    <s v="Own"/>
    <n v="1"/>
    <n v="0"/>
    <n v="14319.907200000001"/>
    <n v="10453.532256"/>
    <n v="6453.5322560000004"/>
  </r>
  <r>
    <s v="TXN00006931"/>
    <s v="A00008369"/>
    <s v="PLC00004268"/>
    <d v="2013-10-23T00:00:00"/>
    <d v="2021-02-19T00:00:00"/>
    <d v="2021-02-22T00:00:00"/>
    <n v="3"/>
    <n v="121.1"/>
    <n v="1453.2"/>
    <n v="7000"/>
    <s v="A"/>
    <n v="7000"/>
    <n v="4.25"/>
    <s v="Major Loss"/>
    <n v="51"/>
    <n v="33"/>
    <n v="0"/>
    <n v="5"/>
    <s v="L"/>
    <x v="2"/>
    <x v="1"/>
    <s v="Rent"/>
    <n v="0"/>
    <n v="0"/>
    <n v="6176.1"/>
    <n v="4508.5529999999999"/>
    <n v="-2491.4470000000001"/>
  </r>
  <r>
    <s v="TXN00006942"/>
    <s v="A00006455"/>
    <s v="PLC00001250"/>
    <d v="2018-02-06T00:00:00"/>
    <d v="2021-02-13T00:00:00"/>
    <d v="2021-02-18T00:00:00"/>
    <n v="5"/>
    <n v="119.1"/>
    <n v="1429.2"/>
    <n v="7000"/>
    <s v="A"/>
    <n v="7000"/>
    <n v="7.58"/>
    <s v="Minor Loss"/>
    <n v="91"/>
    <n v="37"/>
    <n v="1"/>
    <n v="4"/>
    <s v="L"/>
    <x v="1"/>
    <x v="4"/>
    <s v="Mortgage"/>
    <n v="0"/>
    <n v="1"/>
    <n v="10833.336000000001"/>
    <n v="7908.3352800000002"/>
    <n v="908.33528000000024"/>
  </r>
  <r>
    <s v="TXN00006943"/>
    <s v="A00003151"/>
    <s v="PLC00004042"/>
    <d v="2014-08-18T00:00:00"/>
    <d v="2021-02-14T00:00:00"/>
    <d v="2021-02-19T00:00:00"/>
    <n v="5"/>
    <n v="82.33"/>
    <n v="987.96"/>
    <n v="10000"/>
    <s v="A"/>
    <n v="10000"/>
    <n v="0.67"/>
    <s v="Minor Loss"/>
    <n v="8"/>
    <n v="53"/>
    <n v="1"/>
    <n v="3"/>
    <s v="M"/>
    <x v="0"/>
    <x v="3"/>
    <s v="Mortgage"/>
    <n v="1"/>
    <n v="1"/>
    <n v="661.93320000000006"/>
    <n v="483.21123600000004"/>
    <n v="-9516.7887640000008"/>
  </r>
  <r>
    <s v="TXN00006948"/>
    <s v="A00009472"/>
    <s v="PLC00005483"/>
    <d v="2017-12-14T00:00:00"/>
    <d v="2021-02-25T00:00:00"/>
    <d v="2021-02-26T00:00:00"/>
    <n v="1"/>
    <n v="120.94"/>
    <n v="1451.28"/>
    <n v="9000"/>
    <s v="A"/>
    <n v="9000"/>
    <n v="8.33"/>
    <s v="Total Loss"/>
    <n v="100"/>
    <n v="55"/>
    <n v="1"/>
    <n v="5"/>
    <s v="M"/>
    <x v="2"/>
    <x v="4"/>
    <s v="Rent"/>
    <n v="1"/>
    <n v="0"/>
    <n v="12089.162399999999"/>
    <n v="8825.0885519999993"/>
    <n v="-174.91144800000075"/>
  </r>
  <r>
    <s v="TXN00006952"/>
    <s v="A00001717"/>
    <s v="PLC00006139"/>
    <d v="2015-03-19T00:00:00"/>
    <d v="2021-03-01T00:00:00"/>
    <d v="2021-03-01T00:00:00"/>
    <n v="0"/>
    <n v="124.74"/>
    <n v="1496.88"/>
    <n v="5000"/>
    <s v="A"/>
    <n v="5000"/>
    <n v="1.58"/>
    <s v="Major Loss"/>
    <n v="19"/>
    <n v="45"/>
    <n v="1"/>
    <n v="3"/>
    <s v="L"/>
    <x v="1"/>
    <x v="0"/>
    <s v="Mortgage"/>
    <n v="0"/>
    <n v="1"/>
    <n v="2365.0704000000001"/>
    <n v="1726.5013919999999"/>
    <n v="-3273.4986079999999"/>
  </r>
  <r>
    <s v="TXN00006954"/>
    <s v="A00000567"/>
    <s v="PLC00008569"/>
    <d v="2015-12-12T00:00:00"/>
    <d v="2021-02-12T00:00:00"/>
    <d v="2021-02-17T00:00:00"/>
    <n v="5"/>
    <n v="100.27"/>
    <n v="1203.24"/>
    <n v="8000"/>
    <s v="A"/>
    <n v="8000"/>
    <n v="4"/>
    <s v="Minor Loss"/>
    <n v="48"/>
    <n v="41"/>
    <n v="1"/>
    <n v="2"/>
    <s v="L"/>
    <x v="1"/>
    <x v="0"/>
    <s v="Own"/>
    <n v="1"/>
    <n v="1"/>
    <n v="4812.96"/>
    <n v="3513.4607999999998"/>
    <n v="-4486.5392000000002"/>
  </r>
  <r>
    <s v="TXN00006976"/>
    <s v="A00001258"/>
    <s v="PLC00003937"/>
    <d v="2017-09-24T00:00:00"/>
    <d v="2021-02-22T00:00:00"/>
    <d v="2021-02-25T00:00:00"/>
    <n v="3"/>
    <n v="84.32"/>
    <n v="1011.84"/>
    <n v="9000"/>
    <s v="A"/>
    <n v="9000"/>
    <n v="8.33"/>
    <s v="Minor Loss"/>
    <n v="100"/>
    <n v="56"/>
    <n v="0"/>
    <n v="5"/>
    <s v="M"/>
    <x v="0"/>
    <x v="0"/>
    <s v="Rent"/>
    <n v="1"/>
    <n v="1"/>
    <n v="8428.6272000000008"/>
    <n v="6152.8978560000005"/>
    <n v="-2847.1021439999995"/>
  </r>
  <r>
    <s v="TXN00006977"/>
    <s v="A00000468"/>
    <s v="PLC00006254"/>
    <d v="2017-09-21T00:00:00"/>
    <d v="2021-02-17T00:00:00"/>
    <d v="2021-02-22T00:00:00"/>
    <n v="5"/>
    <n v="113.2"/>
    <n v="1358.4"/>
    <n v="5000"/>
    <s v="A"/>
    <n v="5000"/>
    <n v="8.83"/>
    <s v="Total Loss"/>
    <n v="106"/>
    <n v="44"/>
    <n v="0"/>
    <n v="2"/>
    <s v="M"/>
    <x v="2"/>
    <x v="3"/>
    <s v="Rent"/>
    <n v="0"/>
    <n v="1"/>
    <n v="11994.672"/>
    <n v="8756.110560000001"/>
    <n v="3756.110560000001"/>
  </r>
  <r>
    <s v="TXN00006982"/>
    <s v="A00001174"/>
    <s v="PLC00009610"/>
    <d v="2016-11-17T00:00:00"/>
    <d v="2021-03-01T00:00:00"/>
    <d v="2021-03-01T00:00:00"/>
    <n v="0"/>
    <n v="106.69"/>
    <n v="1280.28"/>
    <n v="1000"/>
    <s v="A"/>
    <n v="1000"/>
    <n v="2.67"/>
    <s v="Total Loss"/>
    <n v="32"/>
    <n v="43"/>
    <n v="0"/>
    <n v="4"/>
    <s v="M"/>
    <x v="1"/>
    <x v="0"/>
    <s v="Rent"/>
    <n v="1"/>
    <n v="1"/>
    <n v="3418.3476000000001"/>
    <n v="2495.393748"/>
    <n v="1495.393748"/>
  </r>
  <r>
    <s v="TXN00006986"/>
    <s v="A00005636"/>
    <s v="PLC00009189"/>
    <d v="2014-02-07T00:00:00"/>
    <d v="2021-02-26T00:00:00"/>
    <d v="2021-02-28T00:00:00"/>
    <n v="2"/>
    <n v="114.54"/>
    <n v="1374.48"/>
    <n v="2000"/>
    <s v="A"/>
    <n v="2000"/>
    <n v="1.92"/>
    <s v="Major Loss"/>
    <n v="23"/>
    <n v="30"/>
    <n v="0"/>
    <n v="3"/>
    <s v="M"/>
    <x v="1"/>
    <x v="3"/>
    <s v="Rent"/>
    <n v="0"/>
    <n v="1"/>
    <n v="2639.0016000000001"/>
    <n v="1926.471168"/>
    <n v="-73.528831999999966"/>
  </r>
  <r>
    <s v="TXN00006997"/>
    <s v="A00008072"/>
    <s v="PLC00001460"/>
    <d v="2012-02-12T00:00:00"/>
    <d v="2021-03-02T00:00:00"/>
    <d v="2021-03-02T00:00:00"/>
    <n v="0"/>
    <n v="72.61"/>
    <n v="871.32"/>
    <n v="6000"/>
    <s v="A"/>
    <n v="6000"/>
    <n v="1.5"/>
    <s v="Total Loss"/>
    <n v="18"/>
    <n v="25"/>
    <n v="1"/>
    <n v="3"/>
    <s v="L"/>
    <x v="0"/>
    <x v="1"/>
    <s v="Mortgage"/>
    <n v="1"/>
    <n v="1"/>
    <n v="1306.98"/>
    <n v="954.09540000000004"/>
    <n v="-5045.9045999999998"/>
  </r>
  <r>
    <s v="TXN00007001"/>
    <s v="A00003099"/>
    <s v="PLC00001234"/>
    <d v="2014-12-14T00:00:00"/>
    <d v="2021-02-18T00:00:00"/>
    <d v="2021-02-23T00:00:00"/>
    <n v="5"/>
    <n v="78.11"/>
    <n v="937.32"/>
    <n v="2000"/>
    <s v="D"/>
    <n v="0"/>
    <n v="2.5"/>
    <s v="Minor Loss"/>
    <n v="30"/>
    <n v="50"/>
    <n v="1"/>
    <n v="7"/>
    <s v="H"/>
    <x v="1"/>
    <x v="6"/>
    <s v="Own"/>
    <n v="1"/>
    <n v="1"/>
    <n v="2343.3000000000002"/>
    <n v="1710.6090000000002"/>
    <n v="1710.6090000000002"/>
  </r>
  <r>
    <s v="TXN00007011"/>
    <s v="A00004756"/>
    <s v="PLC00004529"/>
    <d v="2010-12-15T00:00:00"/>
    <d v="2021-03-02T00:00:00"/>
    <d v="2021-03-02T00:00:00"/>
    <n v="0"/>
    <n v="113.96"/>
    <n v="1367.52"/>
    <n v="8000"/>
    <s v="A"/>
    <n v="8000"/>
    <n v="0.57999999999999996"/>
    <s v="Minor Loss"/>
    <n v="7"/>
    <n v="50"/>
    <n v="0"/>
    <n v="3"/>
    <s v="L"/>
    <x v="2"/>
    <x v="0"/>
    <s v="Rent"/>
    <n v="1"/>
    <n v="1"/>
    <n v="793.16159999999991"/>
    <n v="579.00796799999989"/>
    <n v="-7420.9920320000001"/>
  </r>
  <r>
    <s v="TXN00007019"/>
    <s v="A00009293"/>
    <s v="PLC00001280"/>
    <d v="2011-05-20T00:00:00"/>
    <d v="2021-02-25T00:00:00"/>
    <d v="2021-02-28T00:00:00"/>
    <n v="3"/>
    <n v="102.79"/>
    <n v="1233.48"/>
    <n v="2000"/>
    <s v="A"/>
    <n v="2000"/>
    <n v="6.25"/>
    <s v="Total Loss"/>
    <n v="75"/>
    <n v="27"/>
    <n v="1"/>
    <n v="2"/>
    <s v="H"/>
    <x v="0"/>
    <x v="2"/>
    <s v="Mortgage"/>
    <n v="0"/>
    <n v="1"/>
    <n v="7709.25"/>
    <n v="5627.7524999999996"/>
    <n v="3627.7524999999996"/>
  </r>
  <r>
    <s v="TXN00007023"/>
    <s v="A00009746"/>
    <s v="PLC00003581"/>
    <d v="2017-01-31T00:00:00"/>
    <d v="2021-02-26T00:00:00"/>
    <d v="2021-02-28T00:00:00"/>
    <n v="2"/>
    <n v="132.72999999999999"/>
    <n v="1592.76"/>
    <n v="10000"/>
    <s v="A"/>
    <n v="10000"/>
    <n v="8.08"/>
    <s v="Total Loss"/>
    <n v="97"/>
    <n v="36"/>
    <n v="1"/>
    <n v="2"/>
    <s v="M"/>
    <x v="0"/>
    <x v="1"/>
    <s v="Mortgage"/>
    <n v="1"/>
    <n v="1"/>
    <n v="12869.5008"/>
    <n v="9394.735584"/>
    <n v="-605.26441599999998"/>
  </r>
  <r>
    <s v="TXN00007035"/>
    <s v="A00005173"/>
    <s v="PLC00007372"/>
    <d v="2017-06-29T00:00:00"/>
    <d v="2021-02-28T00:00:00"/>
    <d v="2021-03-01T00:00:00"/>
    <n v="1"/>
    <n v="103.95"/>
    <n v="1247.4000000000001"/>
    <n v="1000"/>
    <s v="A"/>
    <n v="1000"/>
    <n v="4.33"/>
    <s v="Major Loss"/>
    <n v="52"/>
    <n v="60"/>
    <n v="1"/>
    <n v="3"/>
    <s v="H"/>
    <x v="2"/>
    <x v="4"/>
    <s v="Rent"/>
    <n v="1"/>
    <n v="0"/>
    <n v="5401.2420000000002"/>
    <n v="3942.9066600000001"/>
    <n v="2942.9066600000001"/>
  </r>
  <r>
    <s v="TXN00007043"/>
    <s v="A00007460"/>
    <s v="PLC00009684"/>
    <d v="2018-05-31T00:00:00"/>
    <d v="2021-02-17T00:00:00"/>
    <d v="2021-02-22T00:00:00"/>
    <n v="5"/>
    <n v="123.17"/>
    <n v="1478.04"/>
    <n v="3000"/>
    <s v="A"/>
    <n v="3000"/>
    <n v="4.42"/>
    <s v="Minor Loss"/>
    <n v="53"/>
    <n v="52"/>
    <n v="1"/>
    <n v="4"/>
    <s v="M"/>
    <x v="1"/>
    <x v="3"/>
    <s v="Mortgage"/>
    <n v="1"/>
    <n v="1"/>
    <n v="6532.9367999999995"/>
    <n v="4769.0438639999993"/>
    <n v="1769.0438639999993"/>
  </r>
  <r>
    <s v="TXN00007044"/>
    <s v="A00004021"/>
    <s v="PLC00003182"/>
    <d v="2014-11-06T00:00:00"/>
    <d v="2021-02-24T00:00:00"/>
    <d v="2021-02-27T00:00:00"/>
    <n v="3"/>
    <n v="100.4"/>
    <n v="1204.8"/>
    <n v="6000"/>
    <s v="A"/>
    <n v="6000"/>
    <n v="2.17"/>
    <s v="Minor Loss"/>
    <n v="26"/>
    <n v="27"/>
    <n v="0"/>
    <n v="2"/>
    <s v="H"/>
    <x v="0"/>
    <x v="0"/>
    <s v="Rent"/>
    <n v="1"/>
    <n v="0"/>
    <n v="2614.4159999999997"/>
    <n v="1908.5236799999998"/>
    <n v="-4091.4763200000002"/>
  </r>
  <r>
    <s v="TXN00007047"/>
    <s v="A00003891"/>
    <s v="PLC00008942"/>
    <d v="2016-08-08T00:00:00"/>
    <d v="2021-03-05T00:00:00"/>
    <d v="2021-03-05T00:00:00"/>
    <n v="0"/>
    <n v="113.24"/>
    <n v="1358.88"/>
    <n v="7000"/>
    <s v="A"/>
    <n v="7000"/>
    <n v="4.08"/>
    <s v="Minor Loss"/>
    <n v="49"/>
    <n v="46"/>
    <n v="1"/>
    <n v="6"/>
    <s v="M"/>
    <x v="0"/>
    <x v="0"/>
    <s v="Own"/>
    <n v="1"/>
    <n v="1"/>
    <n v="5544.2304000000004"/>
    <n v="4047.288192"/>
    <n v="-2952.711808"/>
  </r>
  <r>
    <s v="TXN00007054"/>
    <s v="A00001097"/>
    <s v="PLC00009536"/>
    <d v="2018-07-19T00:00:00"/>
    <d v="2021-02-14T00:00:00"/>
    <d v="2021-02-19T00:00:00"/>
    <n v="5"/>
    <n v="73.92"/>
    <n v="887.04"/>
    <n v="1000"/>
    <s v="A"/>
    <n v="1000"/>
    <n v="8.67"/>
    <s v="Total Loss"/>
    <n v="104"/>
    <n v="44"/>
    <n v="1"/>
    <n v="4"/>
    <s v="L"/>
    <x v="2"/>
    <x v="1"/>
    <s v="Own"/>
    <n v="1"/>
    <n v="1"/>
    <n v="7690.6367999999993"/>
    <n v="5614.1648639999994"/>
    <n v="4614.1648639999994"/>
  </r>
  <r>
    <s v="TXN00007057"/>
    <s v="A00000120"/>
    <s v="PLC00003034"/>
    <d v="2015-10-31T00:00:00"/>
    <d v="2021-02-28T00:00:00"/>
    <d v="2021-03-02T00:00:00"/>
    <n v="2"/>
    <n v="94.31"/>
    <n v="1131.72"/>
    <n v="6000"/>
    <s v="A"/>
    <n v="6000"/>
    <n v="5.92"/>
    <s v="Major Loss"/>
    <n v="71"/>
    <n v="55"/>
    <n v="1"/>
    <n v="5"/>
    <s v="L"/>
    <x v="1"/>
    <x v="1"/>
    <s v="Rent"/>
    <n v="1"/>
    <n v="1"/>
    <n v="6699.7824000000001"/>
    <n v="4890.841152"/>
    <n v="-1109.158848"/>
  </r>
  <r>
    <s v="TXN00007065"/>
    <s v="A00005287"/>
    <s v="PLC00004114"/>
    <d v="2011-11-08T00:00:00"/>
    <d v="2021-03-01T00:00:00"/>
    <d v="2021-03-02T00:00:00"/>
    <n v="1"/>
    <n v="127.41"/>
    <n v="1528.92"/>
    <n v="5000"/>
    <s v="A"/>
    <n v="5000"/>
    <n v="0.83"/>
    <s v="Minor Loss"/>
    <n v="10"/>
    <n v="62"/>
    <n v="1"/>
    <n v="6"/>
    <s v="L"/>
    <x v="0"/>
    <x v="2"/>
    <s v="Mortgage"/>
    <n v="1"/>
    <n v="0"/>
    <n v="1269.0036"/>
    <n v="926.37262799999996"/>
    <n v="-4073.6273719999999"/>
  </r>
  <r>
    <s v="TXN00007070"/>
    <s v="A00003421"/>
    <s v="PLC00003979"/>
    <d v="2011-08-25T00:00:00"/>
    <d v="2021-02-15T00:00:00"/>
    <d v="2021-02-20T00:00:00"/>
    <n v="5"/>
    <n v="122.09"/>
    <n v="1465.08"/>
    <n v="4000"/>
    <s v="A"/>
    <n v="4000"/>
    <n v="3.5"/>
    <s v="Total Loss"/>
    <n v="42"/>
    <n v="32"/>
    <n v="1"/>
    <n v="7"/>
    <s v="M"/>
    <x v="0"/>
    <x v="1"/>
    <s v="Own"/>
    <n v="0"/>
    <n v="1"/>
    <n v="5127.78"/>
    <n v="3743.2793999999999"/>
    <n v="-256.7206000000001"/>
  </r>
  <r>
    <s v="TXN00007077"/>
    <s v="A00009737"/>
    <s v="PLC00003006"/>
    <d v="2020-01-04T00:00:00"/>
    <d v="2021-02-23T00:00:00"/>
    <d v="2021-02-28T00:00:00"/>
    <n v="5"/>
    <n v="95.86"/>
    <n v="1150.32"/>
    <n v="7000"/>
    <s v="A"/>
    <n v="7000"/>
    <n v="1.83"/>
    <s v="Total Loss"/>
    <n v="22"/>
    <n v="42"/>
    <n v="1"/>
    <n v="3"/>
    <s v="L"/>
    <x v="1"/>
    <x v="1"/>
    <s v="Own"/>
    <n v="1"/>
    <n v="1"/>
    <n v="2105.0855999999999"/>
    <n v="1536.7124879999999"/>
    <n v="-5463.2875119999999"/>
  </r>
  <r>
    <s v="TXN00007086"/>
    <s v="A00003517"/>
    <s v="PLC00005147"/>
    <d v="2012-09-08T00:00:00"/>
    <d v="2021-02-16T00:00:00"/>
    <d v="2021-02-21T00:00:00"/>
    <n v="5"/>
    <n v="100.66"/>
    <n v="1207.92"/>
    <n v="3000"/>
    <s v="A"/>
    <n v="3000"/>
    <n v="3.67"/>
    <s v="Major Loss"/>
    <n v="44"/>
    <n v="42"/>
    <n v="1"/>
    <n v="6"/>
    <s v="M"/>
    <x v="0"/>
    <x v="0"/>
    <s v="Mortgage"/>
    <n v="0"/>
    <n v="1"/>
    <n v="4433.0664000000006"/>
    <n v="3236.1384720000005"/>
    <n v="236.13847200000055"/>
  </r>
  <r>
    <s v="TXN00007088"/>
    <s v="A00006068"/>
    <s v="PLC00009544"/>
    <d v="2012-08-29T00:00:00"/>
    <d v="2021-02-27T00:00:00"/>
    <d v="2021-03-02T00:00:00"/>
    <n v="3"/>
    <n v="101.84"/>
    <n v="1222.08"/>
    <n v="3000"/>
    <s v="A"/>
    <n v="3000"/>
    <n v="6.58"/>
    <s v="Minor Loss"/>
    <n v="79"/>
    <n v="30"/>
    <n v="0"/>
    <n v="3"/>
    <s v="M"/>
    <x v="1"/>
    <x v="0"/>
    <s v="Mortgage"/>
    <n v="0"/>
    <n v="1"/>
    <n v="8041.2864"/>
    <n v="5870.1390719999999"/>
    <n v="2870.1390719999999"/>
  </r>
  <r>
    <s v="TXN00007092"/>
    <s v="A00005217"/>
    <s v="PLC00006944"/>
    <d v="2017-06-10T00:00:00"/>
    <d v="2021-03-03T00:00:00"/>
    <d v="2021-03-04T00:00:00"/>
    <n v="1"/>
    <n v="72.239999999999995"/>
    <n v="866.88"/>
    <n v="10000"/>
    <s v="A"/>
    <n v="10000"/>
    <n v="3.42"/>
    <s v="Minor Loss"/>
    <n v="41"/>
    <n v="54"/>
    <n v="1"/>
    <n v="4"/>
    <s v="H"/>
    <x v="1"/>
    <x v="0"/>
    <s v="Rent"/>
    <n v="0"/>
    <n v="0"/>
    <n v="2964.7296000000001"/>
    <n v="2164.2526080000002"/>
    <n v="-7835.7473919999993"/>
  </r>
  <r>
    <s v="TXN00007099"/>
    <s v="A00006384"/>
    <s v="PLC00003438"/>
    <d v="2016-10-17T00:00:00"/>
    <d v="2021-03-04T00:00:00"/>
    <d v="2021-03-05T00:00:00"/>
    <n v="1"/>
    <n v="125.13"/>
    <n v="1501.56"/>
    <n v="10000"/>
    <s v="A"/>
    <n v="10000"/>
    <n v="1.67"/>
    <s v="Minor Loss"/>
    <n v="20"/>
    <n v="45"/>
    <n v="0"/>
    <n v="4"/>
    <s v="L"/>
    <x v="1"/>
    <x v="3"/>
    <s v="Mortgage"/>
    <n v="0"/>
    <n v="1"/>
    <n v="2507.6052"/>
    <n v="1830.551796"/>
    <n v="-8169.4482040000003"/>
  </r>
  <r>
    <s v="TXN00007103"/>
    <s v="A00005720"/>
    <s v="PLC00004248"/>
    <d v="2012-04-06T00:00:00"/>
    <d v="2021-02-23T00:00:00"/>
    <d v="2021-02-28T00:00:00"/>
    <n v="5"/>
    <n v="92.05"/>
    <n v="1104.5999999999999"/>
    <n v="7000"/>
    <s v="A"/>
    <n v="7000"/>
    <n v="6.58"/>
    <s v="Minor Loss"/>
    <n v="79"/>
    <n v="54"/>
    <n v="1"/>
    <n v="4"/>
    <s v="M"/>
    <x v="2"/>
    <x v="2"/>
    <s v="Own"/>
    <n v="0"/>
    <n v="0"/>
    <n v="7268.2679999999991"/>
    <n v="5305.8356399999993"/>
    <n v="-1694.1643600000007"/>
  </r>
  <r>
    <s v="TXN00007114"/>
    <s v="A00000359"/>
    <s v="PLC00000595"/>
    <d v="2015-03-17T00:00:00"/>
    <d v="2021-03-01T00:00:00"/>
    <d v="2021-03-03T00:00:00"/>
    <n v="2"/>
    <n v="124.7"/>
    <n v="1496.4"/>
    <n v="5000"/>
    <s v="A"/>
    <n v="5000"/>
    <n v="6"/>
    <s v="Total Loss"/>
    <n v="72"/>
    <n v="29"/>
    <n v="1"/>
    <n v="4"/>
    <s v="L"/>
    <x v="0"/>
    <x v="1"/>
    <s v="Own"/>
    <n v="0"/>
    <n v="1"/>
    <n v="8978.4000000000015"/>
    <n v="6554.2320000000009"/>
    <n v="1554.2320000000009"/>
  </r>
  <r>
    <s v="TXN00007115"/>
    <s v="A00003682"/>
    <s v="PLC00003193"/>
    <d v="2011-04-13T00:00:00"/>
    <d v="2021-03-01T00:00:00"/>
    <d v="2021-03-03T00:00:00"/>
    <n v="2"/>
    <n v="136.04"/>
    <n v="1632.48"/>
    <n v="7000"/>
    <s v="A"/>
    <n v="7000"/>
    <n v="3.17"/>
    <s v="Total Loss"/>
    <n v="38"/>
    <n v="53"/>
    <n v="0"/>
    <n v="6"/>
    <s v="M"/>
    <x v="0"/>
    <x v="4"/>
    <s v="Mortgage"/>
    <n v="1"/>
    <n v="1"/>
    <n v="5174.9615999999996"/>
    <n v="3777.7219679999998"/>
    <n v="-3222.2780320000002"/>
  </r>
  <r>
    <s v="TXN00007116"/>
    <s v="A00008272"/>
    <s v="PLC00003689"/>
    <d v="2011-09-01T00:00:00"/>
    <d v="2021-03-02T00:00:00"/>
    <d v="2021-03-04T00:00:00"/>
    <n v="2"/>
    <n v="134.84"/>
    <n v="1618.08"/>
    <n v="8000"/>
    <s v="A"/>
    <n v="8000"/>
    <n v="7.25"/>
    <s v="Total Loss"/>
    <n v="87"/>
    <n v="51"/>
    <n v="0"/>
    <n v="2"/>
    <s v="H"/>
    <x v="0"/>
    <x v="4"/>
    <s v="Own"/>
    <n v="0"/>
    <n v="0"/>
    <n v="11731.08"/>
    <n v="8563.6883999999991"/>
    <n v="563.68839999999909"/>
  </r>
  <r>
    <s v="TXN00007119"/>
    <s v="A00000639"/>
    <s v="PLC00008774"/>
    <d v="2013-09-02T00:00:00"/>
    <d v="2021-02-28T00:00:00"/>
    <d v="2021-03-03T00:00:00"/>
    <n v="3"/>
    <n v="96.6"/>
    <n v="1159.2"/>
    <n v="9000"/>
    <s v="A"/>
    <n v="9000"/>
    <n v="8"/>
    <s v="Total Loss"/>
    <n v="96"/>
    <n v="28"/>
    <n v="1"/>
    <n v="2"/>
    <s v="H"/>
    <x v="1"/>
    <x v="0"/>
    <s v="Own"/>
    <n v="1"/>
    <n v="1"/>
    <n v="9273.6"/>
    <n v="6769.7280000000001"/>
    <n v="-2230.2719999999999"/>
  </r>
  <r>
    <s v="TXN00007125"/>
    <s v="A00007716"/>
    <s v="PLC00008762"/>
    <d v="2017-06-26T00:00:00"/>
    <d v="2021-02-20T00:00:00"/>
    <d v="2021-02-25T00:00:00"/>
    <n v="5"/>
    <n v="75.040000000000006"/>
    <n v="900.48"/>
    <n v="8000"/>
    <s v="A"/>
    <n v="8000"/>
    <n v="7.83"/>
    <s v="Total Loss"/>
    <n v="94"/>
    <n v="33"/>
    <n v="1"/>
    <n v="2"/>
    <s v="M"/>
    <x v="0"/>
    <x v="5"/>
    <s v="Rent"/>
    <n v="0"/>
    <n v="1"/>
    <n v="7050.7584000000006"/>
    <n v="5147.0536320000001"/>
    <n v="-2852.9463679999999"/>
  </r>
  <r>
    <s v="TXN00007133"/>
    <s v="A00006323"/>
    <s v="PLC00003053"/>
    <d v="2017-07-06T00:00:00"/>
    <d v="2021-03-01T00:00:00"/>
    <d v="2021-03-04T00:00:00"/>
    <n v="3"/>
    <n v="76.540000000000006"/>
    <n v="918.48"/>
    <n v="2000"/>
    <s v="A"/>
    <n v="2000"/>
    <n v="1.08"/>
    <s v="Major Loss"/>
    <n v="13"/>
    <n v="64"/>
    <n v="1"/>
    <n v="3"/>
    <s v="M"/>
    <x v="1"/>
    <x v="0"/>
    <s v="Rent"/>
    <n v="1"/>
    <n v="0"/>
    <n v="991.9584000000001"/>
    <n v="724.12963200000002"/>
    <n v="-1275.8703679999999"/>
  </r>
  <r>
    <s v="TXN00007136"/>
    <s v="A00001036"/>
    <s v="PLC00009598"/>
    <d v="2019-05-04T00:00:00"/>
    <d v="2021-03-08T00:00:00"/>
    <d v="2021-03-08T00:00:00"/>
    <n v="0"/>
    <n v="108.89"/>
    <n v="1306.68"/>
    <n v="2000"/>
    <s v="A"/>
    <n v="2000"/>
    <n v="3.25"/>
    <s v="Major Loss"/>
    <n v="39"/>
    <n v="25"/>
    <n v="1"/>
    <n v="3"/>
    <s v="L"/>
    <x v="2"/>
    <x v="1"/>
    <s v="Own"/>
    <n v="0"/>
    <n v="1"/>
    <n v="4246.71"/>
    <n v="3100.0983000000001"/>
    <n v="1100.0983000000001"/>
  </r>
  <r>
    <s v="TXN00007138"/>
    <s v="A00003089"/>
    <s v="PLC00008326"/>
    <d v="2013-10-25T00:00:00"/>
    <d v="2021-02-25T00:00:00"/>
    <d v="2021-03-02T00:00:00"/>
    <n v="5"/>
    <n v="95.75"/>
    <n v="1149"/>
    <n v="5000"/>
    <s v="A"/>
    <n v="5000"/>
    <n v="7.67"/>
    <s v="Major Loss"/>
    <n v="92"/>
    <n v="51"/>
    <n v="1"/>
    <n v="4"/>
    <s v="M"/>
    <x v="1"/>
    <x v="0"/>
    <s v="Own"/>
    <n v="1"/>
    <n v="0"/>
    <n v="8812.83"/>
    <n v="6433.3658999999998"/>
    <n v="1433.3658999999998"/>
  </r>
  <r>
    <s v="TXN00007139"/>
    <s v="A00000757"/>
    <s v="PLC00001778"/>
    <d v="2016-05-26T00:00:00"/>
    <d v="2021-02-25T00:00:00"/>
    <d v="2021-03-02T00:00:00"/>
    <n v="5"/>
    <n v="113.84"/>
    <n v="1366.08"/>
    <n v="8000"/>
    <s v="A"/>
    <n v="8000"/>
    <n v="9.92"/>
    <s v="Major Loss"/>
    <n v="119"/>
    <n v="64"/>
    <n v="1"/>
    <n v="4"/>
    <s v="L"/>
    <x v="1"/>
    <x v="6"/>
    <s v="Mortgage"/>
    <n v="0"/>
    <n v="0"/>
    <n v="13551.513599999998"/>
    <n v="9892.6049279999988"/>
    <n v="1892.6049279999988"/>
  </r>
  <r>
    <s v="TXN00007143"/>
    <s v="A00000133"/>
    <s v="PLC00007509"/>
    <d v="2017-02-06T00:00:00"/>
    <d v="2021-02-27T00:00:00"/>
    <d v="2021-03-04T00:00:00"/>
    <n v="5"/>
    <n v="103.75"/>
    <n v="1245"/>
    <n v="10000"/>
    <s v="A"/>
    <n v="10000"/>
    <n v="7.58"/>
    <s v="Minor Loss"/>
    <n v="91"/>
    <n v="64"/>
    <n v="0"/>
    <n v="6"/>
    <s v="L"/>
    <x v="1"/>
    <x v="4"/>
    <s v="Own"/>
    <n v="1"/>
    <n v="1"/>
    <n v="9437.1"/>
    <n v="6889.0830000000005"/>
    <n v="-3110.9169999999995"/>
  </r>
  <r>
    <s v="TXN00007149"/>
    <s v="A00005035"/>
    <s v="PLC00002841"/>
    <d v="2011-05-13T00:00:00"/>
    <d v="2021-02-21T00:00:00"/>
    <d v="2021-02-26T00:00:00"/>
    <n v="5"/>
    <n v="110.97"/>
    <n v="1331.64"/>
    <n v="9000"/>
    <s v="A"/>
    <n v="9000"/>
    <n v="4.83"/>
    <s v="Major Loss"/>
    <n v="58"/>
    <n v="53"/>
    <n v="1"/>
    <n v="2"/>
    <s v="L"/>
    <x v="0"/>
    <x v="1"/>
    <s v="Mortgage"/>
    <n v="1"/>
    <n v="0"/>
    <n v="6431.8212000000003"/>
    <n v="4695.2294760000004"/>
    <n v="-4304.7705239999996"/>
  </r>
  <r>
    <s v="TXN00007152"/>
    <s v="A00008318"/>
    <s v="PLC00003611"/>
    <d v="2010-06-21T00:00:00"/>
    <d v="2021-02-19T00:00:00"/>
    <d v="2021-02-24T00:00:00"/>
    <n v="5"/>
    <n v="74.5"/>
    <n v="894"/>
    <n v="8000"/>
    <s v="A"/>
    <n v="8000"/>
    <n v="1.67"/>
    <s v="Major Loss"/>
    <n v="20"/>
    <n v="58"/>
    <n v="0"/>
    <n v="5"/>
    <s v="L"/>
    <x v="0"/>
    <x v="0"/>
    <s v="Rent"/>
    <n v="0"/>
    <n v="1"/>
    <n v="1492.98"/>
    <n v="1089.8753999999999"/>
    <n v="-6910.1246000000001"/>
  </r>
  <r>
    <s v="TXN00007155"/>
    <s v="A00000986"/>
    <s v="PLC00009384"/>
    <d v="2010-12-28T00:00:00"/>
    <d v="2021-03-09T00:00:00"/>
    <d v="2021-03-09T00:00:00"/>
    <n v="0"/>
    <n v="88.44"/>
    <n v="1061.28"/>
    <n v="6000"/>
    <s v="A"/>
    <n v="6000"/>
    <n v="0.5"/>
    <s v="Minor Loss"/>
    <n v="6"/>
    <n v="58"/>
    <n v="1"/>
    <n v="5"/>
    <s v="L"/>
    <x v="2"/>
    <x v="5"/>
    <s v="Rent"/>
    <n v="1"/>
    <n v="1"/>
    <n v="530.64"/>
    <n v="387.36719999999997"/>
    <n v="-5612.6328000000003"/>
  </r>
  <r>
    <s v="TXN00007165"/>
    <s v="A00000871"/>
    <s v="PLC00000794"/>
    <d v="2013-02-25T00:00:00"/>
    <d v="2021-03-02T00:00:00"/>
    <d v="2021-03-05T00:00:00"/>
    <n v="3"/>
    <n v="87.59"/>
    <n v="1051.08"/>
    <n v="4000"/>
    <s v="A"/>
    <n v="4000"/>
    <n v="3.83"/>
    <s v="Minor Loss"/>
    <n v="46"/>
    <n v="39"/>
    <n v="0"/>
    <n v="7"/>
    <s v="M"/>
    <x v="2"/>
    <x v="1"/>
    <s v="Rent"/>
    <n v="1"/>
    <n v="0"/>
    <n v="4025.6363999999999"/>
    <n v="2938.7145719999999"/>
    <n v="-1061.2854280000001"/>
  </r>
  <r>
    <s v="TXN00007177"/>
    <s v="A00006813"/>
    <s v="PLC00007280"/>
    <d v="2012-03-03T00:00:00"/>
    <d v="2021-02-20T00:00:00"/>
    <d v="2021-02-25T00:00:00"/>
    <n v="5"/>
    <n v="132.44"/>
    <n v="1589.28"/>
    <n v="5000"/>
    <s v="D"/>
    <n v="0"/>
    <n v="9"/>
    <s v="Major Loss"/>
    <n v="108"/>
    <n v="41"/>
    <n v="1"/>
    <n v="7"/>
    <s v="H"/>
    <x v="2"/>
    <x v="0"/>
    <s v="Mortgage"/>
    <n v="1"/>
    <n v="1"/>
    <n v="14303.52"/>
    <n v="10441.569600000001"/>
    <n v="10441.569600000001"/>
  </r>
  <r>
    <s v="TXN00007179"/>
    <s v="A00003108"/>
    <s v="PLC00009447"/>
    <d v="2013-10-17T00:00:00"/>
    <d v="2021-03-07T00:00:00"/>
    <d v="2021-03-08T00:00:00"/>
    <n v="1"/>
    <n v="75.36"/>
    <n v="904.32"/>
    <n v="1000"/>
    <s v="A"/>
    <n v="1000"/>
    <n v="2.08"/>
    <s v="Minor Loss"/>
    <n v="25"/>
    <n v="35"/>
    <n v="1"/>
    <n v="3"/>
    <s v="H"/>
    <x v="0"/>
    <x v="0"/>
    <s v="Rent"/>
    <n v="1"/>
    <n v="1"/>
    <n v="1880.9856000000002"/>
    <n v="1373.119488"/>
    <n v="373.11948800000005"/>
  </r>
  <r>
    <s v="TXN00007182"/>
    <s v="A00004005"/>
    <s v="PLC00005829"/>
    <d v="2014-08-24T00:00:00"/>
    <d v="2021-02-21T00:00:00"/>
    <d v="2021-02-26T00:00:00"/>
    <n v="5"/>
    <n v="135.01"/>
    <n v="1620.12"/>
    <n v="5000"/>
    <s v="A"/>
    <n v="5000"/>
    <n v="9.17"/>
    <s v="Major Loss"/>
    <n v="110"/>
    <n v="38"/>
    <n v="1"/>
    <n v="7"/>
    <s v="M"/>
    <x v="0"/>
    <x v="3"/>
    <s v="Rent"/>
    <n v="1"/>
    <n v="1"/>
    <n v="14856.500399999999"/>
    <n v="10845.245292"/>
    <n v="5845.2452919999996"/>
  </r>
  <r>
    <s v="TXN00007186"/>
    <s v="A00006303"/>
    <s v="PLC00004757"/>
    <d v="2016-02-06T00:00:00"/>
    <d v="2021-02-27T00:00:00"/>
    <d v="2021-03-04T00:00:00"/>
    <n v="5"/>
    <n v="114.22"/>
    <n v="1370.64"/>
    <n v="6000"/>
    <s v="A"/>
    <n v="6000"/>
    <n v="4"/>
    <s v="Minor Loss"/>
    <n v="48"/>
    <n v="37"/>
    <n v="1"/>
    <n v="6"/>
    <s v="H"/>
    <x v="2"/>
    <x v="3"/>
    <s v="Own"/>
    <n v="1"/>
    <n v="1"/>
    <n v="5482.56"/>
    <n v="4002.2688000000003"/>
    <n v="-1997.7311999999997"/>
  </r>
  <r>
    <s v="TXN00007187"/>
    <s v="A00001667"/>
    <s v="PLC00004365"/>
    <d v="2010-09-17T00:00:00"/>
    <d v="2021-03-01T00:00:00"/>
    <d v="2021-03-04T00:00:00"/>
    <n v="3"/>
    <n v="139"/>
    <n v="1668"/>
    <n v="9000"/>
    <s v="A"/>
    <n v="9000"/>
    <n v="8.17"/>
    <s v="Minor Loss"/>
    <n v="98"/>
    <n v="38"/>
    <n v="1"/>
    <n v="4"/>
    <s v="L"/>
    <x v="2"/>
    <x v="1"/>
    <s v="Rent"/>
    <n v="0"/>
    <n v="0"/>
    <n v="13627.56"/>
    <n v="9948.1188000000002"/>
    <n v="948.11880000000019"/>
  </r>
  <r>
    <s v="TXN00007203"/>
    <s v="A00006542"/>
    <s v="PLC00000549"/>
    <d v="2017-03-08T00:00:00"/>
    <d v="2021-02-27T00:00:00"/>
    <d v="2021-03-04T00:00:00"/>
    <n v="5"/>
    <n v="114.72"/>
    <n v="1376.64"/>
    <n v="6000"/>
    <s v="A"/>
    <n v="6000"/>
    <n v="1.25"/>
    <s v="Minor Loss"/>
    <n v="15"/>
    <n v="53"/>
    <n v="0"/>
    <n v="3"/>
    <s v="L"/>
    <x v="0"/>
    <x v="3"/>
    <s v="Mortgage"/>
    <n v="1"/>
    <n v="1"/>
    <n v="1720.8000000000002"/>
    <n v="1256.1840000000002"/>
    <n v="-4743.8159999999998"/>
  </r>
  <r>
    <s v="TXN00007220"/>
    <s v="A00006588"/>
    <s v="PLC00003224"/>
    <d v="2014-05-09T00:00:00"/>
    <d v="2021-03-08T00:00:00"/>
    <d v="2021-03-09T00:00:00"/>
    <n v="1"/>
    <n v="139.1"/>
    <n v="1669.2"/>
    <n v="4000"/>
    <s v="D"/>
    <n v="0"/>
    <n v="1.33"/>
    <s v="Major Loss"/>
    <n v="16"/>
    <n v="31"/>
    <n v="0"/>
    <n v="3"/>
    <s v="L"/>
    <x v="0"/>
    <x v="1"/>
    <s v="Mortgage"/>
    <n v="0"/>
    <n v="1"/>
    <n v="2220.0360000000001"/>
    <n v="1620.62628"/>
    <n v="1620.62628"/>
  </r>
  <r>
    <s v="TXN00007223"/>
    <s v="A00003940"/>
    <s v="PLC00000690"/>
    <d v="2011-10-10T00:00:00"/>
    <d v="2021-02-24T00:00:00"/>
    <d v="2021-03-01T00:00:00"/>
    <n v="5"/>
    <n v="89.53"/>
    <n v="1074.3599999999999"/>
    <n v="4000"/>
    <s v="A"/>
    <n v="4000"/>
    <n v="7.75"/>
    <s v="Major Loss"/>
    <n v="93"/>
    <n v="26"/>
    <n v="1"/>
    <n v="4"/>
    <s v="L"/>
    <x v="2"/>
    <x v="1"/>
    <s v="Rent"/>
    <n v="1"/>
    <n v="1"/>
    <n v="8326.2899999999991"/>
    <n v="6078.1916999999994"/>
    <n v="2078.1916999999994"/>
  </r>
  <r>
    <s v="TXN00007224"/>
    <s v="A00001417"/>
    <s v="PLC00003227"/>
    <d v="2016-03-09T00:00:00"/>
    <d v="2021-02-21T00:00:00"/>
    <d v="2021-02-26T00:00:00"/>
    <n v="5"/>
    <n v="105.72"/>
    <n v="1268.6400000000001"/>
    <n v="10000"/>
    <s v="A"/>
    <n v="10000"/>
    <n v="2.92"/>
    <s v="Minor Loss"/>
    <n v="35"/>
    <n v="60"/>
    <n v="1"/>
    <n v="2"/>
    <s v="M"/>
    <x v="0"/>
    <x v="3"/>
    <s v="Mortgage"/>
    <n v="0"/>
    <n v="1"/>
    <n v="3704.4288000000001"/>
    <n v="2704.2330240000001"/>
    <n v="-7295.7669759999999"/>
  </r>
  <r>
    <s v="TXN00007233"/>
    <s v="A00001561"/>
    <s v="PLC00003670"/>
    <d v="2015-11-18T00:00:00"/>
    <d v="2021-03-06T00:00:00"/>
    <d v="2021-03-08T00:00:00"/>
    <n v="2"/>
    <n v="74.2"/>
    <n v="890.4"/>
    <n v="9000"/>
    <s v="A"/>
    <n v="9000"/>
    <n v="2.67"/>
    <s v="Total Loss"/>
    <n v="32"/>
    <n v="35"/>
    <n v="0"/>
    <n v="6"/>
    <s v="M"/>
    <x v="0"/>
    <x v="1"/>
    <s v="Rent"/>
    <n v="1"/>
    <n v="1"/>
    <n v="2377.3679999999999"/>
    <n v="1735.4786399999998"/>
    <n v="-7264.5213600000006"/>
  </r>
  <r>
    <s v="TXN00007234"/>
    <s v="A00002794"/>
    <s v="PLC00003523"/>
    <d v="2012-08-21T00:00:00"/>
    <d v="2021-03-12T00:00:00"/>
    <d v="2021-03-12T00:00:00"/>
    <n v="0"/>
    <n v="115.48"/>
    <n v="1385.76"/>
    <n v="10000"/>
    <s v="A"/>
    <n v="10000"/>
    <n v="8.25"/>
    <s v="Minor Loss"/>
    <n v="99"/>
    <n v="63"/>
    <n v="0"/>
    <n v="2"/>
    <s v="L"/>
    <x v="0"/>
    <x v="0"/>
    <s v="Rent"/>
    <n v="1"/>
    <n v="0"/>
    <n v="11432.52"/>
    <n v="8345.7396000000008"/>
    <n v="-1654.2603999999992"/>
  </r>
  <r>
    <s v="TXN00007235"/>
    <s v="A00009812"/>
    <s v="PLC00009060"/>
    <d v="2012-11-01T00:00:00"/>
    <d v="2021-03-05T00:00:00"/>
    <d v="2021-03-08T00:00:00"/>
    <n v="3"/>
    <n v="117.57"/>
    <n v="1410.84"/>
    <n v="4000"/>
    <s v="A"/>
    <n v="4000"/>
    <n v="2.83"/>
    <s v="Minor Loss"/>
    <n v="34"/>
    <n v="51"/>
    <n v="0"/>
    <n v="6"/>
    <s v="L"/>
    <x v="0"/>
    <x v="3"/>
    <s v="Mortgage"/>
    <n v="1"/>
    <n v="0"/>
    <n v="3992.6772000000001"/>
    <n v="2914.654356"/>
    <n v="-1085.345644"/>
  </r>
  <r>
    <s v="TXN00007240"/>
    <s v="A00009152"/>
    <s v="PLC00008308"/>
    <d v="2011-10-05T00:00:00"/>
    <d v="2021-02-22T00:00:00"/>
    <d v="2021-02-27T00:00:00"/>
    <n v="5"/>
    <n v="124.45"/>
    <n v="1493.4"/>
    <n v="4000"/>
    <s v="A"/>
    <n v="4000"/>
    <n v="6.58"/>
    <s v="Minor Loss"/>
    <n v="79"/>
    <n v="43"/>
    <n v="1"/>
    <n v="7"/>
    <s v="L"/>
    <x v="0"/>
    <x v="0"/>
    <s v="Rent"/>
    <n v="1"/>
    <n v="0"/>
    <n v="9826.5720000000001"/>
    <n v="7173.3975600000003"/>
    <n v="3173.3975600000003"/>
  </r>
  <r>
    <s v="TXN00007242"/>
    <s v="A00001858"/>
    <s v="PLC00008753"/>
    <d v="2015-01-25T00:00:00"/>
    <d v="2021-03-02T00:00:00"/>
    <d v="2021-03-07T00:00:00"/>
    <n v="5"/>
    <n v="127.47"/>
    <n v="1529.64"/>
    <n v="7000"/>
    <s v="A"/>
    <n v="7000"/>
    <n v="2.25"/>
    <s v="Major Loss"/>
    <n v="27"/>
    <n v="35"/>
    <n v="1"/>
    <n v="4"/>
    <s v="L"/>
    <x v="0"/>
    <x v="5"/>
    <s v="Mortgage"/>
    <n v="1"/>
    <n v="0"/>
    <n v="3441.69"/>
    <n v="2512.4337"/>
    <n v="-4487.5663000000004"/>
  </r>
  <r>
    <s v="TXN00007245"/>
    <s v="A00007833"/>
    <s v="PLC00001278"/>
    <d v="2010-12-12T00:00:00"/>
    <d v="2021-03-05T00:00:00"/>
    <d v="2021-03-08T00:00:00"/>
    <n v="3"/>
    <n v="71.290000000000006"/>
    <n v="855.48"/>
    <n v="9000"/>
    <s v="A"/>
    <n v="9000"/>
    <n v="1.17"/>
    <s v="Total Loss"/>
    <n v="14"/>
    <n v="26"/>
    <n v="1"/>
    <n v="2"/>
    <s v="M"/>
    <x v="0"/>
    <x v="1"/>
    <s v="Mortgage"/>
    <n v="0"/>
    <n v="1"/>
    <n v="1000.9115999999999"/>
    <n v="730.66546799999992"/>
    <n v="-8269.3345320000008"/>
  </r>
  <r>
    <s v="TXN00007247"/>
    <s v="A00006201"/>
    <s v="PLC00008481"/>
    <d v="2016-03-19T00:00:00"/>
    <d v="2021-02-23T00:00:00"/>
    <d v="2021-02-28T00:00:00"/>
    <n v="5"/>
    <n v="101.56"/>
    <n v="1218.72"/>
    <n v="7000"/>
    <s v="A"/>
    <n v="7000"/>
    <n v="0.75"/>
    <s v="Total Loss"/>
    <n v="9"/>
    <n v="58"/>
    <n v="1"/>
    <n v="4"/>
    <s v="M"/>
    <x v="0"/>
    <x v="1"/>
    <s v="Mortgage"/>
    <n v="1"/>
    <n v="1"/>
    <n v="914.04"/>
    <n v="667.24919999999997"/>
    <n v="-6332.7507999999998"/>
  </r>
  <r>
    <s v="TXN00007251"/>
    <s v="A00009802"/>
    <s v="PLC00005431"/>
    <d v="2016-09-10T00:00:00"/>
    <d v="2021-03-02T00:00:00"/>
    <d v="2021-03-07T00:00:00"/>
    <n v="5"/>
    <n v="129.41"/>
    <n v="1552.92"/>
    <n v="6000"/>
    <s v="A"/>
    <n v="6000"/>
    <n v="4"/>
    <s v="Major Loss"/>
    <n v="48"/>
    <n v="63"/>
    <n v="0"/>
    <n v="3"/>
    <s v="M"/>
    <x v="0"/>
    <x v="3"/>
    <s v="Mortgage"/>
    <n v="0"/>
    <n v="1"/>
    <n v="6211.68"/>
    <n v="4534.5263999999997"/>
    <n v="-1465.4736000000003"/>
  </r>
  <r>
    <s v="TXN00007253"/>
    <s v="A00005445"/>
    <s v="PLC00007028"/>
    <d v="2014-08-09T00:00:00"/>
    <d v="2021-03-13T00:00:00"/>
    <d v="2021-03-13T00:00:00"/>
    <n v="0"/>
    <n v="116.24"/>
    <n v="1394.88"/>
    <n v="10000"/>
    <s v="D"/>
    <n v="0"/>
    <n v="7.58"/>
    <s v="Minor Loss"/>
    <n v="91"/>
    <n v="53"/>
    <n v="1"/>
    <n v="6"/>
    <s v="L"/>
    <x v="1"/>
    <x v="1"/>
    <s v="Mortgage"/>
    <n v="1"/>
    <n v="1"/>
    <n v="10573.190400000001"/>
    <n v="7718.428992000001"/>
    <n v="7718.428992000001"/>
  </r>
  <r>
    <s v="TXN00007256"/>
    <s v="A00007225"/>
    <s v="PLC00009194"/>
    <d v="2016-02-13T00:00:00"/>
    <d v="2021-03-09T00:00:00"/>
    <d v="2021-03-10T00:00:00"/>
    <n v="1"/>
    <n v="97.85"/>
    <n v="1174.2"/>
    <n v="8000"/>
    <s v="A"/>
    <n v="8000"/>
    <n v="9.08"/>
    <s v="Total Loss"/>
    <n v="109"/>
    <n v="30"/>
    <n v="0"/>
    <n v="2"/>
    <s v="H"/>
    <x v="0"/>
    <x v="0"/>
    <s v="Rent"/>
    <n v="1"/>
    <n v="1"/>
    <n v="10661.736000000001"/>
    <n v="7783.0672800000002"/>
    <n v="-216.93271999999979"/>
  </r>
  <r>
    <s v="TXN00007278"/>
    <s v="A00009550"/>
    <s v="PLC00007186"/>
    <d v="2017-11-09T00:00:00"/>
    <d v="2021-02-24T00:00:00"/>
    <d v="2021-03-01T00:00:00"/>
    <n v="5"/>
    <n v="77.33"/>
    <n v="927.96"/>
    <n v="6000"/>
    <s v="A"/>
    <n v="6000"/>
    <n v="3.75"/>
    <s v="Total Loss"/>
    <n v="45"/>
    <n v="55"/>
    <n v="0"/>
    <n v="3"/>
    <s v="M"/>
    <x v="2"/>
    <x v="1"/>
    <s v="Rent"/>
    <n v="1"/>
    <n v="1"/>
    <n v="3479.8500000000004"/>
    <n v="2540.2905000000001"/>
    <n v="-3459.7094999999999"/>
  </r>
  <r>
    <s v="TXN00007288"/>
    <s v="A00007103"/>
    <s v="PLC00001581"/>
    <d v="2018-07-19T00:00:00"/>
    <d v="2021-03-07T00:00:00"/>
    <d v="2021-03-10T00:00:00"/>
    <n v="3"/>
    <n v="117.1"/>
    <n v="1405.2"/>
    <n v="6000"/>
    <s v="A"/>
    <n v="6000"/>
    <n v="1.25"/>
    <s v="Minor Loss"/>
    <n v="15"/>
    <n v="35"/>
    <n v="0"/>
    <n v="3"/>
    <s v="M"/>
    <x v="2"/>
    <x v="1"/>
    <s v="Rent"/>
    <n v="0"/>
    <n v="1"/>
    <n v="1756.5"/>
    <n v="1282.2449999999999"/>
    <n v="-4717.7550000000001"/>
  </r>
  <r>
    <s v="TXN00007295"/>
    <s v="A00003808"/>
    <s v="PLC00007848"/>
    <d v="2017-05-20T00:00:00"/>
    <d v="2021-03-15T00:00:00"/>
    <d v="2021-03-15T00:00:00"/>
    <n v="0"/>
    <n v="123.65"/>
    <n v="1483.8"/>
    <n v="1000"/>
    <s v="A"/>
    <n v="1000"/>
    <n v="6.5"/>
    <s v="Minor Loss"/>
    <n v="78"/>
    <n v="35"/>
    <n v="0"/>
    <n v="4"/>
    <s v="H"/>
    <x v="2"/>
    <x v="1"/>
    <s v="Mortgage"/>
    <n v="1"/>
    <n v="1"/>
    <n v="9644.6999999999989"/>
    <n v="7040.6309999999994"/>
    <n v="6040.6309999999994"/>
  </r>
  <r>
    <s v="TXN00007311"/>
    <s v="A00000750"/>
    <s v="PLC00007660"/>
    <d v="2019-09-20T00:00:00"/>
    <d v="2021-03-15T00:00:00"/>
    <d v="2021-03-15T00:00:00"/>
    <n v="0"/>
    <n v="104.92"/>
    <n v="1259.04"/>
    <n v="3000"/>
    <s v="A"/>
    <n v="3000"/>
    <n v="1.5"/>
    <s v="Total Loss"/>
    <n v="18"/>
    <n v="38"/>
    <n v="0"/>
    <n v="6"/>
    <s v="L"/>
    <x v="0"/>
    <x v="1"/>
    <s v="Own"/>
    <n v="1"/>
    <n v="1"/>
    <n v="1888.56"/>
    <n v="1378.6487999999999"/>
    <n v="-1621.3512000000001"/>
  </r>
  <r>
    <s v="TXN00007312"/>
    <s v="A00002777"/>
    <s v="PLC00008624"/>
    <d v="2019-11-22T00:00:00"/>
    <d v="2021-02-25T00:00:00"/>
    <d v="2021-03-02T00:00:00"/>
    <n v="5"/>
    <n v="85.13"/>
    <n v="1021.56"/>
    <n v="2000"/>
    <s v="A"/>
    <n v="2000"/>
    <n v="4"/>
    <s v="Minor Loss"/>
    <n v="48"/>
    <n v="31"/>
    <n v="0"/>
    <n v="7"/>
    <s v="L"/>
    <x v="0"/>
    <x v="4"/>
    <s v="Mortgage"/>
    <n v="1"/>
    <n v="0"/>
    <n v="4086.24"/>
    <n v="2982.9551999999999"/>
    <n v="982.95519999999988"/>
  </r>
  <r>
    <s v="TXN00007315"/>
    <s v="A00009948"/>
    <s v="PLC00002481"/>
    <d v="2015-11-27T00:00:00"/>
    <d v="2021-02-26T00:00:00"/>
    <d v="2021-03-03T00:00:00"/>
    <n v="5"/>
    <n v="99.76"/>
    <n v="1197.1199999999999"/>
    <n v="10000"/>
    <s v="A"/>
    <n v="10000"/>
    <n v="3.08"/>
    <s v="Total Loss"/>
    <n v="37"/>
    <n v="30"/>
    <n v="1"/>
    <n v="3"/>
    <s v="L"/>
    <x v="1"/>
    <x v="4"/>
    <s v="Mortgage"/>
    <n v="1"/>
    <n v="1"/>
    <n v="3687.1295999999998"/>
    <n v="2691.6046079999996"/>
    <n v="-7308.3953920000004"/>
  </r>
  <r>
    <s v="TXN00007318"/>
    <s v="A00005293"/>
    <s v="PLC00005063"/>
    <d v="2019-05-19T00:00:00"/>
    <d v="2021-02-27T00:00:00"/>
    <d v="2021-03-04T00:00:00"/>
    <n v="5"/>
    <n v="103.34"/>
    <n v="1240.08"/>
    <n v="6000"/>
    <s v="A"/>
    <n v="6000"/>
    <n v="5.58"/>
    <s v="Minor Loss"/>
    <n v="67"/>
    <n v="50"/>
    <n v="0"/>
    <n v="3"/>
    <s v="H"/>
    <x v="0"/>
    <x v="6"/>
    <s v="Rent"/>
    <n v="0"/>
    <n v="0"/>
    <n v="6919.6463999999996"/>
    <n v="5051.341872"/>
    <n v="-948.65812800000003"/>
  </r>
  <r>
    <s v="TXN00007319"/>
    <s v="A00000882"/>
    <s v="PLC00009809"/>
    <d v="2011-09-27T00:00:00"/>
    <d v="2021-03-14T00:00:00"/>
    <d v="2021-03-14T00:00:00"/>
    <n v="0"/>
    <n v="87.65"/>
    <n v="1051.8"/>
    <n v="6000"/>
    <s v="A"/>
    <n v="6000"/>
    <n v="1.92"/>
    <s v="Total Loss"/>
    <n v="23"/>
    <n v="56"/>
    <n v="1"/>
    <n v="4"/>
    <s v="M"/>
    <x v="0"/>
    <x v="3"/>
    <s v="Rent"/>
    <n v="0"/>
    <n v="1"/>
    <n v="2019.4559999999999"/>
    <n v="1474.2028799999998"/>
    <n v="-4525.7971200000002"/>
  </r>
  <r>
    <s v="TXN00007320"/>
    <s v="A00005158"/>
    <s v="PLC00000189"/>
    <d v="2013-08-24T00:00:00"/>
    <d v="2021-03-04T00:00:00"/>
    <d v="2021-03-09T00:00:00"/>
    <n v="5"/>
    <n v="135.99"/>
    <n v="1631.88"/>
    <n v="7000"/>
    <s v="A"/>
    <n v="7000"/>
    <n v="6.67"/>
    <s v="Total Loss"/>
    <n v="80"/>
    <n v="46"/>
    <n v="0"/>
    <n v="6"/>
    <s v="M"/>
    <x v="0"/>
    <x v="0"/>
    <s v="Rent"/>
    <n v="1"/>
    <n v="1"/>
    <n v="10884.6396"/>
    <n v="7945.786908"/>
    <n v="945.78690800000004"/>
  </r>
  <r>
    <s v="TXN00007325"/>
    <s v="A00001416"/>
    <s v="PLC00001418"/>
    <d v="2013-04-23T00:00:00"/>
    <d v="2021-03-10T00:00:00"/>
    <d v="2021-03-12T00:00:00"/>
    <n v="2"/>
    <n v="120.8"/>
    <n v="1449.6"/>
    <n v="9000"/>
    <s v="A"/>
    <n v="9000"/>
    <n v="2.5"/>
    <s v="Total Loss"/>
    <n v="30"/>
    <n v="55"/>
    <n v="1"/>
    <n v="7"/>
    <s v="M"/>
    <x v="2"/>
    <x v="0"/>
    <s v="Rent"/>
    <n v="1"/>
    <n v="1"/>
    <n v="3624"/>
    <n v="2645.52"/>
    <n v="-6354.48"/>
  </r>
  <r>
    <s v="TXN00007328"/>
    <s v="A00008047"/>
    <s v="PLC00004163"/>
    <d v="2015-02-18T00:00:00"/>
    <d v="2021-03-11T00:00:00"/>
    <d v="2021-03-13T00:00:00"/>
    <n v="2"/>
    <n v="124.01"/>
    <n v="1488.12"/>
    <n v="2000"/>
    <s v="A"/>
    <n v="2000"/>
    <n v="5.67"/>
    <s v="Minor Loss"/>
    <n v="68"/>
    <n v="62"/>
    <n v="1"/>
    <n v="5"/>
    <s v="M"/>
    <x v="0"/>
    <x v="0"/>
    <s v="Rent"/>
    <n v="0"/>
    <n v="1"/>
    <n v="8437.6403999999984"/>
    <n v="6159.4774919999991"/>
    <n v="4159.4774919999991"/>
  </r>
  <r>
    <s v="TXN00007340"/>
    <s v="A00005664"/>
    <s v="PLC00005645"/>
    <d v="2012-10-20T00:00:00"/>
    <d v="2021-03-09T00:00:00"/>
    <d v="2021-03-12T00:00:00"/>
    <n v="3"/>
    <n v="111.49"/>
    <n v="1337.88"/>
    <n v="2000"/>
    <s v="A"/>
    <n v="2000"/>
    <n v="6.58"/>
    <s v="Minor Loss"/>
    <n v="79"/>
    <n v="63"/>
    <n v="1"/>
    <n v="2"/>
    <s v="M"/>
    <x v="2"/>
    <x v="5"/>
    <s v="Mortgage"/>
    <n v="1"/>
    <n v="1"/>
    <n v="8803.2504000000008"/>
    <n v="6426.3727920000001"/>
    <n v="4426.3727920000001"/>
  </r>
  <r>
    <s v="TXN00007349"/>
    <s v="A00001309"/>
    <s v="PLC00006550"/>
    <d v="2013-04-15T00:00:00"/>
    <d v="2021-03-07T00:00:00"/>
    <d v="2021-03-12T00:00:00"/>
    <n v="5"/>
    <n v="104.62"/>
    <n v="1255.44"/>
    <n v="6000"/>
    <s v="A"/>
    <n v="6000"/>
    <n v="7.17"/>
    <s v="Total Loss"/>
    <n v="86"/>
    <n v="63"/>
    <n v="1"/>
    <n v="4"/>
    <s v="L"/>
    <x v="0"/>
    <x v="1"/>
    <s v="Own"/>
    <n v="0"/>
    <n v="1"/>
    <n v="9001.5048000000006"/>
    <n v="6571.0985040000005"/>
    <n v="571.0985040000005"/>
  </r>
  <r>
    <s v="TXN00007363"/>
    <s v="A00003305"/>
    <s v="PLC00005737"/>
    <d v="2015-10-09T00:00:00"/>
    <d v="2021-03-06T00:00:00"/>
    <d v="2021-03-11T00:00:00"/>
    <n v="5"/>
    <n v="91.88"/>
    <n v="1102.56"/>
    <n v="9000"/>
    <s v="A"/>
    <n v="9000"/>
    <n v="4"/>
    <s v="Total Loss"/>
    <n v="48"/>
    <n v="60"/>
    <n v="0"/>
    <n v="5"/>
    <s v="L"/>
    <x v="1"/>
    <x v="0"/>
    <s v="Own"/>
    <n v="0"/>
    <n v="1"/>
    <n v="4410.24"/>
    <n v="3219.4751999999999"/>
    <n v="-5780.5248000000001"/>
  </r>
  <r>
    <s v="TXN00007366"/>
    <s v="A00007540"/>
    <s v="PLC00006913"/>
    <d v="2014-01-09T00:00:00"/>
    <d v="2021-02-28T00:00:00"/>
    <d v="2021-03-05T00:00:00"/>
    <n v="5"/>
    <n v="112.6"/>
    <n v="1351.2"/>
    <n v="9000"/>
    <s v="A"/>
    <n v="9000"/>
    <n v="3.83"/>
    <s v="Major Loss"/>
    <n v="46"/>
    <n v="48"/>
    <n v="1"/>
    <n v="2"/>
    <s v="M"/>
    <x v="1"/>
    <x v="1"/>
    <s v="Mortgage"/>
    <n v="1"/>
    <n v="0"/>
    <n v="5175.0960000000005"/>
    <n v="3777.8200800000004"/>
    <n v="-5222.1799199999996"/>
  </r>
  <r>
    <s v="TXN00007369"/>
    <s v="A00009505"/>
    <s v="PLC00000437"/>
    <d v="2013-06-28T00:00:00"/>
    <d v="2021-02-28T00:00:00"/>
    <d v="2021-03-05T00:00:00"/>
    <n v="5"/>
    <n v="110"/>
    <n v="1320"/>
    <n v="2000"/>
    <s v="A"/>
    <n v="2000"/>
    <n v="7.67"/>
    <s v="Major Loss"/>
    <n v="92"/>
    <n v="45"/>
    <n v="0"/>
    <n v="5"/>
    <s v="M"/>
    <x v="1"/>
    <x v="4"/>
    <s v="Mortgage"/>
    <n v="1"/>
    <n v="1"/>
    <n v="10124.4"/>
    <n v="7390.8119999999999"/>
    <n v="5390.8119999999999"/>
  </r>
  <r>
    <s v="TXN00007372"/>
    <s v="A00001647"/>
    <s v="PLC00003585"/>
    <d v="2013-03-17T00:00:00"/>
    <d v="2021-03-06T00:00:00"/>
    <d v="2021-03-11T00:00:00"/>
    <n v="5"/>
    <n v="85.14"/>
    <n v="1021.68"/>
    <n v="3000"/>
    <s v="A"/>
    <n v="3000"/>
    <n v="7.33"/>
    <s v="Total Loss"/>
    <n v="88"/>
    <n v="31"/>
    <n v="0"/>
    <n v="3"/>
    <s v="L"/>
    <x v="2"/>
    <x v="0"/>
    <s v="Own"/>
    <n v="0"/>
    <n v="1"/>
    <n v="7488.9143999999997"/>
    <n v="5466.9075119999998"/>
    <n v="2466.9075119999998"/>
  </r>
  <r>
    <s v="TXN00007374"/>
    <s v="A00008296"/>
    <s v="PLC00007097"/>
    <d v="2014-05-27T00:00:00"/>
    <d v="2021-03-14T00:00:00"/>
    <d v="2021-03-15T00:00:00"/>
    <n v="1"/>
    <n v="90.75"/>
    <n v="1089"/>
    <n v="2000"/>
    <s v="A"/>
    <n v="2000"/>
    <n v="8.67"/>
    <s v="Total Loss"/>
    <n v="104"/>
    <n v="58"/>
    <n v="1"/>
    <n v="4"/>
    <s v="L"/>
    <x v="0"/>
    <x v="0"/>
    <s v="Own"/>
    <n v="1"/>
    <n v="1"/>
    <n v="9441.6299999999992"/>
    <n v="6892.3898999999992"/>
    <n v="4892.3898999999992"/>
  </r>
  <r>
    <s v="TXN00007376"/>
    <s v="A00001275"/>
    <s v="PLC00003586"/>
    <d v="2018-12-13T00:00:00"/>
    <d v="2021-02-28T00:00:00"/>
    <d v="2021-03-05T00:00:00"/>
    <n v="5"/>
    <n v="117.46"/>
    <n v="1409.52"/>
    <n v="9000"/>
    <s v="A"/>
    <n v="9000"/>
    <n v="2.58"/>
    <s v="Minor Loss"/>
    <n v="31"/>
    <n v="42"/>
    <n v="1"/>
    <n v="5"/>
    <s v="L"/>
    <x v="1"/>
    <x v="1"/>
    <s v="Mortgage"/>
    <n v="1"/>
    <n v="0"/>
    <n v="3636.5616"/>
    <n v="2654.6899680000001"/>
    <n v="-6345.3100319999994"/>
  </r>
  <r>
    <s v="TXN00007393"/>
    <s v="A00003651"/>
    <s v="PLC00005783"/>
    <d v="2014-07-10T00:00:00"/>
    <d v="2021-03-16T00:00:00"/>
    <d v="2021-03-17T00:00:00"/>
    <n v="1"/>
    <n v="101.26"/>
    <n v="1215.1199999999999"/>
    <n v="9000"/>
    <s v="A"/>
    <n v="9000"/>
    <n v="2.08"/>
    <s v="Minor Loss"/>
    <n v="25"/>
    <n v="33"/>
    <n v="1"/>
    <n v="3"/>
    <s v="M"/>
    <x v="2"/>
    <x v="0"/>
    <s v="Mortgage"/>
    <n v="1"/>
    <n v="0"/>
    <n v="2527.4495999999999"/>
    <n v="1845.0382079999999"/>
    <n v="-7154.9617920000001"/>
  </r>
  <r>
    <s v="TXN00007396"/>
    <s v="A00002110"/>
    <s v="PLC00003327"/>
    <d v="2017-11-18T00:00:00"/>
    <d v="2021-03-13T00:00:00"/>
    <d v="2021-03-15T00:00:00"/>
    <n v="2"/>
    <n v="81.7"/>
    <n v="980.4"/>
    <n v="7000"/>
    <s v="A"/>
    <n v="7000"/>
    <n v="1.33"/>
    <s v="Total Loss"/>
    <n v="16"/>
    <n v="37"/>
    <n v="0"/>
    <n v="6"/>
    <s v="H"/>
    <x v="0"/>
    <x v="1"/>
    <s v="Own"/>
    <n v="1"/>
    <n v="1"/>
    <n v="1303.932"/>
    <n v="951.87036000000001"/>
    <n v="-6048.1296400000001"/>
  </r>
  <r>
    <s v="TXN00007397"/>
    <s v="A00008663"/>
    <s v="PLC00000117"/>
    <d v="2019-12-08T00:00:00"/>
    <d v="2021-03-19T00:00:00"/>
    <d v="2021-03-19T00:00:00"/>
    <n v="0"/>
    <n v="99.9"/>
    <n v="1198.8"/>
    <n v="10000"/>
    <s v="A"/>
    <n v="10000"/>
    <n v="8.17"/>
    <s v="Total Loss"/>
    <n v="98"/>
    <n v="51"/>
    <n v="0"/>
    <n v="3"/>
    <s v="M"/>
    <x v="2"/>
    <x v="0"/>
    <s v="Mortgage"/>
    <n v="1"/>
    <n v="0"/>
    <n v="9794.1959999999999"/>
    <n v="7149.7630799999997"/>
    <n v="-2850.2369200000003"/>
  </r>
  <r>
    <s v="TXN00007401"/>
    <s v="A00001965"/>
    <s v="PLC00005723"/>
    <d v="2014-10-09T00:00:00"/>
    <d v="2021-03-03T00:00:00"/>
    <d v="2021-03-08T00:00:00"/>
    <n v="5"/>
    <n v="126.42"/>
    <n v="1517.04"/>
    <n v="9000"/>
    <s v="A"/>
    <n v="9000"/>
    <n v="3.83"/>
    <s v="Major Loss"/>
    <n v="46"/>
    <n v="46"/>
    <n v="1"/>
    <n v="7"/>
    <s v="M"/>
    <x v="1"/>
    <x v="1"/>
    <s v="Rent"/>
    <n v="0"/>
    <n v="1"/>
    <n v="5810.2632000000003"/>
    <n v="4241.4921359999998"/>
    <n v="-4758.5078640000002"/>
  </r>
  <r>
    <s v="TXN00007409"/>
    <s v="A00003285"/>
    <s v="PLC00006670"/>
    <d v="2015-01-28T00:00:00"/>
    <d v="2021-03-01T00:00:00"/>
    <d v="2021-03-06T00:00:00"/>
    <n v="5"/>
    <n v="125.53"/>
    <n v="1506.36"/>
    <n v="1000"/>
    <s v="A"/>
    <n v="1000"/>
    <n v="0.5"/>
    <s v="Minor Loss"/>
    <n v="6"/>
    <n v="62"/>
    <n v="0"/>
    <n v="6"/>
    <s v="L"/>
    <x v="0"/>
    <x v="0"/>
    <s v="Mortgage"/>
    <n v="1"/>
    <n v="1"/>
    <n v="753.18"/>
    <n v="549.82139999999993"/>
    <n v="-450.17860000000007"/>
  </r>
  <r>
    <s v="TXN00007416"/>
    <s v="A00000395"/>
    <s v="PLC00000773"/>
    <d v="2019-12-14T00:00:00"/>
    <d v="2021-03-11T00:00:00"/>
    <d v="2021-03-14T00:00:00"/>
    <n v="3"/>
    <n v="126.21"/>
    <n v="1514.52"/>
    <n v="9000"/>
    <s v="A"/>
    <n v="9000"/>
    <n v="0.67"/>
    <s v="Minor Loss"/>
    <n v="8"/>
    <n v="59"/>
    <n v="1"/>
    <n v="2"/>
    <s v="M"/>
    <x v="0"/>
    <x v="1"/>
    <s v="Rent"/>
    <n v="0"/>
    <n v="0"/>
    <n v="1014.7284000000001"/>
    <n v="740.75173200000006"/>
    <n v="-8259.2482679999994"/>
  </r>
  <r>
    <s v="TXN00007417"/>
    <s v="A00005964"/>
    <s v="PLC00002383"/>
    <d v="2011-01-31T00:00:00"/>
    <d v="2021-03-15T00:00:00"/>
    <d v="2021-03-17T00:00:00"/>
    <n v="2"/>
    <n v="132.6"/>
    <n v="1591.2"/>
    <n v="8000"/>
    <s v="A"/>
    <n v="8000"/>
    <n v="4.92"/>
    <s v="Minor Loss"/>
    <n v="59"/>
    <n v="53"/>
    <n v="1"/>
    <n v="4"/>
    <s v="L"/>
    <x v="0"/>
    <x v="1"/>
    <s v="Mortgage"/>
    <n v="0"/>
    <n v="1"/>
    <n v="7828.7039999999997"/>
    <n v="5714.9539199999999"/>
    <n v="-2285.0460800000001"/>
  </r>
  <r>
    <s v="TXN00007429"/>
    <s v="A00002160"/>
    <s v="PLC00008749"/>
    <d v="2016-07-09T00:00:00"/>
    <d v="2021-03-08T00:00:00"/>
    <d v="2021-03-13T00:00:00"/>
    <n v="5"/>
    <n v="109.06"/>
    <n v="1308.72"/>
    <n v="5000"/>
    <s v="A"/>
    <n v="5000"/>
    <n v="7.58"/>
    <s v="Total Loss"/>
    <n v="91"/>
    <n v="29"/>
    <n v="0"/>
    <n v="6"/>
    <s v="L"/>
    <x v="0"/>
    <x v="5"/>
    <s v="Mortgage"/>
    <n v="0"/>
    <n v="1"/>
    <n v="9920.097600000001"/>
    <n v="7241.6712480000006"/>
    <n v="2241.6712480000006"/>
  </r>
  <r>
    <s v="TXN00007435"/>
    <s v="A00009504"/>
    <s v="PLC00002659"/>
    <d v="2020-01-22T00:00:00"/>
    <d v="2021-03-11T00:00:00"/>
    <d v="2021-03-16T00:00:00"/>
    <n v="5"/>
    <n v="88.8"/>
    <n v="1065.5999999999999"/>
    <n v="4000"/>
    <s v="A"/>
    <n v="4000"/>
    <n v="4.17"/>
    <s v="Total Loss"/>
    <n v="50"/>
    <n v="47"/>
    <n v="1"/>
    <n v="3"/>
    <s v="M"/>
    <x v="0"/>
    <x v="1"/>
    <s v="Rent"/>
    <n v="1"/>
    <n v="1"/>
    <n v="4443.5519999999997"/>
    <n v="3243.7929599999998"/>
    <n v="-756.20704000000023"/>
  </r>
  <r>
    <s v="TXN00007436"/>
    <s v="A00002112"/>
    <s v="PLC00009578"/>
    <d v="2014-04-27T00:00:00"/>
    <d v="2021-03-05T00:00:00"/>
    <d v="2021-03-10T00:00:00"/>
    <n v="5"/>
    <n v="78.209999999999994"/>
    <n v="938.52"/>
    <n v="10000"/>
    <s v="A"/>
    <n v="10000"/>
    <n v="4.25"/>
    <s v="Minor Loss"/>
    <n v="51"/>
    <n v="40"/>
    <n v="0"/>
    <n v="2"/>
    <s v="M"/>
    <x v="1"/>
    <x v="0"/>
    <s v="Own"/>
    <n v="1"/>
    <n v="1"/>
    <n v="3988.71"/>
    <n v="2911.7583"/>
    <n v="-7088.2417000000005"/>
  </r>
  <r>
    <s v="TXN00007450"/>
    <s v="A00003418"/>
    <s v="PLC00003357"/>
    <d v="2019-05-12T00:00:00"/>
    <d v="2021-03-07T00:00:00"/>
    <d v="2021-03-12T00:00:00"/>
    <n v="5"/>
    <n v="109.9"/>
    <n v="1318.8"/>
    <n v="6000"/>
    <s v="A"/>
    <n v="6000"/>
    <n v="9.67"/>
    <s v="Major Loss"/>
    <n v="116"/>
    <n v="60"/>
    <n v="1"/>
    <n v="5"/>
    <s v="M"/>
    <x v="0"/>
    <x v="5"/>
    <s v="Rent"/>
    <n v="1"/>
    <n v="0"/>
    <n v="12752.796"/>
    <n v="9309.5410800000009"/>
    <n v="3309.5410800000009"/>
  </r>
  <r>
    <s v="TXN00007454"/>
    <s v="A00000525"/>
    <s v="PLC00000448"/>
    <d v="2017-07-26T00:00:00"/>
    <d v="2021-03-17T00:00:00"/>
    <d v="2021-03-19T00:00:00"/>
    <n v="2"/>
    <n v="128.33000000000001"/>
    <n v="1539.96"/>
    <n v="6000"/>
    <s v="A"/>
    <n v="6000"/>
    <n v="3.92"/>
    <s v="Total Loss"/>
    <n v="47"/>
    <n v="49"/>
    <n v="1"/>
    <n v="3"/>
    <s v="H"/>
    <x v="2"/>
    <x v="0"/>
    <s v="Rent"/>
    <n v="1"/>
    <n v="1"/>
    <n v="6036.6432000000004"/>
    <n v="4406.7495360000003"/>
    <n v="-1593.2504639999997"/>
  </r>
  <r>
    <s v="TXN00007459"/>
    <s v="A00008365"/>
    <s v="PLC00006687"/>
    <d v="2012-11-26T00:00:00"/>
    <d v="2021-03-09T00:00:00"/>
    <d v="2021-03-14T00:00:00"/>
    <n v="5"/>
    <n v="134.88"/>
    <n v="1618.56"/>
    <n v="5000"/>
    <s v="A"/>
    <n v="5000"/>
    <n v="9.83"/>
    <s v="Minor Loss"/>
    <n v="118"/>
    <n v="55"/>
    <n v="1"/>
    <n v="6"/>
    <s v="L"/>
    <x v="1"/>
    <x v="1"/>
    <s v="Mortgage"/>
    <n v="0"/>
    <n v="1"/>
    <n v="15910.444799999999"/>
    <n v="11614.624704"/>
    <n v="6614.6247039999998"/>
  </r>
  <r>
    <s v="TXN00007468"/>
    <s v="A00003087"/>
    <s v="PLC00003376"/>
    <d v="2012-04-03T00:00:00"/>
    <d v="2021-03-11T00:00:00"/>
    <d v="2021-03-16T00:00:00"/>
    <n v="5"/>
    <n v="121.51"/>
    <n v="1458.12"/>
    <n v="8000"/>
    <s v="A"/>
    <n v="8000"/>
    <n v="7.67"/>
    <s v="Minor Loss"/>
    <n v="92"/>
    <n v="64"/>
    <n v="1"/>
    <n v="2"/>
    <s v="L"/>
    <x v="1"/>
    <x v="4"/>
    <s v="Own"/>
    <n v="0"/>
    <n v="0"/>
    <n v="11183.7804"/>
    <n v="8164.1596919999993"/>
    <n v="164.15969199999927"/>
  </r>
  <r>
    <s v="TXN00007484"/>
    <s v="A00009527"/>
    <s v="PLC00002802"/>
    <d v="2011-11-21T00:00:00"/>
    <d v="2021-03-20T00:00:00"/>
    <d v="2021-03-21T00:00:00"/>
    <n v="1"/>
    <n v="118.53"/>
    <n v="1422.36"/>
    <n v="8000"/>
    <s v="D"/>
    <n v="0"/>
    <n v="5.33"/>
    <s v="Major Loss"/>
    <n v="64"/>
    <n v="51"/>
    <n v="0"/>
    <n v="4"/>
    <s v="M"/>
    <x v="1"/>
    <x v="1"/>
    <s v="Mortgage"/>
    <n v="1"/>
    <n v="1"/>
    <n v="7581.1787999999997"/>
    <n v="5534.2605239999994"/>
    <n v="5534.2605239999994"/>
  </r>
  <r>
    <s v="TXN00007491"/>
    <s v="A00009035"/>
    <s v="PLC00004806"/>
    <d v="2019-02-25T00:00:00"/>
    <d v="2021-03-12T00:00:00"/>
    <d v="2021-03-17T00:00:00"/>
    <n v="5"/>
    <n v="118.02"/>
    <n v="1416.24"/>
    <n v="1000"/>
    <s v="A"/>
    <n v="1000"/>
    <n v="3.83"/>
    <s v="Minor Loss"/>
    <n v="46"/>
    <n v="47"/>
    <n v="1"/>
    <n v="3"/>
    <s v="H"/>
    <x v="2"/>
    <x v="6"/>
    <s v="Mortgage"/>
    <n v="1"/>
    <n v="1"/>
    <n v="5424.1992"/>
    <n v="3959.6654159999998"/>
    <n v="2959.6654159999998"/>
  </r>
  <r>
    <s v="TXN00007495"/>
    <s v="A00000659"/>
    <s v="PLC00007444"/>
    <d v="2019-03-24T00:00:00"/>
    <d v="2021-03-08T00:00:00"/>
    <d v="2021-03-13T00:00:00"/>
    <n v="5"/>
    <n v="131.31"/>
    <n v="1575.72"/>
    <n v="9000"/>
    <s v="A"/>
    <n v="9000"/>
    <n v="2.67"/>
    <s v="Minor Loss"/>
    <n v="32"/>
    <n v="64"/>
    <n v="1"/>
    <n v="2"/>
    <s v="M"/>
    <x v="2"/>
    <x v="0"/>
    <s v="Own"/>
    <n v="1"/>
    <n v="0"/>
    <n v="4207.1724000000004"/>
    <n v="3071.2358520000002"/>
    <n v="-5928.7641480000002"/>
  </r>
  <r>
    <s v="TXN00007501"/>
    <s v="A00000235"/>
    <s v="PLC00002099"/>
    <d v="2014-05-26T00:00:00"/>
    <d v="2021-03-22T00:00:00"/>
    <d v="2021-03-22T00:00:00"/>
    <n v="0"/>
    <n v="124.69"/>
    <n v="1496.28"/>
    <n v="2000"/>
    <s v="A"/>
    <n v="2000"/>
    <n v="3.42"/>
    <s v="Major Loss"/>
    <n v="41"/>
    <n v="57"/>
    <n v="1"/>
    <n v="5"/>
    <s v="L"/>
    <x v="1"/>
    <x v="1"/>
    <s v="Rent"/>
    <n v="1"/>
    <n v="1"/>
    <n v="5117.2775999999994"/>
    <n v="3735.6126479999994"/>
    <n v="1735.6126479999994"/>
  </r>
  <r>
    <s v="TXN00007502"/>
    <s v="A00008678"/>
    <s v="PLC00005280"/>
    <d v="2012-02-01T00:00:00"/>
    <d v="2021-03-13T00:00:00"/>
    <d v="2021-03-18T00:00:00"/>
    <n v="5"/>
    <n v="88.31"/>
    <n v="1059.72"/>
    <n v="9000"/>
    <s v="A"/>
    <n v="9000"/>
    <n v="9"/>
    <s v="Minor Loss"/>
    <n v="108"/>
    <n v="25"/>
    <n v="1"/>
    <n v="3"/>
    <s v="M"/>
    <x v="1"/>
    <x v="2"/>
    <s v="Mortgage"/>
    <n v="1"/>
    <n v="1"/>
    <n v="9537.48"/>
    <n v="6962.3603999999996"/>
    <n v="-2037.6396000000004"/>
  </r>
  <r>
    <s v="TXN00007503"/>
    <s v="A00009526"/>
    <s v="PLC00002217"/>
    <d v="2015-01-18T00:00:00"/>
    <d v="2021-03-14T00:00:00"/>
    <d v="2021-03-19T00:00:00"/>
    <n v="5"/>
    <n v="108.63"/>
    <n v="1303.56"/>
    <n v="6000"/>
    <s v="A"/>
    <n v="6000"/>
    <n v="7.25"/>
    <s v="Major Loss"/>
    <n v="87"/>
    <n v="59"/>
    <n v="1"/>
    <n v="7"/>
    <s v="H"/>
    <x v="2"/>
    <x v="3"/>
    <s v="Own"/>
    <n v="1"/>
    <n v="0"/>
    <n v="9450.81"/>
    <n v="6899.0912999999991"/>
    <n v="899.09129999999914"/>
  </r>
  <r>
    <s v="TXN00007509"/>
    <s v="A00004146"/>
    <s v="PLC00006911"/>
    <d v="2016-02-05T00:00:00"/>
    <d v="2021-03-19T00:00:00"/>
    <d v="2021-03-21T00:00:00"/>
    <n v="2"/>
    <n v="78.84"/>
    <n v="946.08"/>
    <n v="3000"/>
    <s v="A"/>
    <n v="3000"/>
    <n v="7.25"/>
    <s v="Total Loss"/>
    <n v="87"/>
    <n v="30"/>
    <n v="0"/>
    <n v="6"/>
    <s v="M"/>
    <x v="1"/>
    <x v="3"/>
    <s v="Rent"/>
    <n v="1"/>
    <n v="0"/>
    <n v="6859.08"/>
    <n v="5007.1283999999996"/>
    <n v="2007.1283999999996"/>
  </r>
  <r>
    <s v="TXN00007529"/>
    <s v="A00007536"/>
    <s v="PLC00002459"/>
    <d v="2015-09-14T00:00:00"/>
    <d v="2021-03-07T00:00:00"/>
    <d v="2021-03-12T00:00:00"/>
    <n v="5"/>
    <n v="109.95"/>
    <n v="1319.4"/>
    <n v="8000"/>
    <s v="A"/>
    <n v="8000"/>
    <n v="5.42"/>
    <s v="Minor Loss"/>
    <n v="65"/>
    <n v="27"/>
    <n v="1"/>
    <n v="6"/>
    <s v="L"/>
    <x v="1"/>
    <x v="1"/>
    <s v="Own"/>
    <n v="1"/>
    <n v="1"/>
    <n v="7151.1480000000001"/>
    <n v="5220.3380399999996"/>
    <n v="-2779.6619600000004"/>
  </r>
  <r>
    <s v="TXN00007532"/>
    <s v="A00003587"/>
    <s v="PLC00007227"/>
    <d v="2012-04-02T00:00:00"/>
    <d v="2021-03-17T00:00:00"/>
    <d v="2021-03-20T00:00:00"/>
    <n v="3"/>
    <n v="103.2"/>
    <n v="1238.4000000000001"/>
    <n v="10000"/>
    <s v="A"/>
    <n v="10000"/>
    <n v="2.5"/>
    <s v="Total Loss"/>
    <n v="30"/>
    <n v="62"/>
    <n v="1"/>
    <n v="6"/>
    <s v="L"/>
    <x v="0"/>
    <x v="3"/>
    <s v="Own"/>
    <n v="1"/>
    <n v="1"/>
    <n v="3096"/>
    <n v="2260.08"/>
    <n v="-7739.92"/>
  </r>
  <r>
    <s v="TXN00007535"/>
    <s v="A00002323"/>
    <s v="PLC00005754"/>
    <d v="2016-02-14T00:00:00"/>
    <d v="2021-03-06T00:00:00"/>
    <d v="2021-03-11T00:00:00"/>
    <n v="5"/>
    <n v="137.29"/>
    <n v="1647.48"/>
    <n v="1000"/>
    <s v="A"/>
    <n v="1000"/>
    <n v="9.33"/>
    <s v="Minor Loss"/>
    <n v="112"/>
    <n v="48"/>
    <n v="1"/>
    <n v="3"/>
    <s v="L"/>
    <x v="2"/>
    <x v="1"/>
    <s v="Own"/>
    <n v="0"/>
    <n v="1"/>
    <n v="15370.9884"/>
    <n v="11220.821532"/>
    <n v="10220.821532"/>
  </r>
  <r>
    <s v="TXN00007545"/>
    <s v="A00002990"/>
    <s v="PLC00000941"/>
    <d v="2017-07-22T00:00:00"/>
    <d v="2021-03-25T00:00:00"/>
    <d v="2021-03-25T00:00:00"/>
    <n v="0"/>
    <n v="98.91"/>
    <n v="1186.92"/>
    <n v="7000"/>
    <s v="A"/>
    <n v="7000"/>
    <n v="4.17"/>
    <s v="Total Loss"/>
    <n v="50"/>
    <n v="58"/>
    <n v="1"/>
    <n v="2"/>
    <s v="H"/>
    <x v="2"/>
    <x v="1"/>
    <s v="Rent"/>
    <n v="1"/>
    <n v="1"/>
    <n v="4949.4564"/>
    <n v="3613.1031720000001"/>
    <n v="-3386.8968279999999"/>
  </r>
  <r>
    <s v="TXN00007546"/>
    <s v="A00001946"/>
    <s v="PLC00004776"/>
    <d v="2010-10-17T00:00:00"/>
    <d v="2021-03-21T00:00:00"/>
    <d v="2021-03-22T00:00:00"/>
    <n v="1"/>
    <n v="73.48"/>
    <n v="881.76"/>
    <n v="8000"/>
    <s v="A"/>
    <n v="8000"/>
    <n v="7.42"/>
    <s v="Major Loss"/>
    <n v="89"/>
    <n v="64"/>
    <n v="1"/>
    <n v="2"/>
    <s v="M"/>
    <x v="1"/>
    <x v="1"/>
    <s v="Mortgage"/>
    <n v="1"/>
    <n v="1"/>
    <n v="6542.6592000000001"/>
    <n v="4776.141216"/>
    <n v="-3223.858784"/>
  </r>
  <r>
    <s v="TXN00007550"/>
    <s v="A00009131"/>
    <s v="PLC00007342"/>
    <d v="2019-06-21T00:00:00"/>
    <d v="2021-03-06T00:00:00"/>
    <d v="2021-03-11T00:00:00"/>
    <n v="5"/>
    <n v="120.34"/>
    <n v="1444.08"/>
    <n v="7000"/>
    <s v="A"/>
    <n v="7000"/>
    <n v="1"/>
    <s v="Major Loss"/>
    <n v="12"/>
    <n v="31"/>
    <n v="1"/>
    <n v="6"/>
    <s v="M"/>
    <x v="1"/>
    <x v="5"/>
    <s v="Rent"/>
    <n v="0"/>
    <n v="1"/>
    <n v="1444.08"/>
    <n v="1054.1784"/>
    <n v="-5945.8216000000002"/>
  </r>
  <r>
    <s v="TXN00007568"/>
    <s v="A00005154"/>
    <s v="PLC00002587"/>
    <d v="2012-09-08T00:00:00"/>
    <d v="2021-03-10T00:00:00"/>
    <d v="2021-03-15T00:00:00"/>
    <n v="5"/>
    <n v="110.43"/>
    <n v="1325.16"/>
    <n v="7000"/>
    <s v="A"/>
    <n v="7000"/>
    <n v="9.58"/>
    <s v="Major Loss"/>
    <n v="115"/>
    <n v="37"/>
    <n v="1"/>
    <n v="2"/>
    <s v="M"/>
    <x v="2"/>
    <x v="0"/>
    <s v="Rent"/>
    <n v="1"/>
    <n v="0"/>
    <n v="12695.032800000001"/>
    <n v="9267.3739440000008"/>
    <n v="2267.3739440000008"/>
  </r>
  <r>
    <s v="TXN00007571"/>
    <s v="A00003204"/>
    <s v="PLC00006952"/>
    <d v="2013-02-16T00:00:00"/>
    <d v="2021-03-13T00:00:00"/>
    <d v="2021-03-18T00:00:00"/>
    <n v="5"/>
    <n v="82.58"/>
    <n v="990.96"/>
    <n v="10000"/>
    <s v="A"/>
    <n v="10000"/>
    <n v="0.5"/>
    <s v="Major Loss"/>
    <n v="6"/>
    <n v="55"/>
    <n v="1"/>
    <n v="7"/>
    <s v="H"/>
    <x v="0"/>
    <x v="1"/>
    <s v="Rent"/>
    <n v="1"/>
    <n v="0"/>
    <n v="495.48"/>
    <n v="361.7004"/>
    <n v="-9638.2996000000003"/>
  </r>
  <r>
    <s v="TXN00007578"/>
    <s v="A00000311"/>
    <s v="PLC00001316"/>
    <d v="2015-01-01T00:00:00"/>
    <d v="2021-03-17T00:00:00"/>
    <d v="2021-03-22T00:00:00"/>
    <n v="5"/>
    <n v="105.08"/>
    <n v="1260.96"/>
    <n v="9000"/>
    <s v="A"/>
    <n v="9000"/>
    <n v="0.83"/>
    <s v="Total Loss"/>
    <n v="10"/>
    <n v="51"/>
    <n v="1"/>
    <n v="6"/>
    <s v="H"/>
    <x v="0"/>
    <x v="3"/>
    <s v="Rent"/>
    <n v="1"/>
    <n v="1"/>
    <n v="1046.5968"/>
    <n v="764.01566400000002"/>
    <n v="-8235.9843359999995"/>
  </r>
  <r>
    <s v="TXN00007588"/>
    <s v="A00009239"/>
    <s v="PLC00005442"/>
    <d v="2017-09-07T00:00:00"/>
    <d v="2021-03-10T00:00:00"/>
    <d v="2021-03-15T00:00:00"/>
    <n v="5"/>
    <n v="109.39"/>
    <n v="1312.68"/>
    <n v="8000"/>
    <s v="A"/>
    <n v="8000"/>
    <n v="0.5"/>
    <s v="Total Loss"/>
    <n v="6"/>
    <n v="40"/>
    <n v="1"/>
    <n v="7"/>
    <s v="L"/>
    <x v="0"/>
    <x v="1"/>
    <s v="Own"/>
    <n v="1"/>
    <n v="0"/>
    <n v="656.34"/>
    <n v="479.12819999999999"/>
    <n v="-7520.8717999999999"/>
  </r>
  <r>
    <s v="TXN00007608"/>
    <s v="A00000596"/>
    <s v="PLC00004883"/>
    <d v="2019-02-19T00:00:00"/>
    <d v="2021-03-24T00:00:00"/>
    <d v="2021-03-25T00:00:00"/>
    <n v="1"/>
    <n v="121.48"/>
    <n v="1457.76"/>
    <n v="5000"/>
    <s v="A"/>
    <n v="5000"/>
    <n v="3"/>
    <s v="Minor Loss"/>
    <n v="36"/>
    <n v="37"/>
    <n v="1"/>
    <n v="2"/>
    <s v="M"/>
    <x v="1"/>
    <x v="1"/>
    <s v="Mortgage"/>
    <n v="0"/>
    <n v="1"/>
    <n v="4373.28"/>
    <n v="3192.4943999999996"/>
    <n v="-1807.5056000000004"/>
  </r>
  <r>
    <s v="TXN00007611"/>
    <s v="A00003001"/>
    <s v="PLC00008761"/>
    <d v="2016-11-10T00:00:00"/>
    <d v="2021-03-12T00:00:00"/>
    <d v="2021-03-17T00:00:00"/>
    <n v="5"/>
    <n v="87.28"/>
    <n v="1047.3599999999999"/>
    <n v="1000"/>
    <s v="A"/>
    <n v="1000"/>
    <n v="2.17"/>
    <s v="Minor Loss"/>
    <n v="26"/>
    <n v="63"/>
    <n v="1"/>
    <n v="3"/>
    <s v="M"/>
    <x v="0"/>
    <x v="1"/>
    <s v="Mortgage"/>
    <n v="0"/>
    <n v="0"/>
    <n v="2272.7711999999997"/>
    <n v="1659.1229759999997"/>
    <n v="659.12297599999965"/>
  </r>
  <r>
    <s v="TXN00007624"/>
    <s v="A00002621"/>
    <s v="PLC00007083"/>
    <d v="2011-02-25T00:00:00"/>
    <d v="2021-03-16T00:00:00"/>
    <d v="2021-03-21T00:00:00"/>
    <n v="5"/>
    <n v="135.18"/>
    <n v="1622.16"/>
    <n v="8000"/>
    <s v="A"/>
    <n v="8000"/>
    <n v="6.58"/>
    <s v="Minor Loss"/>
    <n v="79"/>
    <n v="25"/>
    <n v="0"/>
    <n v="2"/>
    <s v="L"/>
    <x v="2"/>
    <x v="0"/>
    <s v="Mortgage"/>
    <n v="1"/>
    <n v="1"/>
    <n v="10673.812800000002"/>
    <n v="7791.8833440000008"/>
    <n v="-208.11665599999924"/>
  </r>
  <r>
    <s v="TXN00007629"/>
    <s v="A00002810"/>
    <s v="PLC00003365"/>
    <d v="2014-03-10T00:00:00"/>
    <d v="2021-03-10T00:00:00"/>
    <d v="2021-03-15T00:00:00"/>
    <n v="5"/>
    <n v="108.2"/>
    <n v="1298.4000000000001"/>
    <n v="7000"/>
    <s v="A"/>
    <n v="7000"/>
    <n v="5.08"/>
    <s v="Minor Loss"/>
    <n v="61"/>
    <n v="54"/>
    <n v="1"/>
    <n v="7"/>
    <s v="M"/>
    <x v="0"/>
    <x v="4"/>
    <s v="Mortgage"/>
    <n v="1"/>
    <n v="0"/>
    <n v="6595.8720000000003"/>
    <n v="4814.9865600000003"/>
    <n v="-2185.0134399999997"/>
  </r>
  <r>
    <s v="TXN00007631"/>
    <s v="A00003902"/>
    <s v="PLC00007489"/>
    <d v="2017-08-16T00:00:00"/>
    <d v="2021-03-23T00:00:00"/>
    <d v="2021-03-25T00:00:00"/>
    <n v="2"/>
    <n v="96.44"/>
    <n v="1157.28"/>
    <n v="7000"/>
    <s v="A"/>
    <n v="7000"/>
    <n v="7.92"/>
    <s v="Minor Loss"/>
    <n v="95"/>
    <n v="60"/>
    <n v="1"/>
    <n v="2"/>
    <s v="L"/>
    <x v="0"/>
    <x v="1"/>
    <s v="Mortgage"/>
    <n v="1"/>
    <n v="1"/>
    <n v="9165.6576000000005"/>
    <n v="6690.9300480000002"/>
    <n v="-309.06995199999983"/>
  </r>
  <r>
    <s v="TXN00007641"/>
    <s v="A00001603"/>
    <s v="PLC00000384"/>
    <d v="2013-08-01T00:00:00"/>
    <d v="2021-03-15T00:00:00"/>
    <d v="2021-03-20T00:00:00"/>
    <n v="5"/>
    <n v="83.28"/>
    <n v="999.36"/>
    <n v="9000"/>
    <s v="A"/>
    <n v="9000"/>
    <n v="7.33"/>
    <s v="Minor Loss"/>
    <n v="88"/>
    <n v="57"/>
    <n v="0"/>
    <n v="4"/>
    <s v="M"/>
    <x v="0"/>
    <x v="1"/>
    <s v="Own"/>
    <n v="1"/>
    <n v="1"/>
    <n v="7325.3087999999998"/>
    <n v="5347.4754239999993"/>
    <n v="-3652.5245760000007"/>
  </r>
  <r>
    <s v="TXN00007649"/>
    <s v="A00002960"/>
    <s v="PLC00007536"/>
    <d v="2016-06-06T00:00:00"/>
    <d v="2021-03-11T00:00:00"/>
    <d v="2021-03-16T00:00:00"/>
    <n v="5"/>
    <n v="90.03"/>
    <n v="1080.3599999999999"/>
    <n v="2000"/>
    <s v="A"/>
    <n v="2000"/>
    <n v="6.17"/>
    <s v="Minor Loss"/>
    <n v="74"/>
    <n v="55"/>
    <n v="1"/>
    <n v="7"/>
    <s v="M"/>
    <x v="1"/>
    <x v="2"/>
    <s v="Mortgage"/>
    <n v="1"/>
    <n v="0"/>
    <n v="6665.8211999999994"/>
    <n v="4866.0494759999992"/>
    <n v="2866.0494759999992"/>
  </r>
  <r>
    <s v="TXN00007658"/>
    <s v="A00003820"/>
    <s v="PLC00008215"/>
    <d v="2018-03-12T00:00:00"/>
    <d v="2021-03-24T00:00:00"/>
    <d v="2021-03-26T00:00:00"/>
    <n v="2"/>
    <n v="130.32"/>
    <n v="1563.84"/>
    <n v="7000"/>
    <s v="A"/>
    <n v="7000"/>
    <n v="6.58"/>
    <s v="Minor Loss"/>
    <n v="79"/>
    <n v="29"/>
    <n v="1"/>
    <n v="5"/>
    <s v="M"/>
    <x v="1"/>
    <x v="0"/>
    <s v="Own"/>
    <n v="1"/>
    <n v="1"/>
    <n v="10290.0672"/>
    <n v="7511.7490559999997"/>
    <n v="511.74905599999965"/>
  </r>
  <r>
    <s v="TXN00007661"/>
    <s v="A00005832"/>
    <s v="PLC00009424"/>
    <d v="2014-07-29T00:00:00"/>
    <d v="2021-03-27T00:00:00"/>
    <d v="2021-03-28T00:00:00"/>
    <n v="1"/>
    <n v="120.87"/>
    <n v="1450.44"/>
    <n v="3000"/>
    <s v="A"/>
    <n v="3000"/>
    <n v="9.42"/>
    <s v="Major Loss"/>
    <n v="113"/>
    <n v="34"/>
    <n v="1"/>
    <n v="5"/>
    <s v="M"/>
    <x v="1"/>
    <x v="4"/>
    <s v="Own"/>
    <n v="1"/>
    <n v="1"/>
    <n v="13663.1448"/>
    <n v="9974.0957039999994"/>
    <n v="6974.0957039999994"/>
  </r>
  <r>
    <s v="TXN00007665"/>
    <s v="A00007503"/>
    <s v="PLC00001977"/>
    <d v="2014-08-21T00:00:00"/>
    <d v="2021-03-15T00:00:00"/>
    <d v="2021-03-20T00:00:00"/>
    <n v="5"/>
    <n v="108.36"/>
    <n v="1300.32"/>
    <n v="2000"/>
    <s v="A"/>
    <n v="2000"/>
    <n v="6.17"/>
    <s v="Total Loss"/>
    <n v="74"/>
    <n v="25"/>
    <n v="1"/>
    <n v="5"/>
    <s v="M"/>
    <x v="1"/>
    <x v="1"/>
    <s v="Own"/>
    <n v="1"/>
    <n v="1"/>
    <n v="8022.9743999999992"/>
    <n v="5856.7713119999989"/>
    <n v="3856.7713119999989"/>
  </r>
  <r>
    <s v="TXN00007666"/>
    <s v="A00002096"/>
    <s v="PLC00006763"/>
    <d v="2015-03-08T00:00:00"/>
    <d v="2021-03-30T00:00:00"/>
    <d v="2021-03-30T00:00:00"/>
    <n v="0"/>
    <n v="74.52"/>
    <n v="894.24"/>
    <n v="7000"/>
    <s v="A"/>
    <n v="7000"/>
    <n v="5.75"/>
    <s v="Major Loss"/>
    <n v="69"/>
    <n v="29"/>
    <n v="1"/>
    <n v="5"/>
    <s v="M"/>
    <x v="0"/>
    <x v="1"/>
    <s v="Mortgage"/>
    <n v="1"/>
    <n v="0"/>
    <n v="5141.88"/>
    <n v="3753.5724"/>
    <n v="-3246.4276"/>
  </r>
  <r>
    <s v="TXN00007669"/>
    <s v="A00001104"/>
    <s v="PLC00008779"/>
    <d v="2011-06-29T00:00:00"/>
    <d v="2021-03-22T00:00:00"/>
    <d v="2021-03-25T00:00:00"/>
    <n v="3"/>
    <n v="94.36"/>
    <n v="1132.32"/>
    <n v="7000"/>
    <s v="A"/>
    <n v="7000"/>
    <n v="7.08"/>
    <s v="Major Loss"/>
    <n v="85"/>
    <n v="46"/>
    <n v="1"/>
    <n v="3"/>
    <s v="L"/>
    <x v="0"/>
    <x v="0"/>
    <s v="Mortgage"/>
    <n v="1"/>
    <n v="1"/>
    <n v="8016.8255999999992"/>
    <n v="5852.2826879999993"/>
    <n v="-1147.7173120000007"/>
  </r>
  <r>
    <s v="TXN00007677"/>
    <s v="A00005850"/>
    <s v="PLC00001739"/>
    <d v="2011-04-27T00:00:00"/>
    <d v="2021-03-19T00:00:00"/>
    <d v="2021-03-24T00:00:00"/>
    <n v="5"/>
    <n v="96.91"/>
    <n v="1162.92"/>
    <n v="9000"/>
    <s v="A"/>
    <n v="9000"/>
    <n v="9.33"/>
    <s v="Total Loss"/>
    <n v="112"/>
    <n v="63"/>
    <n v="1"/>
    <n v="2"/>
    <s v="L"/>
    <x v="0"/>
    <x v="0"/>
    <s v="Own"/>
    <n v="1"/>
    <n v="0"/>
    <n v="10850.043600000001"/>
    <n v="7920.5318280000001"/>
    <n v="-1079.4681719999999"/>
  </r>
  <r>
    <s v="TXN00007682"/>
    <s v="A00003781"/>
    <s v="PLC00008131"/>
    <d v="2014-12-30T00:00:00"/>
    <d v="2021-03-14T00:00:00"/>
    <d v="2021-03-19T00:00:00"/>
    <n v="5"/>
    <n v="71.290000000000006"/>
    <n v="855.48"/>
    <n v="8000"/>
    <s v="A"/>
    <n v="8000"/>
    <n v="9.67"/>
    <s v="Total Loss"/>
    <n v="116"/>
    <n v="37"/>
    <n v="1"/>
    <n v="3"/>
    <s v="M"/>
    <x v="0"/>
    <x v="1"/>
    <s v="Rent"/>
    <n v="0"/>
    <n v="1"/>
    <n v="8272.4915999999994"/>
    <n v="6038.9188679999997"/>
    <n v="-1961.0811320000003"/>
  </r>
  <r>
    <s v="TXN00007683"/>
    <s v="A00004127"/>
    <s v="PLC00008463"/>
    <d v="2011-06-22T00:00:00"/>
    <d v="2021-03-12T00:00:00"/>
    <d v="2021-03-17T00:00:00"/>
    <n v="5"/>
    <n v="132.38999999999999"/>
    <n v="1588.68"/>
    <n v="9000"/>
    <s v="A"/>
    <n v="9000"/>
    <n v="9.25"/>
    <s v="Major Loss"/>
    <n v="111"/>
    <n v="40"/>
    <n v="1"/>
    <n v="4"/>
    <s v="M"/>
    <x v="0"/>
    <x v="1"/>
    <s v="Own"/>
    <n v="1"/>
    <n v="0"/>
    <n v="14695.29"/>
    <n v="10727.5617"/>
    <n v="1727.5617000000002"/>
  </r>
  <r>
    <s v="TXN00007690"/>
    <s v="A00006190"/>
    <s v="PLC00002323"/>
    <d v="2014-08-02T00:00:00"/>
    <d v="2021-03-13T00:00:00"/>
    <d v="2021-03-18T00:00:00"/>
    <n v="5"/>
    <n v="138.72"/>
    <n v="1664.64"/>
    <n v="2000"/>
    <s v="A"/>
    <n v="2000"/>
    <n v="7.42"/>
    <s v="Minor Loss"/>
    <n v="89"/>
    <n v="60"/>
    <n v="1"/>
    <n v="2"/>
    <s v="L"/>
    <x v="0"/>
    <x v="4"/>
    <s v="Mortgage"/>
    <n v="0"/>
    <n v="1"/>
    <n v="12351.6288"/>
    <n v="9016.6890239999993"/>
    <n v="7016.6890239999993"/>
  </r>
  <r>
    <s v="TXN00007691"/>
    <s v="A00005915"/>
    <s v="PLC00009682"/>
    <d v="2011-03-30T00:00:00"/>
    <d v="2021-03-17T00:00:00"/>
    <d v="2021-03-22T00:00:00"/>
    <n v="5"/>
    <n v="104.68"/>
    <n v="1256.1600000000001"/>
    <n v="1000"/>
    <s v="A"/>
    <n v="1000"/>
    <n v="2.33"/>
    <s v="Total Loss"/>
    <n v="28"/>
    <n v="63"/>
    <n v="0"/>
    <n v="2"/>
    <s v="M"/>
    <x v="0"/>
    <x v="1"/>
    <s v="Rent"/>
    <n v="1"/>
    <n v="1"/>
    <n v="2926.8528000000001"/>
    <n v="2136.6025439999999"/>
    <n v="1136.6025439999999"/>
  </r>
  <r>
    <s v="TXN00007711"/>
    <s v="A00003775"/>
    <s v="PLC00007349"/>
    <d v="2019-02-09T00:00:00"/>
    <d v="2021-03-23T00:00:00"/>
    <d v="2021-03-28T00:00:00"/>
    <n v="5"/>
    <n v="70.92"/>
    <n v="851.04"/>
    <n v="9000"/>
    <s v="A"/>
    <n v="9000"/>
    <n v="6.25"/>
    <s v="Minor Loss"/>
    <n v="75"/>
    <n v="37"/>
    <n v="0"/>
    <n v="3"/>
    <s v="L"/>
    <x v="0"/>
    <x v="0"/>
    <s v="Mortgage"/>
    <n v="0"/>
    <n v="0"/>
    <n v="5319"/>
    <n v="3882.87"/>
    <n v="-5117.13"/>
  </r>
  <r>
    <s v="TXN00007713"/>
    <s v="A00003470"/>
    <s v="PLC00007211"/>
    <d v="2019-05-03T00:00:00"/>
    <d v="2021-03-26T00:00:00"/>
    <d v="2021-03-29T00:00:00"/>
    <n v="3"/>
    <n v="89.5"/>
    <n v="1074"/>
    <n v="4000"/>
    <s v="A"/>
    <n v="4000"/>
    <n v="2.33"/>
    <s v="Major Loss"/>
    <n v="28"/>
    <n v="36"/>
    <n v="1"/>
    <n v="4"/>
    <s v="L"/>
    <x v="1"/>
    <x v="4"/>
    <s v="Rent"/>
    <n v="0"/>
    <n v="1"/>
    <n v="2502.42"/>
    <n v="1826.7665999999999"/>
    <n v="-2173.2334000000001"/>
  </r>
  <r>
    <s v="TXN00007726"/>
    <s v="A00000855"/>
    <s v="PLC00006151"/>
    <d v="2017-09-10T00:00:00"/>
    <d v="2021-03-19T00:00:00"/>
    <d v="2021-03-24T00:00:00"/>
    <n v="5"/>
    <n v="80.17"/>
    <n v="962.04"/>
    <n v="4000"/>
    <s v="A"/>
    <n v="4000"/>
    <n v="6.5"/>
    <s v="Total Loss"/>
    <n v="78"/>
    <n v="52"/>
    <n v="0"/>
    <n v="6"/>
    <s v="L"/>
    <x v="1"/>
    <x v="4"/>
    <s v="Mortgage"/>
    <n v="0"/>
    <n v="1"/>
    <n v="6253.26"/>
    <n v="4564.8797999999997"/>
    <n v="564.8797999999997"/>
  </r>
  <r>
    <s v="TXN00007728"/>
    <s v="A00001923"/>
    <s v="PLC00007136"/>
    <d v="2014-02-01T00:00:00"/>
    <d v="2021-03-23T00:00:00"/>
    <d v="2021-03-28T00:00:00"/>
    <n v="5"/>
    <n v="134.56"/>
    <n v="1614.72"/>
    <n v="2000"/>
    <s v="A"/>
    <n v="2000"/>
    <n v="7.42"/>
    <s v="Total Loss"/>
    <n v="89"/>
    <n v="42"/>
    <n v="0"/>
    <n v="5"/>
    <s v="M"/>
    <x v="0"/>
    <x v="5"/>
    <s v="Rent"/>
    <n v="0"/>
    <n v="0"/>
    <n v="11981.222400000001"/>
    <n v="8746.2923520000004"/>
    <n v="6746.2923520000004"/>
  </r>
  <r>
    <s v="TXN00007733"/>
    <s v="A00002860"/>
    <s v="PLC00006712"/>
    <d v="2014-03-05T00:00:00"/>
    <d v="2021-03-23T00:00:00"/>
    <d v="2021-03-28T00:00:00"/>
    <n v="5"/>
    <n v="119.44"/>
    <n v="1433.28"/>
    <n v="7000"/>
    <s v="A"/>
    <n v="7000"/>
    <n v="5.25"/>
    <s v="Total Loss"/>
    <n v="63"/>
    <n v="26"/>
    <n v="1"/>
    <n v="2"/>
    <s v="L"/>
    <x v="2"/>
    <x v="1"/>
    <s v="Rent"/>
    <n v="0"/>
    <n v="1"/>
    <n v="7524.72"/>
    <n v="5493.0456000000004"/>
    <n v="-1506.9543999999996"/>
  </r>
  <r>
    <s v="TXN00007735"/>
    <s v="A00000470"/>
    <s v="PLC00004985"/>
    <d v="2015-11-22T00:00:00"/>
    <d v="2021-03-29T00:00:00"/>
    <d v="2021-03-31T00:00:00"/>
    <n v="2"/>
    <n v="129.18"/>
    <n v="1550.16"/>
    <n v="7000"/>
    <s v="A"/>
    <n v="7000"/>
    <n v="4"/>
    <s v="Minor Loss"/>
    <n v="48"/>
    <n v="53"/>
    <n v="1"/>
    <n v="6"/>
    <s v="L"/>
    <x v="1"/>
    <x v="6"/>
    <s v="Mortgage"/>
    <n v="1"/>
    <n v="1"/>
    <n v="6200.64"/>
    <n v="4526.4672"/>
    <n v="-2473.5328"/>
  </r>
  <r>
    <s v="TXN00007736"/>
    <s v="A00001798"/>
    <s v="PLC00005395"/>
    <d v="2019-11-07T00:00:00"/>
    <d v="2021-03-19T00:00:00"/>
    <d v="2021-03-24T00:00:00"/>
    <n v="5"/>
    <n v="97.75"/>
    <n v="1173"/>
    <n v="3000"/>
    <s v="A"/>
    <n v="3000"/>
    <n v="2.33"/>
    <s v="Minor Loss"/>
    <n v="28"/>
    <n v="28"/>
    <n v="0"/>
    <n v="3"/>
    <s v="H"/>
    <x v="2"/>
    <x v="3"/>
    <s v="Mortgage"/>
    <n v="0"/>
    <n v="1"/>
    <n v="2733.09"/>
    <n v="1995.1557"/>
    <n v="-1004.8443"/>
  </r>
  <r>
    <s v="TXN00007753"/>
    <s v="A00006324"/>
    <s v="PLC00000206"/>
    <d v="2015-03-01T00:00:00"/>
    <d v="2021-03-26T00:00:00"/>
    <d v="2021-03-29T00:00:00"/>
    <n v="3"/>
    <n v="123.18"/>
    <n v="1478.16"/>
    <n v="2000"/>
    <s v="A"/>
    <n v="2000"/>
    <n v="6.67"/>
    <s v="Total Loss"/>
    <n v="80"/>
    <n v="25"/>
    <n v="1"/>
    <n v="3"/>
    <s v="L"/>
    <x v="2"/>
    <x v="1"/>
    <s v="Mortgage"/>
    <n v="1"/>
    <n v="1"/>
    <n v="9859.3271999999997"/>
    <n v="7197.3088559999997"/>
    <n v="5197.3088559999997"/>
  </r>
  <r>
    <s v="TXN00007762"/>
    <s v="A00003763"/>
    <s v="PLC00008033"/>
    <d v="2014-02-22T00:00:00"/>
    <d v="2021-03-20T00:00:00"/>
    <d v="2021-03-25T00:00:00"/>
    <n v="5"/>
    <n v="100.37"/>
    <n v="1204.44"/>
    <n v="6000"/>
    <s v="A"/>
    <n v="6000"/>
    <n v="1.92"/>
    <s v="Major Loss"/>
    <n v="23"/>
    <n v="44"/>
    <n v="1"/>
    <n v="2"/>
    <s v="M"/>
    <x v="1"/>
    <x v="0"/>
    <s v="Mortgage"/>
    <n v="1"/>
    <n v="1"/>
    <n v="2312.5248000000001"/>
    <n v="1688.143104"/>
    <n v="-4311.8568960000002"/>
  </r>
  <r>
    <s v="TXN00007765"/>
    <s v="A00007634"/>
    <s v="PLC00001470"/>
    <d v="2018-07-11T00:00:00"/>
    <d v="2021-03-23T00:00:00"/>
    <d v="2021-03-28T00:00:00"/>
    <n v="5"/>
    <n v="108.78"/>
    <n v="1305.3599999999999"/>
    <n v="6000"/>
    <s v="A"/>
    <n v="6000"/>
    <n v="5.67"/>
    <s v="Minor Loss"/>
    <n v="68"/>
    <n v="27"/>
    <n v="1"/>
    <n v="6"/>
    <s v="M"/>
    <x v="2"/>
    <x v="1"/>
    <s v="Own"/>
    <n v="1"/>
    <n v="0"/>
    <n v="7401.3911999999991"/>
    <n v="5403.0155759999989"/>
    <n v="-596.98442400000113"/>
  </r>
  <r>
    <s v="TXN00007771"/>
    <s v="A00000919"/>
    <s v="PLC00007552"/>
    <d v="2018-07-14T00:00:00"/>
    <d v="2021-03-31T00:00:00"/>
    <d v="2021-04-01T00:00:00"/>
    <n v="1"/>
    <n v="94.94"/>
    <n v="1139.28"/>
    <n v="2000"/>
    <s v="A"/>
    <n v="2000"/>
    <n v="1"/>
    <s v="Total Loss"/>
    <n v="12"/>
    <n v="60"/>
    <n v="1"/>
    <n v="5"/>
    <s v="L"/>
    <x v="2"/>
    <x v="3"/>
    <s v="Rent"/>
    <n v="1"/>
    <n v="0"/>
    <n v="1139.28"/>
    <n v="831.67439999999999"/>
    <n v="-1168.3256000000001"/>
  </r>
  <r>
    <s v="TXN00007778"/>
    <s v="A00005272"/>
    <s v="PLC00001756"/>
    <d v="2019-10-14T00:00:00"/>
    <d v="2021-03-18T00:00:00"/>
    <d v="2021-03-23T00:00:00"/>
    <n v="5"/>
    <n v="83.24"/>
    <n v="998.88"/>
    <n v="5000"/>
    <s v="A"/>
    <n v="5000"/>
    <n v="5.83"/>
    <s v="Total Loss"/>
    <n v="70"/>
    <n v="55"/>
    <n v="1"/>
    <n v="2"/>
    <s v="M"/>
    <x v="0"/>
    <x v="0"/>
    <s v="Rent"/>
    <n v="1"/>
    <n v="1"/>
    <n v="5823.4704000000002"/>
    <n v="4251.1333919999997"/>
    <n v="-748.86660800000027"/>
  </r>
  <r>
    <s v="TXN00007787"/>
    <s v="A00007247"/>
    <s v="PLC00002231"/>
    <d v="2014-09-09T00:00:00"/>
    <d v="2021-03-28T00:00:00"/>
    <d v="2021-03-31T00:00:00"/>
    <n v="3"/>
    <n v="91.66"/>
    <n v="1099.92"/>
    <n v="9000"/>
    <s v="A"/>
    <n v="9000"/>
    <n v="6.25"/>
    <s v="Major Loss"/>
    <n v="75"/>
    <n v="61"/>
    <n v="1"/>
    <n v="2"/>
    <s v="M"/>
    <x v="2"/>
    <x v="1"/>
    <s v="Rent"/>
    <n v="1"/>
    <n v="1"/>
    <n v="6874.5"/>
    <n v="5018.3850000000002"/>
    <n v="-3981.6149999999998"/>
  </r>
  <r>
    <s v="TXN00007790"/>
    <s v="A00003282"/>
    <s v="PLC00003146"/>
    <d v="2011-04-12T00:00:00"/>
    <d v="2021-03-21T00:00:00"/>
    <d v="2021-03-26T00:00:00"/>
    <n v="5"/>
    <n v="131.91999999999999"/>
    <n v="1583.04"/>
    <n v="3000"/>
    <s v="A"/>
    <n v="3000"/>
    <n v="1.25"/>
    <s v="Major Loss"/>
    <n v="15"/>
    <n v="27"/>
    <n v="1"/>
    <n v="4"/>
    <s v="M"/>
    <x v="1"/>
    <x v="2"/>
    <s v="Mortgage"/>
    <n v="0"/>
    <n v="0"/>
    <n v="1978.8"/>
    <n v="1444.5239999999999"/>
    <n v="-1555.4760000000001"/>
  </r>
  <r>
    <s v="TXN00007791"/>
    <s v="A00008253"/>
    <s v="PLC00006937"/>
    <d v="2013-12-02T00:00:00"/>
    <d v="2021-04-04T00:00:00"/>
    <d v="2021-04-04T00:00:00"/>
    <n v="0"/>
    <n v="117.77"/>
    <n v="1413.24"/>
    <n v="6000"/>
    <s v="A"/>
    <n v="6000"/>
    <n v="7.67"/>
    <s v="Minor Loss"/>
    <n v="92"/>
    <n v="38"/>
    <n v="1"/>
    <n v="7"/>
    <s v="M"/>
    <x v="0"/>
    <x v="2"/>
    <s v="Mortgage"/>
    <n v="1"/>
    <n v="0"/>
    <n v="10839.550799999999"/>
    <n v="7912.8720839999987"/>
    <n v="1912.8720839999987"/>
  </r>
  <r>
    <s v="TXN00007792"/>
    <s v="A00007681"/>
    <s v="PLC00008193"/>
    <d v="2011-06-13T00:00:00"/>
    <d v="2021-03-26T00:00:00"/>
    <d v="2021-03-31T00:00:00"/>
    <n v="5"/>
    <n v="93.52"/>
    <n v="1122.24"/>
    <n v="4000"/>
    <s v="A"/>
    <n v="4000"/>
    <n v="0.57999999999999996"/>
    <s v="Major Loss"/>
    <n v="7"/>
    <n v="34"/>
    <n v="0"/>
    <n v="2"/>
    <s v="L"/>
    <x v="0"/>
    <x v="0"/>
    <s v="Own"/>
    <n v="1"/>
    <n v="1"/>
    <n v="650.89919999999995"/>
    <n v="475.15641599999998"/>
    <n v="-3524.8435840000002"/>
  </r>
  <r>
    <s v="TXN00007798"/>
    <s v="A00007642"/>
    <s v="PLC00008250"/>
    <d v="2016-11-12T00:00:00"/>
    <d v="2021-03-27T00:00:00"/>
    <d v="2021-03-30T00:00:00"/>
    <n v="3"/>
    <n v="81.12"/>
    <n v="973.44"/>
    <n v="5000"/>
    <s v="A"/>
    <n v="5000"/>
    <n v="6.42"/>
    <s v="Minor Loss"/>
    <n v="77"/>
    <n v="42"/>
    <n v="1"/>
    <n v="3"/>
    <s v="M"/>
    <x v="0"/>
    <x v="1"/>
    <s v="Own"/>
    <n v="1"/>
    <n v="1"/>
    <n v="6249.4848000000002"/>
    <n v="4562.123904"/>
    <n v="-437.87609599999996"/>
  </r>
  <r>
    <s v="TXN00007799"/>
    <s v="A00005395"/>
    <s v="PLC00008548"/>
    <d v="2012-01-11T00:00:00"/>
    <d v="2021-03-29T00:00:00"/>
    <d v="2021-04-01T00:00:00"/>
    <n v="3"/>
    <n v="99.69"/>
    <n v="1196.28"/>
    <n v="10000"/>
    <s v="A"/>
    <n v="10000"/>
    <n v="8.25"/>
    <s v="Major Loss"/>
    <n v="99"/>
    <n v="52"/>
    <n v="0"/>
    <n v="4"/>
    <s v="M"/>
    <x v="0"/>
    <x v="3"/>
    <s v="Mortgage"/>
    <n v="1"/>
    <n v="1"/>
    <n v="9869.31"/>
    <n v="7204.5962999999992"/>
    <n v="-2795.4037000000008"/>
  </r>
  <r>
    <s v="TXN00007807"/>
    <s v="A00004357"/>
    <s v="PLC00004408"/>
    <d v="2016-07-28T00:00:00"/>
    <d v="2021-03-20T00:00:00"/>
    <d v="2021-03-25T00:00:00"/>
    <n v="5"/>
    <n v="128.16"/>
    <n v="1537.92"/>
    <n v="7000"/>
    <s v="A"/>
    <n v="7000"/>
    <n v="1.92"/>
    <s v="Minor Loss"/>
    <n v="23"/>
    <n v="51"/>
    <n v="1"/>
    <n v="2"/>
    <s v="M"/>
    <x v="1"/>
    <x v="1"/>
    <s v="Rent"/>
    <n v="1"/>
    <n v="1"/>
    <n v="2952.8063999999999"/>
    <n v="2155.5486719999999"/>
    <n v="-4844.4513280000001"/>
  </r>
  <r>
    <s v="TXN00007808"/>
    <s v="A00000835"/>
    <s v="PLC00003273"/>
    <d v="2014-04-13T00:00:00"/>
    <d v="2021-03-19T00:00:00"/>
    <d v="2021-03-24T00:00:00"/>
    <n v="5"/>
    <n v="76.86"/>
    <n v="922.32"/>
    <n v="10000"/>
    <s v="A"/>
    <n v="10000"/>
    <n v="1.17"/>
    <s v="Major Loss"/>
    <n v="14"/>
    <n v="50"/>
    <n v="1"/>
    <n v="3"/>
    <s v="M"/>
    <x v="0"/>
    <x v="1"/>
    <s v="Mortgage"/>
    <n v="1"/>
    <n v="1"/>
    <n v="1079.1143999999999"/>
    <n v="787.75351199999989"/>
    <n v="-9212.2464880000007"/>
  </r>
  <r>
    <s v="TXN00007812"/>
    <s v="A00001161"/>
    <s v="PLC00003447"/>
    <d v="2015-01-09T00:00:00"/>
    <d v="2021-03-22T00:00:00"/>
    <d v="2021-03-27T00:00:00"/>
    <n v="5"/>
    <n v="86.11"/>
    <n v="1033.32"/>
    <n v="5000"/>
    <s v="A"/>
    <n v="5000"/>
    <n v="5.67"/>
    <s v="Major Loss"/>
    <n v="68"/>
    <n v="53"/>
    <n v="1"/>
    <n v="6"/>
    <s v="L"/>
    <x v="1"/>
    <x v="6"/>
    <s v="Mortgage"/>
    <n v="0"/>
    <n v="1"/>
    <n v="5858.9243999999999"/>
    <n v="4277.0148119999994"/>
    <n v="-722.98518800000056"/>
  </r>
  <r>
    <s v="TXN00007814"/>
    <s v="A00004480"/>
    <s v="PLC00004547"/>
    <d v="2014-08-21T00:00:00"/>
    <d v="2021-04-04T00:00:00"/>
    <d v="2021-04-04T00:00:00"/>
    <n v="0"/>
    <n v="81.73"/>
    <n v="980.76"/>
    <n v="2000"/>
    <s v="A"/>
    <n v="2000"/>
    <n v="8.75"/>
    <s v="Minor Loss"/>
    <n v="105"/>
    <n v="64"/>
    <n v="0"/>
    <n v="2"/>
    <s v="M"/>
    <x v="0"/>
    <x v="0"/>
    <s v="Mortgage"/>
    <n v="0"/>
    <n v="0"/>
    <n v="8581.65"/>
    <n v="6264.6044999999995"/>
    <n v="4264.6044999999995"/>
  </r>
  <r>
    <s v="TXN00007826"/>
    <s v="A00003367"/>
    <s v="PLC00002965"/>
    <d v="2016-04-27T00:00:00"/>
    <d v="2021-03-26T00:00:00"/>
    <d v="2021-03-31T00:00:00"/>
    <n v="5"/>
    <n v="130.59"/>
    <n v="1567.08"/>
    <n v="7000"/>
    <s v="A"/>
    <n v="7000"/>
    <n v="4.83"/>
    <s v="Major Loss"/>
    <n v="58"/>
    <n v="55"/>
    <n v="0"/>
    <n v="3"/>
    <s v="M"/>
    <x v="0"/>
    <x v="1"/>
    <s v="Mortgage"/>
    <n v="1"/>
    <n v="1"/>
    <n v="7568.9964"/>
    <n v="5525.3673719999997"/>
    <n v="-1474.6326280000003"/>
  </r>
  <r>
    <s v="TXN00007848"/>
    <s v="A00001064"/>
    <s v="PLC00009797"/>
    <d v="2018-02-20T00:00:00"/>
    <d v="2021-03-24T00:00:00"/>
    <d v="2021-03-29T00:00:00"/>
    <n v="5"/>
    <n v="73.52"/>
    <n v="882.24"/>
    <n v="1000"/>
    <s v="A"/>
    <n v="1000"/>
    <n v="5.67"/>
    <s v="Total Loss"/>
    <n v="68"/>
    <n v="60"/>
    <n v="1"/>
    <n v="5"/>
    <s v="L"/>
    <x v="0"/>
    <x v="1"/>
    <s v="Mortgage"/>
    <n v="1"/>
    <n v="0"/>
    <n v="5002.3008"/>
    <n v="3651.679584"/>
    <n v="2651.679584"/>
  </r>
  <r>
    <s v="TXN00007868"/>
    <s v="A00000269"/>
    <s v="PLC00005172"/>
    <d v="2017-12-10T00:00:00"/>
    <d v="2021-03-25T00:00:00"/>
    <d v="2021-03-30T00:00:00"/>
    <n v="5"/>
    <n v="71.41"/>
    <n v="856.92"/>
    <n v="10000"/>
    <s v="D"/>
    <n v="0"/>
    <n v="1.67"/>
    <s v="Total Loss"/>
    <n v="20"/>
    <n v="43"/>
    <n v="1"/>
    <n v="3"/>
    <s v="M"/>
    <x v="2"/>
    <x v="1"/>
    <s v="Mortgage"/>
    <n v="1"/>
    <n v="0"/>
    <n v="1431.0563999999999"/>
    <n v="1044.6711719999998"/>
    <n v="1044.6711719999998"/>
  </r>
  <r>
    <s v="TXN00007869"/>
    <s v="A00008661"/>
    <s v="PLC00003470"/>
    <d v="2011-10-25T00:00:00"/>
    <d v="2021-03-24T00:00:00"/>
    <d v="2021-03-29T00:00:00"/>
    <n v="5"/>
    <n v="81.36"/>
    <n v="976.32"/>
    <n v="3000"/>
    <s v="A"/>
    <n v="3000"/>
    <n v="4.17"/>
    <s v="Minor Loss"/>
    <n v="50"/>
    <n v="39"/>
    <n v="1"/>
    <n v="5"/>
    <s v="M"/>
    <x v="0"/>
    <x v="1"/>
    <s v="Rent"/>
    <n v="0"/>
    <n v="1"/>
    <n v="4071.2544000000003"/>
    <n v="2972.0157119999999"/>
    <n v="-27.984288000000106"/>
  </r>
  <r>
    <s v="TXN00007870"/>
    <s v="A00009857"/>
    <s v="PLC00002704"/>
    <d v="2011-04-08T00:00:00"/>
    <d v="2021-04-04T00:00:00"/>
    <d v="2021-04-05T00:00:00"/>
    <n v="1"/>
    <n v="125.96"/>
    <n v="1511.52"/>
    <n v="10000"/>
    <s v="A"/>
    <n v="10000"/>
    <n v="4.5"/>
    <s v="Major Loss"/>
    <n v="54"/>
    <n v="27"/>
    <n v="0"/>
    <n v="7"/>
    <s v="L"/>
    <x v="0"/>
    <x v="1"/>
    <s v="Mortgage"/>
    <n v="1"/>
    <n v="1"/>
    <n v="6801.84"/>
    <n v="4965.3432000000003"/>
    <n v="-5034.6567999999997"/>
  </r>
  <r>
    <s v="TXN00007872"/>
    <s v="A00006893"/>
    <s v="PLC00001631"/>
    <d v="2020-01-05T00:00:00"/>
    <d v="2021-04-07T00:00:00"/>
    <d v="2021-04-07T00:00:00"/>
    <n v="0"/>
    <n v="91.06"/>
    <n v="1092.72"/>
    <n v="2000"/>
    <s v="D"/>
    <n v="0"/>
    <n v="3.92"/>
    <s v="Minor Loss"/>
    <n v="47"/>
    <n v="29"/>
    <n v="0"/>
    <n v="6"/>
    <s v="M"/>
    <x v="1"/>
    <x v="1"/>
    <s v="Rent"/>
    <n v="1"/>
    <n v="1"/>
    <n v="4283.4624000000003"/>
    <n v="3126.9275520000001"/>
    <n v="3126.9275520000001"/>
  </r>
  <r>
    <s v="TXN00007875"/>
    <s v="A00001786"/>
    <s v="PLC00006102"/>
    <d v="2019-08-02T00:00:00"/>
    <d v="2021-04-08T00:00:00"/>
    <d v="2021-04-08T00:00:00"/>
    <n v="0"/>
    <n v="101.34"/>
    <n v="1216.08"/>
    <n v="6000"/>
    <s v="A"/>
    <n v="6000"/>
    <n v="8.5"/>
    <s v="Minor Loss"/>
    <n v="102"/>
    <n v="55"/>
    <n v="1"/>
    <n v="2"/>
    <s v="M"/>
    <x v="0"/>
    <x v="4"/>
    <s v="Mortgage"/>
    <n v="0"/>
    <n v="1"/>
    <n v="10336.68"/>
    <n v="7545.7763999999997"/>
    <n v="1545.7763999999997"/>
  </r>
  <r>
    <s v="TXN00007876"/>
    <s v="A00000152"/>
    <s v="PLC00008304"/>
    <d v="2010-06-17T00:00:00"/>
    <d v="2021-04-04T00:00:00"/>
    <d v="2021-04-05T00:00:00"/>
    <n v="1"/>
    <n v="79.48"/>
    <n v="953.76"/>
    <n v="8000"/>
    <s v="A"/>
    <n v="8000"/>
    <n v="6.08"/>
    <s v="Minor Loss"/>
    <n v="73"/>
    <n v="32"/>
    <n v="1"/>
    <n v="7"/>
    <s v="L"/>
    <x v="2"/>
    <x v="6"/>
    <s v="Rent"/>
    <n v="1"/>
    <n v="1"/>
    <n v="5798.8608000000004"/>
    <n v="4233.1683840000005"/>
    <n v="-3766.8316159999995"/>
  </r>
  <r>
    <s v="TXN00007885"/>
    <s v="A00002396"/>
    <s v="PLC00004821"/>
    <d v="2013-03-28T00:00:00"/>
    <d v="2021-04-07T00:00:00"/>
    <d v="2021-04-07T00:00:00"/>
    <n v="0"/>
    <n v="87.71"/>
    <n v="1052.52"/>
    <n v="8000"/>
    <s v="A"/>
    <n v="8000"/>
    <n v="5.67"/>
    <s v="Total Loss"/>
    <n v="68"/>
    <n v="52"/>
    <n v="0"/>
    <n v="7"/>
    <s v="L"/>
    <x v="0"/>
    <x v="3"/>
    <s v="Mortgage"/>
    <n v="1"/>
    <n v="1"/>
    <n v="5967.7883999999995"/>
    <n v="4356.4855319999997"/>
    <n v="-3643.5144680000003"/>
  </r>
  <r>
    <s v="TXN00007888"/>
    <s v="A00009230"/>
    <s v="PLC00004277"/>
    <d v="2012-12-24T00:00:00"/>
    <d v="2021-03-31T00:00:00"/>
    <d v="2021-04-03T00:00:00"/>
    <n v="3"/>
    <n v="119.05"/>
    <n v="1428.6"/>
    <n v="3000"/>
    <s v="A"/>
    <n v="3000"/>
    <n v="6.92"/>
    <s v="Major Loss"/>
    <n v="83"/>
    <n v="40"/>
    <n v="0"/>
    <n v="5"/>
    <s v="H"/>
    <x v="2"/>
    <x v="0"/>
    <s v="Rent"/>
    <n v="1"/>
    <n v="1"/>
    <n v="9885.9119999999984"/>
    <n v="7216.7157599999991"/>
    <n v="4216.7157599999991"/>
  </r>
  <r>
    <s v="TXN00007896"/>
    <s v="A00006074"/>
    <s v="PLC00004450"/>
    <d v="2016-11-09T00:00:00"/>
    <d v="2021-03-29T00:00:00"/>
    <d v="2021-04-03T00:00:00"/>
    <n v="5"/>
    <n v="130.88999999999999"/>
    <n v="1570.68"/>
    <n v="1000"/>
    <s v="A"/>
    <n v="1000"/>
    <n v="9.92"/>
    <s v="Minor Loss"/>
    <n v="119"/>
    <n v="62"/>
    <n v="1"/>
    <n v="5"/>
    <s v="L"/>
    <x v="1"/>
    <x v="4"/>
    <s v="Rent"/>
    <n v="1"/>
    <n v="1"/>
    <n v="15581.1456"/>
    <n v="11374.236288"/>
    <n v="10374.236288"/>
  </r>
  <r>
    <s v="TXN00007901"/>
    <s v="A00004536"/>
    <s v="PLC00001607"/>
    <d v="2018-07-29T00:00:00"/>
    <d v="2021-03-30T00:00:00"/>
    <d v="2021-04-02T00:00:00"/>
    <n v="3"/>
    <n v="108.01"/>
    <n v="1296.1199999999999"/>
    <n v="1000"/>
    <s v="A"/>
    <n v="1000"/>
    <n v="2.25"/>
    <s v="Major Loss"/>
    <n v="27"/>
    <n v="29"/>
    <n v="0"/>
    <n v="7"/>
    <s v="M"/>
    <x v="2"/>
    <x v="1"/>
    <s v="Mortgage"/>
    <n v="1"/>
    <n v="0"/>
    <n v="2916.2699999999995"/>
    <n v="2128.8770999999997"/>
    <n v="1128.8770999999997"/>
  </r>
  <r>
    <s v="TXN00007902"/>
    <s v="A00000971"/>
    <s v="PLC00001944"/>
    <d v="2017-07-18T00:00:00"/>
    <d v="2021-03-31T00:00:00"/>
    <d v="2021-04-03T00:00:00"/>
    <n v="3"/>
    <n v="93.88"/>
    <n v="1126.56"/>
    <n v="9000"/>
    <s v="A"/>
    <n v="9000"/>
    <n v="6.5"/>
    <s v="Total Loss"/>
    <n v="78"/>
    <n v="57"/>
    <n v="0"/>
    <n v="6"/>
    <s v="M"/>
    <x v="1"/>
    <x v="0"/>
    <s v="Rent"/>
    <n v="0"/>
    <n v="1"/>
    <n v="7322.6399999999994"/>
    <n v="5345.5271999999995"/>
    <n v="-3654.4728000000005"/>
  </r>
  <r>
    <s v="TXN00007907"/>
    <s v="A00007747"/>
    <s v="PLC00001206"/>
    <d v="2017-12-17T00:00:00"/>
    <d v="2021-03-26T00:00:00"/>
    <d v="2021-03-31T00:00:00"/>
    <n v="5"/>
    <n v="137.02000000000001"/>
    <n v="1644.24"/>
    <n v="1000"/>
    <s v="A"/>
    <n v="1000"/>
    <n v="1.58"/>
    <s v="Minor Loss"/>
    <n v="19"/>
    <n v="46"/>
    <n v="1"/>
    <n v="5"/>
    <s v="H"/>
    <x v="1"/>
    <x v="1"/>
    <s v="Mortgage"/>
    <n v="1"/>
    <n v="1"/>
    <n v="2597.8992000000003"/>
    <n v="1896.4664160000002"/>
    <n v="896.46641600000021"/>
  </r>
  <r>
    <s v="TXN00007917"/>
    <s v="A00006182"/>
    <s v="PLC00003330"/>
    <d v="2011-06-01T00:00:00"/>
    <d v="2021-03-25T00:00:00"/>
    <d v="2021-03-30T00:00:00"/>
    <n v="5"/>
    <n v="78.5"/>
    <n v="942"/>
    <n v="4000"/>
    <s v="A"/>
    <n v="4000"/>
    <n v="1.25"/>
    <s v="Total Loss"/>
    <n v="15"/>
    <n v="30"/>
    <n v="1"/>
    <n v="3"/>
    <s v="L"/>
    <x v="0"/>
    <x v="0"/>
    <s v="Own"/>
    <n v="1"/>
    <n v="1"/>
    <n v="1177.5"/>
    <n v="859.57499999999993"/>
    <n v="-3140.4250000000002"/>
  </r>
  <r>
    <s v="TXN00007927"/>
    <s v="A00004198"/>
    <s v="PLC00007415"/>
    <d v="2014-01-26T00:00:00"/>
    <d v="2021-04-01T00:00:00"/>
    <d v="2021-04-04T00:00:00"/>
    <n v="3"/>
    <n v="93.66"/>
    <n v="1123.92"/>
    <n v="10000"/>
    <s v="A"/>
    <n v="10000"/>
    <n v="5.33"/>
    <s v="Total Loss"/>
    <n v="64"/>
    <n v="43"/>
    <n v="1"/>
    <n v="2"/>
    <s v="L"/>
    <x v="1"/>
    <x v="1"/>
    <s v="Mortgage"/>
    <n v="1"/>
    <n v="1"/>
    <n v="5990.4936000000007"/>
    <n v="4373.0603280000005"/>
    <n v="-5626.9396719999995"/>
  </r>
  <r>
    <s v="TXN00007936"/>
    <s v="A00006501"/>
    <s v="PLC00005467"/>
    <d v="2010-08-20T00:00:00"/>
    <d v="2021-04-01T00:00:00"/>
    <d v="2021-04-04T00:00:00"/>
    <n v="3"/>
    <n v="116.34"/>
    <n v="1396.08"/>
    <n v="5000"/>
    <s v="A"/>
    <n v="5000"/>
    <n v="5.08"/>
    <s v="Total Loss"/>
    <n v="61"/>
    <n v="32"/>
    <n v="1"/>
    <n v="4"/>
    <s v="H"/>
    <x v="1"/>
    <x v="1"/>
    <s v="Own"/>
    <n v="1"/>
    <n v="0"/>
    <n v="7092.0864000000001"/>
    <n v="5177.2230719999998"/>
    <n v="177.22307199999977"/>
  </r>
  <r>
    <s v="TXN00007937"/>
    <s v="A00009072"/>
    <s v="PLC00008972"/>
    <d v="2018-04-13T00:00:00"/>
    <d v="2021-03-22T00:00:00"/>
    <d v="2021-03-27T00:00:00"/>
    <n v="5"/>
    <n v="73.489999999999995"/>
    <n v="881.88"/>
    <n v="3000"/>
    <s v="A"/>
    <n v="3000"/>
    <n v="9.83"/>
    <s v="Total Loss"/>
    <n v="118"/>
    <n v="56"/>
    <n v="1"/>
    <n v="7"/>
    <s v="L"/>
    <x v="1"/>
    <x v="4"/>
    <s v="Rent"/>
    <n v="1"/>
    <n v="1"/>
    <n v="8668.8804"/>
    <n v="6328.2826919999998"/>
    <n v="3328.2826919999998"/>
  </r>
  <r>
    <s v="TXN00007939"/>
    <s v="A00004528"/>
    <s v="PLC00005086"/>
    <d v="2011-06-28T00:00:00"/>
    <d v="2021-03-23T00:00:00"/>
    <d v="2021-03-28T00:00:00"/>
    <n v="5"/>
    <n v="104.07"/>
    <n v="1248.8399999999999"/>
    <n v="7000"/>
    <s v="A"/>
    <n v="7000"/>
    <n v="7"/>
    <s v="Minor Loss"/>
    <n v="84"/>
    <n v="57"/>
    <n v="1"/>
    <n v="5"/>
    <s v="L"/>
    <x v="2"/>
    <x v="5"/>
    <s v="Mortgage"/>
    <n v="0"/>
    <n v="1"/>
    <n v="8741.8799999999992"/>
    <n v="6381.5723999999991"/>
    <n v="-618.42760000000089"/>
  </r>
  <r>
    <s v="TXN00007941"/>
    <s v="A00006308"/>
    <s v="PLC00000006"/>
    <d v="2019-03-21T00:00:00"/>
    <d v="2021-03-27T00:00:00"/>
    <d v="2021-04-01T00:00:00"/>
    <n v="5"/>
    <n v="78.930000000000007"/>
    <n v="947.16"/>
    <n v="9000"/>
    <s v="A"/>
    <n v="9000"/>
    <n v="5.75"/>
    <s v="Major Loss"/>
    <n v="69"/>
    <n v="28"/>
    <n v="1"/>
    <n v="3"/>
    <s v="L"/>
    <x v="2"/>
    <x v="1"/>
    <s v="Mortgage"/>
    <n v="0"/>
    <n v="1"/>
    <n v="5446.17"/>
    <n v="3975.7040999999999"/>
    <n v="-5024.2959000000001"/>
  </r>
  <r>
    <s v="TXN00007948"/>
    <s v="A00002386"/>
    <s v="PLC00001371"/>
    <d v="2019-07-15T00:00:00"/>
    <d v="2021-04-04T00:00:00"/>
    <d v="2021-04-06T00:00:00"/>
    <n v="2"/>
    <n v="84.09"/>
    <n v="1009.08"/>
    <n v="3000"/>
    <s v="A"/>
    <n v="3000"/>
    <n v="3.25"/>
    <s v="Major Loss"/>
    <n v="39"/>
    <n v="33"/>
    <n v="1"/>
    <n v="4"/>
    <s v="M"/>
    <x v="2"/>
    <x v="0"/>
    <s v="Rent"/>
    <n v="1"/>
    <n v="0"/>
    <n v="3279.51"/>
    <n v="2394.0423000000001"/>
    <n v="-605.95769999999993"/>
  </r>
  <r>
    <s v="TXN00007958"/>
    <s v="A00000484"/>
    <s v="PLC00007584"/>
    <d v="2015-10-25T00:00:00"/>
    <d v="2021-03-23T00:00:00"/>
    <d v="2021-03-28T00:00:00"/>
    <n v="5"/>
    <n v="72.03"/>
    <n v="864.36"/>
    <n v="9000"/>
    <s v="A"/>
    <n v="9000"/>
    <n v="9.5"/>
    <s v="Total Loss"/>
    <n v="114"/>
    <n v="51"/>
    <n v="1"/>
    <n v="6"/>
    <s v="M"/>
    <x v="0"/>
    <x v="0"/>
    <s v="Rent"/>
    <n v="1"/>
    <n v="0"/>
    <n v="8211.42"/>
    <n v="5994.3365999999996"/>
    <n v="-3005.6634000000004"/>
  </r>
  <r>
    <s v="TXN00007960"/>
    <s v="A00004680"/>
    <s v="PLC00007519"/>
    <d v="2010-06-20T00:00:00"/>
    <d v="2021-03-31T00:00:00"/>
    <d v="2021-04-05T00:00:00"/>
    <n v="5"/>
    <n v="70.56"/>
    <n v="846.72"/>
    <n v="10000"/>
    <s v="A"/>
    <n v="10000"/>
    <n v="8.08"/>
    <s v="Major Loss"/>
    <n v="97"/>
    <n v="58"/>
    <n v="1"/>
    <n v="4"/>
    <s v="M"/>
    <x v="2"/>
    <x v="1"/>
    <s v="Own"/>
    <n v="1"/>
    <n v="1"/>
    <n v="6841.4976000000006"/>
    <n v="4994.2932479999999"/>
    <n v="-5005.7067520000001"/>
  </r>
  <r>
    <s v="TXN00007965"/>
    <s v="A00006450"/>
    <s v="PLC00002362"/>
    <d v="2011-01-12T00:00:00"/>
    <d v="2021-04-05T00:00:00"/>
    <d v="2021-04-07T00:00:00"/>
    <n v="2"/>
    <n v="84.45"/>
    <n v="1013.4"/>
    <n v="10000"/>
    <s v="A"/>
    <n v="10000"/>
    <n v="9.58"/>
    <s v="Total Loss"/>
    <n v="115"/>
    <n v="53"/>
    <n v="0"/>
    <n v="3"/>
    <s v="M"/>
    <x v="2"/>
    <x v="5"/>
    <s v="Own"/>
    <n v="0"/>
    <n v="1"/>
    <n v="9708.3719999999994"/>
    <n v="7087.1115599999994"/>
    <n v="-2912.8884400000006"/>
  </r>
  <r>
    <s v="TXN00007968"/>
    <s v="A00008190"/>
    <s v="PLC00001723"/>
    <d v="2010-06-12T00:00:00"/>
    <d v="2021-04-09T00:00:00"/>
    <d v="2021-04-09T00:00:00"/>
    <n v="0"/>
    <n v="99.51"/>
    <n v="1194.1199999999999"/>
    <n v="3000"/>
    <s v="A"/>
    <n v="3000"/>
    <n v="9.5"/>
    <s v="Major Loss"/>
    <n v="114"/>
    <n v="39"/>
    <n v="1"/>
    <n v="2"/>
    <s v="M"/>
    <x v="1"/>
    <x v="1"/>
    <s v="Mortgage"/>
    <n v="1"/>
    <n v="1"/>
    <n v="11344.14"/>
    <n v="8281.2222000000002"/>
    <n v="5281.2222000000002"/>
  </r>
  <r>
    <s v="TXN00007972"/>
    <s v="A00002783"/>
    <s v="PLC00003896"/>
    <d v="2013-04-22T00:00:00"/>
    <d v="2021-03-23T00:00:00"/>
    <d v="2021-03-28T00:00:00"/>
    <n v="5"/>
    <n v="131.56"/>
    <n v="1578.72"/>
    <n v="7000"/>
    <s v="A"/>
    <n v="7000"/>
    <n v="4"/>
    <s v="Minor Loss"/>
    <n v="48"/>
    <n v="64"/>
    <n v="1"/>
    <n v="2"/>
    <s v="L"/>
    <x v="2"/>
    <x v="1"/>
    <s v="Rent"/>
    <n v="1"/>
    <n v="1"/>
    <n v="6314.88"/>
    <n v="4609.8624"/>
    <n v="-2390.1376"/>
  </r>
  <r>
    <s v="TXN00007978"/>
    <s v="A00002714"/>
    <s v="PLC00001050"/>
    <d v="2016-07-12T00:00:00"/>
    <d v="2021-03-23T00:00:00"/>
    <d v="2021-03-28T00:00:00"/>
    <n v="5"/>
    <n v="103.53"/>
    <n v="1242.3599999999999"/>
    <n v="4000"/>
    <s v="A"/>
    <n v="4000"/>
    <n v="5.08"/>
    <s v="Major Loss"/>
    <n v="61"/>
    <n v="50"/>
    <n v="0"/>
    <n v="4"/>
    <s v="H"/>
    <x v="2"/>
    <x v="1"/>
    <s v="Mortgage"/>
    <n v="1"/>
    <n v="1"/>
    <n v="6311.1887999999999"/>
    <n v="4607.1678240000001"/>
    <n v="607.16782400000011"/>
  </r>
  <r>
    <s v="TXN00007983"/>
    <s v="A00000789"/>
    <s v="PLC00002278"/>
    <d v="2016-11-27T00:00:00"/>
    <d v="2021-03-26T00:00:00"/>
    <d v="2021-03-31T00:00:00"/>
    <n v="5"/>
    <n v="91.8"/>
    <n v="1101.5999999999999"/>
    <n v="1000"/>
    <s v="A"/>
    <n v="1000"/>
    <n v="8.42"/>
    <s v="Minor Loss"/>
    <n v="101"/>
    <n v="38"/>
    <n v="1"/>
    <n v="5"/>
    <s v="H"/>
    <x v="1"/>
    <x v="3"/>
    <s v="Mortgage"/>
    <n v="1"/>
    <n v="1"/>
    <n v="9275.4719999999998"/>
    <n v="6771.0945599999995"/>
    <n v="5771.0945599999995"/>
  </r>
  <r>
    <s v="TXN00007990"/>
    <s v="A00007596"/>
    <s v="PLC00003512"/>
    <d v="2014-07-15T00:00:00"/>
    <d v="2021-03-26T00:00:00"/>
    <d v="2021-03-31T00:00:00"/>
    <n v="5"/>
    <n v="114.97"/>
    <n v="1379.64"/>
    <n v="8000"/>
    <s v="A"/>
    <n v="8000"/>
    <n v="2.58"/>
    <s v="Major Loss"/>
    <n v="31"/>
    <n v="41"/>
    <n v="1"/>
    <n v="6"/>
    <s v="L"/>
    <x v="0"/>
    <x v="1"/>
    <s v="Rent"/>
    <n v="1"/>
    <n v="1"/>
    <n v="3559.4712000000004"/>
    <n v="2598.4139760000003"/>
    <n v="-5401.5860240000002"/>
  </r>
  <r>
    <s v="TXN00007992"/>
    <s v="A00003813"/>
    <s v="PLC00005861"/>
    <d v="2013-03-21T00:00:00"/>
    <d v="2021-03-30T00:00:00"/>
    <d v="2021-04-04T00:00:00"/>
    <n v="5"/>
    <n v="103.19"/>
    <n v="1238.28"/>
    <n v="3000"/>
    <s v="A"/>
    <n v="3000"/>
    <n v="5.83"/>
    <s v="Total Loss"/>
    <n v="70"/>
    <n v="26"/>
    <n v="1"/>
    <n v="6"/>
    <s v="L"/>
    <x v="1"/>
    <x v="0"/>
    <s v="Rent"/>
    <n v="1"/>
    <n v="1"/>
    <n v="7219.1724000000004"/>
    <n v="5269.995852"/>
    <n v="2269.995852"/>
  </r>
  <r>
    <s v="TXN00008002"/>
    <s v="A00004202"/>
    <s v="PLC00005111"/>
    <d v="2019-04-07T00:00:00"/>
    <d v="2021-04-03T00:00:00"/>
    <d v="2021-04-06T00:00:00"/>
    <n v="3"/>
    <n v="139.05000000000001"/>
    <n v="1668.6"/>
    <n v="2000"/>
    <s v="A"/>
    <n v="2000"/>
    <n v="4.67"/>
    <s v="Minor Loss"/>
    <n v="56"/>
    <n v="44"/>
    <n v="1"/>
    <n v="2"/>
    <s v="M"/>
    <x v="1"/>
    <x v="1"/>
    <s v="Mortgage"/>
    <n v="0"/>
    <n v="1"/>
    <n v="7792.3619999999992"/>
    <n v="5688.4242599999989"/>
    <n v="3688.4242599999989"/>
  </r>
  <r>
    <s v="TXN00008007"/>
    <s v="A00007242"/>
    <s v="PLC00006584"/>
    <d v="2011-02-22T00:00:00"/>
    <d v="2021-04-09T00:00:00"/>
    <d v="2021-04-10T00:00:00"/>
    <n v="1"/>
    <n v="72.52"/>
    <n v="870.24"/>
    <n v="4000"/>
    <s v="A"/>
    <n v="4000"/>
    <n v="0.5"/>
    <s v="Total Loss"/>
    <n v="6"/>
    <n v="56"/>
    <n v="0"/>
    <n v="6"/>
    <s v="M"/>
    <x v="1"/>
    <x v="3"/>
    <s v="Own"/>
    <n v="1"/>
    <n v="1"/>
    <n v="435.12"/>
    <n v="317.63760000000002"/>
    <n v="-3682.3624"/>
  </r>
  <r>
    <s v="TXN00008024"/>
    <s v="A00001071"/>
    <s v="PLC00006609"/>
    <d v="2013-11-03T00:00:00"/>
    <d v="2021-03-29T00:00:00"/>
    <d v="2021-04-03T00:00:00"/>
    <n v="5"/>
    <n v="125.89"/>
    <n v="1510.68"/>
    <n v="6000"/>
    <s v="A"/>
    <n v="6000"/>
    <n v="9.58"/>
    <s v="Minor Loss"/>
    <n v="115"/>
    <n v="39"/>
    <n v="1"/>
    <n v="7"/>
    <s v="L"/>
    <x v="2"/>
    <x v="0"/>
    <s v="Mortgage"/>
    <n v="1"/>
    <n v="1"/>
    <n v="14472.314400000001"/>
    <n v="10564.789512000001"/>
    <n v="4564.7895120000012"/>
  </r>
  <r>
    <s v="TXN00008027"/>
    <s v="A00003324"/>
    <s v="PLC00005757"/>
    <d v="2018-10-18T00:00:00"/>
    <d v="2021-03-27T00:00:00"/>
    <d v="2021-04-01T00:00:00"/>
    <n v="5"/>
    <n v="138.12"/>
    <n v="1657.44"/>
    <n v="9000"/>
    <s v="A"/>
    <n v="9000"/>
    <n v="7.75"/>
    <s v="Total Loss"/>
    <n v="93"/>
    <n v="27"/>
    <n v="1"/>
    <n v="4"/>
    <s v="M"/>
    <x v="2"/>
    <x v="0"/>
    <s v="Mortgage"/>
    <n v="0"/>
    <n v="1"/>
    <n v="12845.16"/>
    <n v="9376.9668000000001"/>
    <n v="376.96680000000015"/>
  </r>
  <r>
    <s v="TXN00008028"/>
    <s v="A00004236"/>
    <s v="PLC00002830"/>
    <d v="2017-05-18T00:00:00"/>
    <d v="2021-03-27T00:00:00"/>
    <d v="2021-04-01T00:00:00"/>
    <n v="5"/>
    <n v="129.84"/>
    <n v="1558.08"/>
    <n v="10000"/>
    <s v="A"/>
    <n v="10000"/>
    <n v="0.92"/>
    <s v="Minor Loss"/>
    <n v="11"/>
    <n v="33"/>
    <n v="1"/>
    <n v="3"/>
    <s v="H"/>
    <x v="0"/>
    <x v="4"/>
    <s v="Own"/>
    <n v="0"/>
    <n v="1"/>
    <n v="1433.4336000000001"/>
    <n v="1046.406528"/>
    <n v="-8953.5934720000005"/>
  </r>
  <r>
    <s v="TXN00008059"/>
    <s v="A00000794"/>
    <s v="PLC00007453"/>
    <d v="2011-10-25T00:00:00"/>
    <d v="2021-03-31T00:00:00"/>
    <d v="2021-04-05T00:00:00"/>
    <n v="5"/>
    <n v="91.8"/>
    <n v="1101.5999999999999"/>
    <n v="5000"/>
    <s v="A"/>
    <n v="5000"/>
    <n v="4.58"/>
    <s v="Major Loss"/>
    <n v="55"/>
    <n v="33"/>
    <n v="0"/>
    <n v="2"/>
    <s v="L"/>
    <x v="1"/>
    <x v="3"/>
    <s v="Rent"/>
    <n v="0"/>
    <n v="1"/>
    <n v="5045.3279999999995"/>
    <n v="3683.0894399999997"/>
    <n v="-1316.9105600000003"/>
  </r>
  <r>
    <s v="TXN00008062"/>
    <s v="A00002164"/>
    <s v="PLC00000400"/>
    <d v="2017-02-18T00:00:00"/>
    <d v="2021-04-02T00:00:00"/>
    <d v="2021-04-07T00:00:00"/>
    <n v="5"/>
    <n v="102.22"/>
    <n v="1226.6400000000001"/>
    <n v="2000"/>
    <s v="A"/>
    <n v="2000"/>
    <n v="7.17"/>
    <s v="Minor Loss"/>
    <n v="86"/>
    <n v="63"/>
    <n v="1"/>
    <n v="4"/>
    <s v="M"/>
    <x v="2"/>
    <x v="1"/>
    <s v="Own"/>
    <n v="1"/>
    <n v="0"/>
    <n v="8795.0088000000014"/>
    <n v="6420.3564240000005"/>
    <n v="4420.3564240000005"/>
  </r>
  <r>
    <s v="TXN00008068"/>
    <s v="A00008034"/>
    <s v="PLC00003736"/>
    <d v="2013-07-22T00:00:00"/>
    <d v="2021-04-01T00:00:00"/>
    <d v="2021-04-06T00:00:00"/>
    <n v="5"/>
    <n v="104.07"/>
    <n v="1248.8399999999999"/>
    <n v="5000"/>
    <s v="A"/>
    <n v="5000"/>
    <n v="4.5"/>
    <s v="Minor Loss"/>
    <n v="54"/>
    <n v="60"/>
    <n v="1"/>
    <n v="6"/>
    <s v="L"/>
    <x v="1"/>
    <x v="1"/>
    <s v="Rent"/>
    <n v="1"/>
    <n v="0"/>
    <n v="5619.78"/>
    <n v="4102.4393999999993"/>
    <n v="-897.5606000000007"/>
  </r>
  <r>
    <s v="TXN00008069"/>
    <s v="A00003927"/>
    <s v="PLC00005382"/>
    <d v="2015-01-04T00:00:00"/>
    <d v="2021-04-13T00:00:00"/>
    <d v="2021-04-13T00:00:00"/>
    <n v="0"/>
    <n v="111.08"/>
    <n v="1332.96"/>
    <n v="7000"/>
    <s v="A"/>
    <n v="7000"/>
    <n v="4"/>
    <s v="Minor Loss"/>
    <n v="48"/>
    <n v="53"/>
    <n v="1"/>
    <n v="7"/>
    <s v="M"/>
    <x v="2"/>
    <x v="4"/>
    <s v="Own"/>
    <n v="0"/>
    <n v="1"/>
    <n v="5331.84"/>
    <n v="3892.2431999999999"/>
    <n v="-3107.7568000000001"/>
  </r>
  <r>
    <s v="TXN00008072"/>
    <s v="A00003553"/>
    <s v="PLC00008313"/>
    <d v="2018-05-14T00:00:00"/>
    <d v="2021-04-09T00:00:00"/>
    <d v="2021-04-11T00:00:00"/>
    <n v="2"/>
    <n v="83.16"/>
    <n v="997.92"/>
    <n v="1000"/>
    <s v="A"/>
    <n v="1000"/>
    <n v="6.58"/>
    <s v="Minor Loss"/>
    <n v="79"/>
    <n v="54"/>
    <n v="1"/>
    <n v="7"/>
    <s v="M"/>
    <x v="0"/>
    <x v="4"/>
    <s v="Mortgage"/>
    <n v="1"/>
    <n v="1"/>
    <n v="6566.3135999999995"/>
    <n v="4793.4089279999998"/>
    <n v="3793.4089279999998"/>
  </r>
  <r>
    <s v="TXN00008081"/>
    <s v="A00004312"/>
    <s v="PLC00005767"/>
    <d v="2013-03-15T00:00:00"/>
    <d v="2021-03-31T00:00:00"/>
    <d v="2021-04-05T00:00:00"/>
    <n v="5"/>
    <n v="87.9"/>
    <n v="1054.8"/>
    <n v="9000"/>
    <s v="A"/>
    <n v="9000"/>
    <n v="6.25"/>
    <s v="Total Loss"/>
    <n v="75"/>
    <n v="39"/>
    <n v="0"/>
    <n v="4"/>
    <s v="M"/>
    <x v="2"/>
    <x v="3"/>
    <s v="Rent"/>
    <n v="1"/>
    <n v="1"/>
    <n v="6592.5"/>
    <n v="4812.5249999999996"/>
    <n v="-4187.4750000000004"/>
  </r>
  <r>
    <s v="TXN00008083"/>
    <s v="A00003148"/>
    <s v="PLC00002553"/>
    <d v="2014-12-02T00:00:00"/>
    <d v="2021-04-03T00:00:00"/>
    <d v="2021-04-08T00:00:00"/>
    <n v="5"/>
    <n v="122.8"/>
    <n v="1473.6"/>
    <n v="1000"/>
    <s v="A"/>
    <n v="1000"/>
    <n v="9.58"/>
    <s v="Major Loss"/>
    <n v="115"/>
    <n v="53"/>
    <n v="1"/>
    <n v="2"/>
    <s v="L"/>
    <x v="0"/>
    <x v="0"/>
    <s v="Rent"/>
    <n v="1"/>
    <n v="1"/>
    <n v="14117.088"/>
    <n v="10305.47424"/>
    <n v="9305.4742399999996"/>
  </r>
  <r>
    <s v="TXN00008088"/>
    <s v="A00002537"/>
    <s v="PLC00005836"/>
    <d v="2012-12-03T00:00:00"/>
    <d v="2021-04-12T00:00:00"/>
    <d v="2021-04-13T00:00:00"/>
    <n v="1"/>
    <n v="83.53"/>
    <n v="1002.36"/>
    <n v="9000"/>
    <s v="A"/>
    <n v="9000"/>
    <n v="7.58"/>
    <s v="Minor Loss"/>
    <n v="91"/>
    <n v="48"/>
    <n v="1"/>
    <n v="7"/>
    <s v="L"/>
    <x v="2"/>
    <x v="1"/>
    <s v="Own"/>
    <n v="1"/>
    <n v="1"/>
    <n v="7597.8888000000006"/>
    <n v="5546.4588240000003"/>
    <n v="-3453.5411759999997"/>
  </r>
  <r>
    <s v="TXN00008093"/>
    <s v="A00006386"/>
    <s v="PLC00005136"/>
    <d v="2012-07-26T00:00:00"/>
    <d v="2021-04-09T00:00:00"/>
    <d v="2021-04-12T00:00:00"/>
    <n v="3"/>
    <n v="112.99"/>
    <n v="1355.88"/>
    <n v="7000"/>
    <s v="A"/>
    <n v="7000"/>
    <n v="1.58"/>
    <s v="Minor Loss"/>
    <n v="19"/>
    <n v="37"/>
    <n v="1"/>
    <n v="5"/>
    <s v="H"/>
    <x v="0"/>
    <x v="1"/>
    <s v="Own"/>
    <n v="1"/>
    <n v="1"/>
    <n v="2142.2904000000003"/>
    <n v="1563.8719920000001"/>
    <n v="-5436.1280079999997"/>
  </r>
  <r>
    <s v="TXN00008104"/>
    <s v="A00000469"/>
    <s v="PLC00006429"/>
    <d v="2019-06-18T00:00:00"/>
    <d v="2021-04-12T00:00:00"/>
    <d v="2021-04-13T00:00:00"/>
    <n v="1"/>
    <n v="100.1"/>
    <n v="1201.2"/>
    <n v="7000"/>
    <s v="A"/>
    <n v="7000"/>
    <n v="8.25"/>
    <s v="Major Loss"/>
    <n v="99"/>
    <n v="35"/>
    <n v="1"/>
    <n v="5"/>
    <s v="H"/>
    <x v="0"/>
    <x v="0"/>
    <s v="Mortgage"/>
    <n v="1"/>
    <n v="1"/>
    <n v="9909.9"/>
    <n v="7234.2269999999999"/>
    <n v="234.22699999999986"/>
  </r>
  <r>
    <s v="TXN00008107"/>
    <s v="A00002370"/>
    <s v="PLC00008991"/>
    <d v="2014-06-04T00:00:00"/>
    <d v="2021-04-15T00:00:00"/>
    <d v="2021-04-15T00:00:00"/>
    <n v="0"/>
    <n v="136.72999999999999"/>
    <n v="1640.76"/>
    <n v="9000"/>
    <s v="A"/>
    <n v="9000"/>
    <n v="3.5"/>
    <s v="Total Loss"/>
    <n v="42"/>
    <n v="57"/>
    <n v="1"/>
    <n v="5"/>
    <s v="M"/>
    <x v="0"/>
    <x v="1"/>
    <s v="Rent"/>
    <n v="0"/>
    <n v="1"/>
    <n v="5742.66"/>
    <n v="4192.1417999999994"/>
    <n v="-4807.8582000000006"/>
  </r>
  <r>
    <s v="TXN00008118"/>
    <s v="A00008575"/>
    <s v="PLC00008125"/>
    <d v="2018-09-12T00:00:00"/>
    <d v="2021-03-31T00:00:00"/>
    <d v="2021-04-05T00:00:00"/>
    <n v="5"/>
    <n v="109.92"/>
    <n v="1319.04"/>
    <n v="10000"/>
    <s v="A"/>
    <n v="10000"/>
    <n v="8.25"/>
    <s v="Major Loss"/>
    <n v="99"/>
    <n v="43"/>
    <n v="1"/>
    <n v="3"/>
    <s v="L"/>
    <x v="0"/>
    <x v="1"/>
    <s v="Own"/>
    <n v="1"/>
    <n v="1"/>
    <n v="10882.08"/>
    <n v="7943.9183999999996"/>
    <n v="-2056.0816000000004"/>
  </r>
  <r>
    <s v="TXN00008125"/>
    <s v="A00005838"/>
    <s v="PLC00009615"/>
    <d v="2012-10-19T00:00:00"/>
    <d v="2021-04-16T00:00:00"/>
    <d v="2021-04-16T00:00:00"/>
    <n v="0"/>
    <n v="123.22"/>
    <n v="1478.64"/>
    <n v="3000"/>
    <s v="A"/>
    <n v="3000"/>
    <n v="6.33"/>
    <s v="Total Loss"/>
    <n v="76"/>
    <n v="25"/>
    <n v="1"/>
    <n v="4"/>
    <s v="L"/>
    <x v="2"/>
    <x v="5"/>
    <s v="Mortgage"/>
    <n v="1"/>
    <n v="1"/>
    <n v="9359.7912000000015"/>
    <n v="6832.6475760000012"/>
    <n v="3832.6475760000012"/>
  </r>
  <r>
    <s v="TXN00008129"/>
    <s v="A00000318"/>
    <s v="PLC00007706"/>
    <d v="2012-05-15T00:00:00"/>
    <d v="2021-04-12T00:00:00"/>
    <d v="2021-04-14T00:00:00"/>
    <n v="2"/>
    <n v="79.36"/>
    <n v="952.32"/>
    <n v="7000"/>
    <s v="A"/>
    <n v="7000"/>
    <n v="9"/>
    <s v="Total Loss"/>
    <n v="108"/>
    <n v="61"/>
    <n v="1"/>
    <n v="3"/>
    <s v="M"/>
    <x v="0"/>
    <x v="0"/>
    <s v="Own"/>
    <n v="1"/>
    <n v="1"/>
    <n v="8570.880000000001"/>
    <n v="6256.742400000001"/>
    <n v="-743.257599999999"/>
  </r>
  <r>
    <s v="TXN00008137"/>
    <s v="A00006448"/>
    <s v="PLC00008311"/>
    <d v="2012-03-16T00:00:00"/>
    <d v="2021-04-16T00:00:00"/>
    <d v="2021-04-16T00:00:00"/>
    <n v="0"/>
    <n v="112.15"/>
    <n v="1345.8"/>
    <n v="4000"/>
    <s v="A"/>
    <n v="4000"/>
    <n v="2.25"/>
    <s v="Major Loss"/>
    <n v="27"/>
    <n v="44"/>
    <n v="1"/>
    <n v="3"/>
    <s v="L"/>
    <x v="2"/>
    <x v="0"/>
    <s v="Own"/>
    <n v="1"/>
    <n v="1"/>
    <n v="3028.0499999999997"/>
    <n v="2210.4764999999998"/>
    <n v="-1789.5235000000002"/>
  </r>
  <r>
    <s v="TXN00008143"/>
    <s v="A00004071"/>
    <s v="PLC00009851"/>
    <d v="2010-09-17T00:00:00"/>
    <d v="2021-04-12T00:00:00"/>
    <d v="2021-04-14T00:00:00"/>
    <n v="2"/>
    <n v="112.67"/>
    <n v="1352.04"/>
    <n v="9000"/>
    <s v="A"/>
    <n v="9000"/>
    <n v="8.83"/>
    <s v="Total Loss"/>
    <n v="106"/>
    <n v="38"/>
    <n v="1"/>
    <n v="4"/>
    <s v="L"/>
    <x v="2"/>
    <x v="2"/>
    <s v="Rent"/>
    <n v="1"/>
    <n v="1"/>
    <n v="11938.513199999999"/>
    <n v="8715.1146360000002"/>
    <n v="-284.88536399999975"/>
  </r>
  <r>
    <s v="TXN00008145"/>
    <s v="A00008745"/>
    <s v="PLC00006585"/>
    <d v="2016-01-19T00:00:00"/>
    <d v="2021-04-15T00:00:00"/>
    <d v="2021-04-16T00:00:00"/>
    <n v="1"/>
    <n v="98.92"/>
    <n v="1187.04"/>
    <n v="1000"/>
    <s v="A"/>
    <n v="1000"/>
    <n v="0.67"/>
    <s v="Minor Loss"/>
    <n v="8"/>
    <n v="37"/>
    <n v="1"/>
    <n v="2"/>
    <s v="L"/>
    <x v="0"/>
    <x v="4"/>
    <s v="Mortgage"/>
    <n v="0"/>
    <n v="1"/>
    <n v="795.31680000000006"/>
    <n v="580.58126400000003"/>
    <n v="-419.41873599999997"/>
  </r>
  <r>
    <s v="TXN00008167"/>
    <s v="A00003504"/>
    <s v="PLC00003299"/>
    <d v="2010-08-31T00:00:00"/>
    <d v="2021-04-10T00:00:00"/>
    <d v="2021-04-13T00:00:00"/>
    <n v="3"/>
    <n v="90.65"/>
    <n v="1087.8"/>
    <n v="3000"/>
    <s v="A"/>
    <n v="3000"/>
    <n v="5.42"/>
    <s v="Major Loss"/>
    <n v="65"/>
    <n v="27"/>
    <n v="0"/>
    <n v="4"/>
    <s v="L"/>
    <x v="0"/>
    <x v="1"/>
    <s v="Rent"/>
    <n v="1"/>
    <n v="0"/>
    <n v="5895.8759999999993"/>
    <n v="4303.9894799999993"/>
    <n v="1303.9894799999993"/>
  </r>
  <r>
    <s v="TXN00008168"/>
    <s v="A00004774"/>
    <s v="PLC00002468"/>
    <d v="2014-02-27T00:00:00"/>
    <d v="2021-04-01T00:00:00"/>
    <d v="2021-04-06T00:00:00"/>
    <n v="5"/>
    <n v="98.25"/>
    <n v="1179"/>
    <n v="1000"/>
    <s v="A"/>
    <n v="1000"/>
    <n v="9.75"/>
    <s v="Major Loss"/>
    <n v="117"/>
    <n v="45"/>
    <n v="1"/>
    <n v="2"/>
    <s v="L"/>
    <x v="0"/>
    <x v="1"/>
    <s v="Rent"/>
    <n v="1"/>
    <n v="1"/>
    <n v="11495.25"/>
    <n v="8391.5324999999993"/>
    <n v="7391.5324999999993"/>
  </r>
  <r>
    <s v="TXN00008178"/>
    <s v="A00004715"/>
    <s v="PLC00001150"/>
    <d v="2018-07-16T00:00:00"/>
    <d v="2021-03-31T00:00:00"/>
    <d v="2021-04-05T00:00:00"/>
    <n v="5"/>
    <n v="135.58000000000001"/>
    <n v="1626.96"/>
    <n v="6000"/>
    <s v="A"/>
    <n v="6000"/>
    <n v="3.5"/>
    <s v="Major Loss"/>
    <n v="42"/>
    <n v="36"/>
    <n v="0"/>
    <n v="3"/>
    <s v="L"/>
    <x v="1"/>
    <x v="6"/>
    <s v="Own"/>
    <n v="1"/>
    <n v="1"/>
    <n v="5694.3600000000006"/>
    <n v="4156.8828000000003"/>
    <n v="-1843.1171999999997"/>
  </r>
  <r>
    <s v="TXN00008184"/>
    <s v="A00009091"/>
    <s v="PLC00003010"/>
    <d v="2013-09-14T00:00:00"/>
    <d v="2021-04-03T00:00:00"/>
    <d v="2021-04-08T00:00:00"/>
    <n v="5"/>
    <n v="95.13"/>
    <n v="1141.56"/>
    <n v="7000"/>
    <s v="A"/>
    <n v="7000"/>
    <n v="2.5"/>
    <s v="Total Loss"/>
    <n v="30"/>
    <n v="47"/>
    <n v="0"/>
    <n v="7"/>
    <s v="L"/>
    <x v="2"/>
    <x v="3"/>
    <s v="Own"/>
    <n v="0"/>
    <n v="1"/>
    <n v="2853.8999999999996"/>
    <n v="2083.3469999999998"/>
    <n v="-4916.6530000000002"/>
  </r>
  <r>
    <s v="TXN00008185"/>
    <s v="A00009006"/>
    <s v="PLC00005722"/>
    <d v="2012-09-02T00:00:00"/>
    <d v="2021-04-10T00:00:00"/>
    <d v="2021-04-15T00:00:00"/>
    <n v="5"/>
    <n v="90.17"/>
    <n v="1082.04"/>
    <n v="6000"/>
    <s v="A"/>
    <n v="6000"/>
    <n v="0.57999999999999996"/>
    <s v="Minor Loss"/>
    <n v="7"/>
    <n v="61"/>
    <n v="1"/>
    <n v="7"/>
    <s v="M"/>
    <x v="0"/>
    <x v="1"/>
    <s v="Own"/>
    <n v="1"/>
    <n v="0"/>
    <n v="627.58319999999992"/>
    <n v="458.13573599999995"/>
    <n v="-5541.8642639999998"/>
  </r>
  <r>
    <s v="TXN00008188"/>
    <s v="A00009027"/>
    <s v="PLC00000799"/>
    <d v="2013-01-05T00:00:00"/>
    <d v="2021-04-05T00:00:00"/>
    <d v="2021-04-10T00:00:00"/>
    <n v="5"/>
    <n v="96.64"/>
    <n v="1159.68"/>
    <n v="1000"/>
    <s v="A"/>
    <n v="1000"/>
    <n v="3.5"/>
    <s v="Total Loss"/>
    <n v="42"/>
    <n v="43"/>
    <n v="1"/>
    <n v="6"/>
    <s v="M"/>
    <x v="2"/>
    <x v="0"/>
    <s v="Rent"/>
    <n v="0"/>
    <n v="0"/>
    <n v="4058.88"/>
    <n v="2962.9823999999999"/>
    <n v="1962.9823999999999"/>
  </r>
  <r>
    <s v="TXN00008200"/>
    <s v="A00000695"/>
    <s v="PLC00001279"/>
    <d v="2012-04-12T00:00:00"/>
    <d v="2021-04-14T00:00:00"/>
    <d v="2021-04-16T00:00:00"/>
    <n v="2"/>
    <n v="122.66"/>
    <n v="1471.92"/>
    <n v="6000"/>
    <s v="A"/>
    <n v="6000"/>
    <n v="4.17"/>
    <s v="Minor Loss"/>
    <n v="50"/>
    <n v="57"/>
    <n v="0"/>
    <n v="4"/>
    <s v="L"/>
    <x v="2"/>
    <x v="1"/>
    <s v="Own"/>
    <n v="1"/>
    <n v="1"/>
    <n v="6137.9063999999998"/>
    <n v="4480.6716719999995"/>
    <n v="-1519.3283280000005"/>
  </r>
  <r>
    <s v="TXN00008204"/>
    <s v="A00003256"/>
    <s v="PLC00005638"/>
    <d v="2016-10-17T00:00:00"/>
    <d v="2021-04-01T00:00:00"/>
    <d v="2021-04-06T00:00:00"/>
    <n v="5"/>
    <n v="125.85"/>
    <n v="1510.2"/>
    <n v="5000"/>
    <s v="A"/>
    <n v="5000"/>
    <n v="4.08"/>
    <s v="Minor Loss"/>
    <n v="49"/>
    <n v="46"/>
    <n v="1"/>
    <n v="2"/>
    <s v="L"/>
    <x v="0"/>
    <x v="3"/>
    <s v="Rent"/>
    <n v="1"/>
    <n v="1"/>
    <n v="6161.616"/>
    <n v="4497.9796799999995"/>
    <n v="-502.02032000000054"/>
  </r>
  <r>
    <s v="TXN00008205"/>
    <s v="A00004015"/>
    <s v="PLC00006357"/>
    <d v="2012-10-31T00:00:00"/>
    <d v="2021-04-20T00:00:00"/>
    <d v="2021-04-20T00:00:00"/>
    <n v="0"/>
    <n v="102.35"/>
    <n v="1228.2"/>
    <n v="9000"/>
    <s v="A"/>
    <n v="9000"/>
    <n v="9.5"/>
    <s v="Minor Loss"/>
    <n v="114"/>
    <n v="42"/>
    <n v="0"/>
    <n v="4"/>
    <s v="M"/>
    <x v="1"/>
    <x v="5"/>
    <s v="Mortgage"/>
    <n v="1"/>
    <n v="1"/>
    <n v="11667.9"/>
    <n v="8517.5669999999991"/>
    <n v="-482.4330000000009"/>
  </r>
  <r>
    <s v="TXN00008233"/>
    <s v="A00009406"/>
    <s v="PLC00008652"/>
    <d v="2012-07-29T00:00:00"/>
    <d v="2021-04-14T00:00:00"/>
    <d v="2021-04-17T00:00:00"/>
    <n v="3"/>
    <n v="124.84"/>
    <n v="1498.08"/>
    <n v="2000"/>
    <s v="A"/>
    <n v="2000"/>
    <n v="8.42"/>
    <s v="Major Loss"/>
    <n v="101"/>
    <n v="54"/>
    <n v="1"/>
    <n v="6"/>
    <s v="L"/>
    <x v="0"/>
    <x v="1"/>
    <s v="Own"/>
    <n v="1"/>
    <n v="1"/>
    <n v="12613.8336"/>
    <n v="9208.0985280000004"/>
    <n v="7208.0985280000004"/>
  </r>
  <r>
    <s v="TXN00008239"/>
    <s v="A00008010"/>
    <s v="PLC00001755"/>
    <d v="2014-08-05T00:00:00"/>
    <d v="2021-04-06T00:00:00"/>
    <d v="2021-04-11T00:00:00"/>
    <n v="5"/>
    <n v="114.03"/>
    <n v="1368.36"/>
    <n v="6000"/>
    <s v="A"/>
    <n v="6000"/>
    <n v="7.67"/>
    <s v="Minor Loss"/>
    <n v="92"/>
    <n v="59"/>
    <n v="0"/>
    <n v="4"/>
    <s v="M"/>
    <x v="2"/>
    <x v="5"/>
    <s v="Mortgage"/>
    <n v="1"/>
    <n v="0"/>
    <n v="10495.321199999998"/>
    <n v="7661.5844759999991"/>
    <n v="1661.5844759999991"/>
  </r>
  <r>
    <s v="TXN00008256"/>
    <s v="A00007721"/>
    <s v="PLC00000336"/>
    <d v="2018-05-22T00:00:00"/>
    <d v="2021-04-10T00:00:00"/>
    <d v="2021-04-15T00:00:00"/>
    <n v="5"/>
    <n v="102.73"/>
    <n v="1232.76"/>
    <n v="1000"/>
    <s v="A"/>
    <n v="1000"/>
    <n v="3.17"/>
    <s v="Minor Loss"/>
    <n v="38"/>
    <n v="57"/>
    <n v="1"/>
    <n v="7"/>
    <s v="M"/>
    <x v="1"/>
    <x v="1"/>
    <s v="Rent"/>
    <n v="1"/>
    <n v="1"/>
    <n v="3907.8492000000001"/>
    <n v="2852.7299160000002"/>
    <n v="1852.7299160000002"/>
  </r>
  <r>
    <s v="TXN00008257"/>
    <s v="A00009248"/>
    <s v="PLC00008852"/>
    <d v="2014-08-31T00:00:00"/>
    <d v="2021-04-05T00:00:00"/>
    <d v="2021-04-10T00:00:00"/>
    <n v="5"/>
    <n v="130.43"/>
    <n v="1565.16"/>
    <n v="3000"/>
    <s v="A"/>
    <n v="3000"/>
    <n v="0.57999999999999996"/>
    <s v="Total Loss"/>
    <n v="7"/>
    <n v="54"/>
    <n v="1"/>
    <n v="6"/>
    <s v="L"/>
    <x v="0"/>
    <x v="1"/>
    <s v="Mortgage"/>
    <n v="1"/>
    <n v="1"/>
    <n v="907.79279999999994"/>
    <n v="662.68874399999993"/>
    <n v="-2337.311256"/>
  </r>
  <r>
    <s v="TXN00008258"/>
    <s v="A00004924"/>
    <s v="PLC00000143"/>
    <d v="2011-01-04T00:00:00"/>
    <d v="2021-04-04T00:00:00"/>
    <d v="2021-04-09T00:00:00"/>
    <n v="5"/>
    <n v="115.99"/>
    <n v="1391.88"/>
    <n v="4000"/>
    <s v="A"/>
    <n v="4000"/>
    <n v="1.75"/>
    <s v="Major Loss"/>
    <n v="21"/>
    <n v="54"/>
    <n v="1"/>
    <n v="3"/>
    <s v="H"/>
    <x v="1"/>
    <x v="0"/>
    <s v="Mortgage"/>
    <n v="1"/>
    <n v="1"/>
    <n v="2435.79"/>
    <n v="1778.1267"/>
    <n v="-2221.8733000000002"/>
  </r>
  <r>
    <s v="TXN00008260"/>
    <s v="A00006682"/>
    <s v="PLC00007396"/>
    <d v="2016-07-31T00:00:00"/>
    <d v="2021-04-16T00:00:00"/>
    <d v="2021-04-18T00:00:00"/>
    <n v="2"/>
    <n v="99.21"/>
    <n v="1190.52"/>
    <n v="2000"/>
    <s v="A"/>
    <n v="2000"/>
    <n v="1"/>
    <s v="Total Loss"/>
    <n v="12"/>
    <n v="30"/>
    <n v="1"/>
    <n v="4"/>
    <s v="L"/>
    <x v="1"/>
    <x v="6"/>
    <s v="Rent"/>
    <n v="1"/>
    <n v="1"/>
    <n v="1190.52"/>
    <n v="869.07959999999991"/>
    <n v="-1130.9204"/>
  </r>
  <r>
    <s v="TXN00008271"/>
    <s v="A00001177"/>
    <s v="PLC00006880"/>
    <d v="2011-05-19T00:00:00"/>
    <d v="2021-04-10T00:00:00"/>
    <d v="2021-04-15T00:00:00"/>
    <n v="5"/>
    <n v="92.04"/>
    <n v="1104.48"/>
    <n v="7000"/>
    <s v="A"/>
    <n v="7000"/>
    <n v="9.67"/>
    <s v="Major Loss"/>
    <n v="116"/>
    <n v="56"/>
    <n v="1"/>
    <n v="7"/>
    <s v="M"/>
    <x v="0"/>
    <x v="1"/>
    <s v="Own"/>
    <n v="1"/>
    <n v="0"/>
    <n v="10680.321599999999"/>
    <n v="7796.634767999999"/>
    <n v="796.63476799999899"/>
  </r>
  <r>
    <s v="TXN00008274"/>
    <s v="A00009893"/>
    <s v="PLC00009468"/>
    <d v="2011-11-04T00:00:00"/>
    <d v="2021-04-07T00:00:00"/>
    <d v="2021-04-12T00:00:00"/>
    <n v="5"/>
    <n v="85.77"/>
    <n v="1029.24"/>
    <n v="2000"/>
    <s v="A"/>
    <n v="2000"/>
    <n v="7.83"/>
    <s v="Major Loss"/>
    <n v="94"/>
    <n v="62"/>
    <n v="1"/>
    <n v="7"/>
    <s v="M"/>
    <x v="0"/>
    <x v="1"/>
    <s v="Mortgage"/>
    <n v="0"/>
    <n v="1"/>
    <n v="8058.9492"/>
    <n v="5883.0329160000001"/>
    <n v="3883.0329160000001"/>
  </r>
  <r>
    <s v="TXN00008281"/>
    <s v="A00009435"/>
    <s v="PLC00008964"/>
    <d v="2012-08-07T00:00:00"/>
    <d v="2021-04-16T00:00:00"/>
    <d v="2021-04-19T00:00:00"/>
    <n v="3"/>
    <n v="97.65"/>
    <n v="1171.8"/>
    <n v="5000"/>
    <s v="A"/>
    <n v="5000"/>
    <n v="8.5"/>
    <s v="Total Loss"/>
    <n v="102"/>
    <n v="36"/>
    <n v="1"/>
    <n v="6"/>
    <s v="M"/>
    <x v="1"/>
    <x v="1"/>
    <s v="Mortgage"/>
    <n v="0"/>
    <n v="1"/>
    <n v="9960.2999999999993"/>
    <n v="7271.0189999999993"/>
    <n v="2271.0189999999993"/>
  </r>
  <r>
    <s v="TXN00008286"/>
    <s v="A00006445"/>
    <s v="PLC00005439"/>
    <d v="2015-08-01T00:00:00"/>
    <d v="2021-04-24T00:00:00"/>
    <d v="2021-04-24T00:00:00"/>
    <n v="0"/>
    <n v="110.77"/>
    <n v="1329.24"/>
    <n v="4000"/>
    <s v="A"/>
    <n v="4000"/>
    <n v="2.25"/>
    <s v="Total Loss"/>
    <n v="27"/>
    <n v="39"/>
    <n v="1"/>
    <n v="2"/>
    <s v="H"/>
    <x v="1"/>
    <x v="4"/>
    <s v="Rent"/>
    <n v="1"/>
    <n v="1"/>
    <n v="2990.79"/>
    <n v="2183.2766999999999"/>
    <n v="-1816.7233000000001"/>
  </r>
  <r>
    <s v="TXN00008287"/>
    <s v="A00000491"/>
    <s v="PLC00001975"/>
    <d v="2017-04-10T00:00:00"/>
    <d v="2021-04-06T00:00:00"/>
    <d v="2021-04-11T00:00:00"/>
    <n v="5"/>
    <n v="135.82"/>
    <n v="1629.84"/>
    <n v="3000"/>
    <s v="A"/>
    <n v="3000"/>
    <n v="4.08"/>
    <s v="Major Loss"/>
    <n v="49"/>
    <n v="58"/>
    <n v="1"/>
    <n v="2"/>
    <s v="L"/>
    <x v="0"/>
    <x v="1"/>
    <s v="Rent"/>
    <n v="1"/>
    <n v="1"/>
    <n v="6649.7471999999998"/>
    <n v="4854.3154559999994"/>
    <n v="1854.3154559999994"/>
  </r>
  <r>
    <s v="TXN00008293"/>
    <s v="A00005126"/>
    <s v="PLC00000976"/>
    <d v="2015-06-01T00:00:00"/>
    <d v="2021-04-23T00:00:00"/>
    <d v="2021-04-23T00:00:00"/>
    <n v="0"/>
    <n v="119.39"/>
    <n v="1432.68"/>
    <n v="4000"/>
    <s v="A"/>
    <n v="4000"/>
    <n v="1"/>
    <s v="Total Loss"/>
    <n v="12"/>
    <n v="41"/>
    <n v="1"/>
    <n v="4"/>
    <s v="L"/>
    <x v="0"/>
    <x v="3"/>
    <s v="Mortgage"/>
    <n v="1"/>
    <n v="1"/>
    <n v="1432.68"/>
    <n v="1045.8564000000001"/>
    <n v="-2954.1435999999999"/>
  </r>
  <r>
    <s v="TXN00008306"/>
    <s v="A00005100"/>
    <s v="PLC00007370"/>
    <d v="2017-07-01T00:00:00"/>
    <d v="2021-04-10T00:00:00"/>
    <d v="2021-04-15T00:00:00"/>
    <n v="5"/>
    <n v="120.04"/>
    <n v="1440.48"/>
    <n v="3000"/>
    <s v="A"/>
    <n v="3000"/>
    <n v="5.17"/>
    <s v="Total Loss"/>
    <n v="62"/>
    <n v="47"/>
    <n v="0"/>
    <n v="7"/>
    <s v="M"/>
    <x v="0"/>
    <x v="0"/>
    <s v="Mortgage"/>
    <n v="0"/>
    <n v="1"/>
    <n v="7447.2816000000003"/>
    <n v="5436.5155679999998"/>
    <n v="2436.5155679999998"/>
  </r>
  <r>
    <s v="TXN00008315"/>
    <s v="A00008938"/>
    <s v="PLC00003046"/>
    <d v="2019-05-08T00:00:00"/>
    <d v="2021-04-10T00:00:00"/>
    <d v="2021-04-15T00:00:00"/>
    <n v="5"/>
    <n v="91.45"/>
    <n v="1097.4000000000001"/>
    <n v="8000"/>
    <s v="D"/>
    <n v="0"/>
    <n v="9.58"/>
    <s v="Major Loss"/>
    <n v="115"/>
    <n v="59"/>
    <n v="1"/>
    <n v="4"/>
    <s v="L"/>
    <x v="2"/>
    <x v="2"/>
    <s v="Own"/>
    <n v="0"/>
    <n v="0"/>
    <n v="10513.092000000001"/>
    <n v="7674.5571600000003"/>
    <n v="7674.5571600000003"/>
  </r>
  <r>
    <s v="TXN00008320"/>
    <s v="A00007658"/>
    <s v="PLC00008210"/>
    <d v="2016-03-14T00:00:00"/>
    <d v="2021-04-10T00:00:00"/>
    <d v="2021-04-15T00:00:00"/>
    <n v="5"/>
    <n v="74.11"/>
    <n v="889.32"/>
    <n v="8000"/>
    <s v="A"/>
    <n v="8000"/>
    <n v="7.17"/>
    <s v="Major Loss"/>
    <n v="86"/>
    <n v="45"/>
    <n v="1"/>
    <n v="3"/>
    <s v="L"/>
    <x v="0"/>
    <x v="1"/>
    <s v="Rent"/>
    <n v="1"/>
    <n v="1"/>
    <n v="6376.4243999999999"/>
    <n v="4654.789812"/>
    <n v="-3345.210188"/>
  </r>
  <r>
    <s v="TXN00008324"/>
    <s v="A00000351"/>
    <s v="PLC00002552"/>
    <d v="2013-10-12T00:00:00"/>
    <d v="2021-04-20T00:00:00"/>
    <d v="2021-04-22T00:00:00"/>
    <n v="2"/>
    <n v="88.47"/>
    <n v="1061.6400000000001"/>
    <n v="7000"/>
    <s v="D"/>
    <n v="0"/>
    <n v="7.75"/>
    <s v="Total Loss"/>
    <n v="93"/>
    <n v="51"/>
    <n v="0"/>
    <n v="7"/>
    <s v="M"/>
    <x v="2"/>
    <x v="0"/>
    <s v="Own"/>
    <n v="0"/>
    <n v="0"/>
    <n v="8227.7100000000009"/>
    <n v="6006.2283000000007"/>
    <n v="6006.2283000000007"/>
  </r>
  <r>
    <s v="TXN00008325"/>
    <s v="A00007177"/>
    <s v="PLC00006975"/>
    <d v="2014-02-07T00:00:00"/>
    <d v="2021-04-12T00:00:00"/>
    <d v="2021-04-17T00:00:00"/>
    <n v="5"/>
    <n v="124.2"/>
    <n v="1490.4"/>
    <n v="2000"/>
    <s v="A"/>
    <n v="2000"/>
    <n v="3.17"/>
    <s v="Total Loss"/>
    <n v="38"/>
    <n v="29"/>
    <n v="0"/>
    <n v="3"/>
    <s v="L"/>
    <x v="2"/>
    <x v="1"/>
    <s v="Rent"/>
    <n v="0"/>
    <n v="1"/>
    <n v="4724.5680000000002"/>
    <n v="3448.9346399999999"/>
    <n v="1448.9346399999999"/>
  </r>
  <r>
    <s v="TXN00008326"/>
    <s v="A00008380"/>
    <s v="PLC00008683"/>
    <d v="2011-03-01T00:00:00"/>
    <d v="2021-04-25T00:00:00"/>
    <d v="2021-04-25T00:00:00"/>
    <n v="0"/>
    <n v="79.739999999999995"/>
    <n v="956.88"/>
    <n v="7000"/>
    <s v="A"/>
    <n v="7000"/>
    <n v="2.33"/>
    <s v="Major Loss"/>
    <n v="28"/>
    <n v="58"/>
    <n v="0"/>
    <n v="7"/>
    <s v="L"/>
    <x v="0"/>
    <x v="0"/>
    <s v="Rent"/>
    <n v="1"/>
    <n v="1"/>
    <n v="2229.5304000000001"/>
    <n v="1627.557192"/>
    <n v="-5372.4428079999998"/>
  </r>
  <r>
    <s v="TXN00008328"/>
    <s v="A00003502"/>
    <s v="PLC00005460"/>
    <d v="2013-01-19T00:00:00"/>
    <d v="2021-04-25T00:00:00"/>
    <d v="2021-04-25T00:00:00"/>
    <n v="0"/>
    <n v="118.17"/>
    <n v="1418.04"/>
    <n v="1000"/>
    <s v="A"/>
    <n v="1000"/>
    <n v="8.33"/>
    <s v="Major Loss"/>
    <n v="100"/>
    <n v="61"/>
    <n v="1"/>
    <n v="4"/>
    <s v="L"/>
    <x v="0"/>
    <x v="2"/>
    <s v="Rent"/>
    <n v="1"/>
    <n v="1"/>
    <n v="11812.2732"/>
    <n v="8622.9594359999992"/>
    <n v="7622.9594359999992"/>
  </r>
  <r>
    <s v="TXN00008331"/>
    <s v="A00009891"/>
    <s v="PLC00008809"/>
    <d v="2013-08-11T00:00:00"/>
    <d v="2021-04-10T00:00:00"/>
    <d v="2021-04-15T00:00:00"/>
    <n v="5"/>
    <n v="129.07"/>
    <n v="1548.84"/>
    <n v="2000"/>
    <s v="A"/>
    <n v="2000"/>
    <n v="8.58"/>
    <s v="Major Loss"/>
    <n v="103"/>
    <n v="46"/>
    <n v="1"/>
    <n v="7"/>
    <s v="L"/>
    <x v="1"/>
    <x v="1"/>
    <s v="Mortgage"/>
    <n v="1"/>
    <n v="1"/>
    <n v="13289.047199999999"/>
    <n v="9701.0044559999988"/>
    <n v="7701.0044559999988"/>
  </r>
  <r>
    <s v="TXN00008335"/>
    <s v="A00005765"/>
    <s v="PLC00009683"/>
    <d v="2017-12-10T00:00:00"/>
    <d v="2021-04-20T00:00:00"/>
    <d v="2021-04-22T00:00:00"/>
    <n v="2"/>
    <n v="136.02000000000001"/>
    <n v="1632.24"/>
    <n v="7000"/>
    <s v="A"/>
    <n v="7000"/>
    <n v="5.08"/>
    <s v="Minor Loss"/>
    <n v="61"/>
    <n v="46"/>
    <n v="1"/>
    <n v="2"/>
    <s v="H"/>
    <x v="0"/>
    <x v="0"/>
    <s v="Mortgage"/>
    <n v="1"/>
    <n v="1"/>
    <n v="8291.7792000000009"/>
    <n v="6052.9988160000003"/>
    <n v="-947.00118399999974"/>
  </r>
  <r>
    <s v="TXN00008337"/>
    <s v="A00000587"/>
    <s v="PLC00001336"/>
    <d v="2016-08-05T00:00:00"/>
    <d v="2021-04-12T00:00:00"/>
    <d v="2021-04-17T00:00:00"/>
    <n v="5"/>
    <n v="111.3"/>
    <n v="1335.6"/>
    <n v="7000"/>
    <s v="D"/>
    <n v="0"/>
    <n v="2.33"/>
    <s v="Major Loss"/>
    <n v="28"/>
    <n v="28"/>
    <n v="0"/>
    <n v="7"/>
    <s v="M"/>
    <x v="0"/>
    <x v="4"/>
    <s v="Rent"/>
    <n v="1"/>
    <n v="1"/>
    <n v="3111.9479999999999"/>
    <n v="2271.7220399999997"/>
    <n v="2271.7220399999997"/>
  </r>
  <r>
    <s v="TXN00008342"/>
    <s v="A00001542"/>
    <s v="PLC00006351"/>
    <d v="2017-04-24T00:00:00"/>
    <d v="2021-04-09T00:00:00"/>
    <d v="2021-04-14T00:00:00"/>
    <n v="5"/>
    <n v="93.6"/>
    <n v="1123.2"/>
    <n v="3000"/>
    <s v="A"/>
    <n v="3000"/>
    <n v="1"/>
    <s v="Total Loss"/>
    <n v="12"/>
    <n v="51"/>
    <n v="0"/>
    <n v="7"/>
    <s v="M"/>
    <x v="2"/>
    <x v="3"/>
    <s v="Mortgage"/>
    <n v="1"/>
    <n v="0"/>
    <n v="1123.2"/>
    <n v="819.93600000000004"/>
    <n v="-2180.0639999999999"/>
  </r>
  <r>
    <s v="TXN00008353"/>
    <s v="A00004633"/>
    <s v="PLC00000334"/>
    <d v="2010-10-20T00:00:00"/>
    <d v="2021-04-07T00:00:00"/>
    <d v="2021-04-12T00:00:00"/>
    <n v="5"/>
    <n v="95.38"/>
    <n v="1144.56"/>
    <n v="5000"/>
    <s v="A"/>
    <n v="5000"/>
    <n v="3.17"/>
    <s v="Total Loss"/>
    <n v="38"/>
    <n v="62"/>
    <n v="0"/>
    <n v="6"/>
    <s v="L"/>
    <x v="2"/>
    <x v="2"/>
    <s v="Own"/>
    <n v="1"/>
    <n v="1"/>
    <n v="3628.2551999999996"/>
    <n v="2648.6262959999995"/>
    <n v="-2351.3737040000005"/>
  </r>
  <r>
    <s v="TXN00008354"/>
    <s v="A00001117"/>
    <s v="PLC00007218"/>
    <d v="2010-07-28T00:00:00"/>
    <d v="2021-04-26T00:00:00"/>
    <d v="2021-04-26T00:00:00"/>
    <n v="0"/>
    <n v="123.38"/>
    <n v="1480.56"/>
    <n v="3000"/>
    <s v="A"/>
    <n v="3000"/>
    <n v="3"/>
    <s v="Total Loss"/>
    <n v="36"/>
    <n v="47"/>
    <n v="0"/>
    <n v="3"/>
    <s v="M"/>
    <x v="2"/>
    <x v="3"/>
    <s v="Own"/>
    <n v="1"/>
    <n v="1"/>
    <n v="4441.68"/>
    <n v="3242.4264000000003"/>
    <n v="242.42640000000029"/>
  </r>
  <r>
    <s v="TXN00008355"/>
    <s v="A00007137"/>
    <s v="PLC00004543"/>
    <d v="2019-05-13T00:00:00"/>
    <d v="2021-04-07T00:00:00"/>
    <d v="2021-04-12T00:00:00"/>
    <n v="5"/>
    <n v="119.12"/>
    <n v="1429.44"/>
    <n v="6000"/>
    <s v="A"/>
    <n v="6000"/>
    <n v="9.92"/>
    <s v="Major Loss"/>
    <n v="119"/>
    <n v="36"/>
    <n v="0"/>
    <n v="5"/>
    <s v="M"/>
    <x v="1"/>
    <x v="1"/>
    <s v="Rent"/>
    <n v="1"/>
    <n v="1"/>
    <n v="14180.0448"/>
    <n v="10351.432703999999"/>
    <n v="4351.4327039999989"/>
  </r>
  <r>
    <s v="TXN00008360"/>
    <s v="A00008707"/>
    <s v="PLC00005745"/>
    <d v="2013-12-10T00:00:00"/>
    <d v="2021-04-25T00:00:00"/>
    <d v="2021-04-25T00:00:00"/>
    <n v="0"/>
    <n v="88.97"/>
    <n v="1067.6400000000001"/>
    <n v="10000"/>
    <s v="A"/>
    <n v="10000"/>
    <n v="5.92"/>
    <s v="Major Loss"/>
    <n v="71"/>
    <n v="31"/>
    <n v="0"/>
    <n v="5"/>
    <s v="L"/>
    <x v="0"/>
    <x v="1"/>
    <s v="Own"/>
    <n v="1"/>
    <n v="1"/>
    <n v="6320.4288000000006"/>
    <n v="4613.9130240000004"/>
    <n v="-5386.0869759999996"/>
  </r>
  <r>
    <s v="TXN00008365"/>
    <s v="A00007561"/>
    <s v="PLC00009787"/>
    <d v="2015-10-25T00:00:00"/>
    <d v="2021-04-08T00:00:00"/>
    <d v="2021-04-13T00:00:00"/>
    <n v="5"/>
    <n v="71.38"/>
    <n v="856.56"/>
    <n v="6000"/>
    <s v="A"/>
    <n v="6000"/>
    <n v="9"/>
    <s v="Total Loss"/>
    <n v="108"/>
    <n v="53"/>
    <n v="0"/>
    <n v="3"/>
    <s v="M"/>
    <x v="0"/>
    <x v="3"/>
    <s v="Mortgage"/>
    <n v="1"/>
    <n v="1"/>
    <n v="7709.0399999999991"/>
    <n v="5627.5991999999987"/>
    <n v="-372.40080000000125"/>
  </r>
  <r>
    <s v="TXN00008393"/>
    <s v="A00002654"/>
    <s v="PLC00005010"/>
    <d v="2019-04-22T00:00:00"/>
    <d v="2021-04-19T00:00:00"/>
    <d v="2021-04-22T00:00:00"/>
    <n v="3"/>
    <n v="138.76"/>
    <n v="1665.12"/>
    <n v="3000"/>
    <s v="D"/>
    <n v="0"/>
    <n v="1.75"/>
    <s v="Total Loss"/>
    <n v="21"/>
    <n v="57"/>
    <n v="1"/>
    <n v="7"/>
    <s v="M"/>
    <x v="0"/>
    <x v="1"/>
    <s v="Rent"/>
    <n v="1"/>
    <n v="1"/>
    <n v="2913.96"/>
    <n v="2127.1907999999999"/>
    <n v="2127.1907999999999"/>
  </r>
  <r>
    <s v="TXN00008403"/>
    <s v="A00007738"/>
    <s v="PLC00008043"/>
    <d v="2019-08-15T00:00:00"/>
    <d v="2021-04-25T00:00:00"/>
    <d v="2021-04-26T00:00:00"/>
    <n v="1"/>
    <n v="87.05"/>
    <n v="1044.5999999999999"/>
    <n v="2000"/>
    <s v="A"/>
    <n v="2000"/>
    <n v="9.75"/>
    <s v="Total Loss"/>
    <n v="117"/>
    <n v="47"/>
    <n v="1"/>
    <n v="2"/>
    <s v="L"/>
    <x v="2"/>
    <x v="2"/>
    <s v="Rent"/>
    <n v="1"/>
    <n v="1"/>
    <n v="10184.849999999999"/>
    <n v="7434.9404999999988"/>
    <n v="5434.9404999999988"/>
  </r>
  <r>
    <s v="TXN00008409"/>
    <s v="A00002833"/>
    <s v="PLC00000399"/>
    <d v="2016-06-12T00:00:00"/>
    <d v="2021-04-27T00:00:00"/>
    <d v="2021-04-27T00:00:00"/>
    <n v="0"/>
    <n v="100.08"/>
    <n v="1200.96"/>
    <n v="1000"/>
    <s v="A"/>
    <n v="1000"/>
    <n v="2.25"/>
    <s v="Major Loss"/>
    <n v="27"/>
    <n v="47"/>
    <n v="1"/>
    <n v="7"/>
    <s v="L"/>
    <x v="2"/>
    <x v="1"/>
    <s v="Rent"/>
    <n v="1"/>
    <n v="1"/>
    <n v="2702.16"/>
    <n v="1972.5767999999998"/>
    <n v="972.57679999999982"/>
  </r>
  <r>
    <s v="TXN00008410"/>
    <s v="A00000570"/>
    <s v="PLC00002317"/>
    <d v="2017-03-07T00:00:00"/>
    <d v="2021-04-13T00:00:00"/>
    <d v="2021-04-18T00:00:00"/>
    <n v="5"/>
    <n v="113.03"/>
    <n v="1356.36"/>
    <n v="2000"/>
    <s v="A"/>
    <n v="2000"/>
    <n v="8.08"/>
    <s v="Minor Loss"/>
    <n v="97"/>
    <n v="61"/>
    <n v="1"/>
    <n v="3"/>
    <s v="M"/>
    <x v="0"/>
    <x v="1"/>
    <s v="Rent"/>
    <n v="0"/>
    <n v="1"/>
    <n v="10959.388799999999"/>
    <n v="8000.3538239999989"/>
    <n v="6000.3538239999989"/>
  </r>
  <r>
    <s v="TXN00008416"/>
    <s v="A00001913"/>
    <s v="PLC00004685"/>
    <d v="2015-05-03T00:00:00"/>
    <d v="2021-04-10T00:00:00"/>
    <d v="2021-04-15T00:00:00"/>
    <n v="5"/>
    <n v="139.72"/>
    <n v="1676.64"/>
    <n v="4000"/>
    <s v="A"/>
    <n v="4000"/>
    <n v="9.42"/>
    <s v="Minor Loss"/>
    <n v="113"/>
    <n v="41"/>
    <n v="1"/>
    <n v="2"/>
    <s v="M"/>
    <x v="1"/>
    <x v="0"/>
    <s v="Rent"/>
    <n v="0"/>
    <n v="1"/>
    <n v="15793.9488"/>
    <n v="11529.582624000001"/>
    <n v="7529.5826240000006"/>
  </r>
  <r>
    <s v="TXN00008417"/>
    <s v="A00005699"/>
    <s v="PLC00004332"/>
    <d v="2011-09-28T00:00:00"/>
    <d v="2021-04-17T00:00:00"/>
    <d v="2021-04-22T00:00:00"/>
    <n v="5"/>
    <n v="124.91"/>
    <n v="1498.92"/>
    <n v="5000"/>
    <s v="A"/>
    <n v="5000"/>
    <n v="8.17"/>
    <s v="Total Loss"/>
    <n v="98"/>
    <n v="31"/>
    <n v="1"/>
    <n v="3"/>
    <s v="M"/>
    <x v="0"/>
    <x v="1"/>
    <s v="Rent"/>
    <n v="1"/>
    <n v="1"/>
    <n v="12246.1764"/>
    <n v="8939.708772"/>
    <n v="3939.708772"/>
  </r>
  <r>
    <s v="TXN00008418"/>
    <s v="A00000781"/>
    <s v="PLC00002935"/>
    <d v="2013-12-27T00:00:00"/>
    <d v="2021-04-27T00:00:00"/>
    <d v="2021-04-27T00:00:00"/>
    <n v="0"/>
    <n v="128.24"/>
    <n v="1538.88"/>
    <n v="9000"/>
    <s v="A"/>
    <n v="9000"/>
    <n v="5.08"/>
    <s v="Minor Loss"/>
    <n v="61"/>
    <n v="28"/>
    <n v="1"/>
    <n v="2"/>
    <s v="M"/>
    <x v="1"/>
    <x v="1"/>
    <s v="Rent"/>
    <n v="1"/>
    <n v="1"/>
    <n v="7817.510400000001"/>
    <n v="5706.7825920000005"/>
    <n v="-3293.2174079999995"/>
  </r>
  <r>
    <s v="TXN00008428"/>
    <s v="A00009402"/>
    <s v="PLC00007327"/>
    <d v="2012-11-02T00:00:00"/>
    <d v="2021-04-27T00:00:00"/>
    <d v="2021-04-28T00:00:00"/>
    <n v="1"/>
    <n v="124.23"/>
    <n v="1490.76"/>
    <n v="6000"/>
    <s v="A"/>
    <n v="6000"/>
    <n v="6.58"/>
    <s v="Minor Loss"/>
    <n v="79"/>
    <n v="34"/>
    <n v="1"/>
    <n v="6"/>
    <s v="M"/>
    <x v="0"/>
    <x v="3"/>
    <s v="Rent"/>
    <n v="0"/>
    <n v="0"/>
    <n v="9809.2008000000005"/>
    <n v="7160.7165839999998"/>
    <n v="1160.7165839999998"/>
  </r>
  <r>
    <s v="TXN00008429"/>
    <s v="A00001294"/>
    <s v="PLC00008547"/>
    <d v="2016-06-16T00:00:00"/>
    <d v="2021-04-13T00:00:00"/>
    <d v="2021-04-18T00:00:00"/>
    <n v="5"/>
    <n v="125.16"/>
    <n v="1501.92"/>
    <n v="1000"/>
    <s v="A"/>
    <n v="1000"/>
    <n v="9.42"/>
    <s v="Minor Loss"/>
    <n v="113"/>
    <n v="52"/>
    <n v="1"/>
    <n v="7"/>
    <s v="H"/>
    <x v="2"/>
    <x v="1"/>
    <s v="Own"/>
    <n v="1"/>
    <n v="1"/>
    <n v="14148.0864"/>
    <n v="10328.103072"/>
    <n v="9328.1030719999999"/>
  </r>
  <r>
    <s v="TXN00008431"/>
    <s v="A00007012"/>
    <s v="PLC00006348"/>
    <d v="2018-05-13T00:00:00"/>
    <d v="2021-04-20T00:00:00"/>
    <d v="2021-04-25T00:00:00"/>
    <n v="5"/>
    <n v="132.13999999999999"/>
    <n v="1585.68"/>
    <n v="6000"/>
    <s v="A"/>
    <n v="6000"/>
    <n v="1.67"/>
    <s v="Minor Loss"/>
    <n v="20"/>
    <n v="53"/>
    <n v="1"/>
    <n v="6"/>
    <s v="L"/>
    <x v="0"/>
    <x v="0"/>
    <s v="Own"/>
    <n v="0"/>
    <n v="0"/>
    <n v="2648.0855999999999"/>
    <n v="1933.1024879999998"/>
    <n v="-4066.8975120000005"/>
  </r>
  <r>
    <s v="TXN00008450"/>
    <s v="A00008650"/>
    <s v="PLC00001613"/>
    <d v="2013-01-14T00:00:00"/>
    <d v="2021-04-29T00:00:00"/>
    <d v="2021-04-29T00:00:00"/>
    <n v="0"/>
    <n v="78.83"/>
    <n v="945.96"/>
    <n v="5000"/>
    <s v="A"/>
    <n v="5000"/>
    <n v="6.75"/>
    <s v="Major Loss"/>
    <n v="81"/>
    <n v="32"/>
    <n v="1"/>
    <n v="3"/>
    <s v="L"/>
    <x v="0"/>
    <x v="1"/>
    <s v="Rent"/>
    <n v="1"/>
    <n v="1"/>
    <n v="6385.2300000000005"/>
    <n v="4661.2179000000006"/>
    <n v="-338.78209999999945"/>
  </r>
  <r>
    <s v="TXN00008455"/>
    <s v="A00007965"/>
    <s v="PLC00008616"/>
    <d v="2014-06-04T00:00:00"/>
    <d v="2021-04-15T00:00:00"/>
    <d v="2021-04-20T00:00:00"/>
    <n v="5"/>
    <n v="82.78"/>
    <n v="993.36"/>
    <n v="8000"/>
    <s v="A"/>
    <n v="8000"/>
    <n v="1.92"/>
    <s v="Major Loss"/>
    <n v="23"/>
    <n v="27"/>
    <n v="1"/>
    <n v="5"/>
    <s v="H"/>
    <x v="0"/>
    <x v="1"/>
    <s v="Mortgage"/>
    <n v="1"/>
    <n v="0"/>
    <n v="1907.2511999999999"/>
    <n v="1392.2933759999999"/>
    <n v="-6607.7066240000004"/>
  </r>
  <r>
    <s v="TXN00008456"/>
    <s v="A00008064"/>
    <s v="PLC00004572"/>
    <d v="2016-01-14T00:00:00"/>
    <d v="2021-04-22T00:00:00"/>
    <d v="2021-04-25T00:00:00"/>
    <n v="3"/>
    <n v="121.26"/>
    <n v="1455.12"/>
    <n v="8000"/>
    <s v="A"/>
    <n v="8000"/>
    <n v="7.75"/>
    <s v="Total Loss"/>
    <n v="93"/>
    <n v="31"/>
    <n v="0"/>
    <n v="2"/>
    <s v="H"/>
    <x v="0"/>
    <x v="1"/>
    <s v="Rent"/>
    <n v="1"/>
    <n v="0"/>
    <n v="11277.179999999998"/>
    <n v="8232.3413999999993"/>
    <n v="232.34139999999934"/>
  </r>
  <r>
    <s v="TXN00008457"/>
    <s v="A00003329"/>
    <s v="PLC00001488"/>
    <d v="2015-09-19T00:00:00"/>
    <d v="2021-04-25T00:00:00"/>
    <d v="2021-04-27T00:00:00"/>
    <n v="2"/>
    <n v="135.07"/>
    <n v="1620.84"/>
    <n v="10000"/>
    <s v="D"/>
    <n v="0"/>
    <n v="6.67"/>
    <s v="Minor Loss"/>
    <n v="80"/>
    <n v="41"/>
    <n v="1"/>
    <n v="4"/>
    <s v="L"/>
    <x v="0"/>
    <x v="1"/>
    <s v="Mortgage"/>
    <n v="0"/>
    <n v="1"/>
    <n v="10811.0028"/>
    <n v="7892.0320439999996"/>
    <n v="7892.0320439999996"/>
  </r>
  <r>
    <s v="TXN00008465"/>
    <s v="A00000665"/>
    <s v="PLC00000379"/>
    <d v="2015-03-04T00:00:00"/>
    <d v="2021-04-26T00:00:00"/>
    <d v="2021-04-28T00:00:00"/>
    <n v="2"/>
    <n v="93.55"/>
    <n v="1122.5999999999999"/>
    <n v="10000"/>
    <s v="A"/>
    <n v="10000"/>
    <n v="8.42"/>
    <s v="Total Loss"/>
    <n v="101"/>
    <n v="36"/>
    <n v="1"/>
    <n v="3"/>
    <s v="M"/>
    <x v="0"/>
    <x v="0"/>
    <s v="Mortgage"/>
    <n v="0"/>
    <n v="0"/>
    <n v="9452.2919999999995"/>
    <n v="6900.1731599999994"/>
    <n v="-3099.8268400000006"/>
  </r>
  <r>
    <s v="TXN00008468"/>
    <s v="A00005598"/>
    <s v="PLC00005715"/>
    <d v="2015-10-21T00:00:00"/>
    <d v="2021-04-26T00:00:00"/>
    <d v="2021-04-28T00:00:00"/>
    <n v="2"/>
    <n v="86.82"/>
    <n v="1041.8399999999999"/>
    <n v="4000"/>
    <s v="A"/>
    <n v="4000"/>
    <n v="6.67"/>
    <s v="Minor Loss"/>
    <n v="80"/>
    <n v="43"/>
    <n v="1"/>
    <n v="5"/>
    <s v="M"/>
    <x v="1"/>
    <x v="0"/>
    <s v="Own"/>
    <n v="1"/>
    <n v="1"/>
    <n v="6949.072799999999"/>
    <n v="5072.823143999999"/>
    <n v="1072.823143999999"/>
  </r>
  <r>
    <s v="TXN00008483"/>
    <s v="A00000489"/>
    <s v="PLC00001698"/>
    <d v="2015-02-08T00:00:00"/>
    <d v="2021-04-22T00:00:00"/>
    <d v="2021-04-27T00:00:00"/>
    <n v="5"/>
    <n v="94.34"/>
    <n v="1132.08"/>
    <n v="8000"/>
    <s v="A"/>
    <n v="8000"/>
    <n v="6.33"/>
    <s v="Major Loss"/>
    <n v="76"/>
    <n v="36"/>
    <n v="1"/>
    <n v="4"/>
    <s v="H"/>
    <x v="1"/>
    <x v="3"/>
    <s v="Own"/>
    <n v="1"/>
    <n v="1"/>
    <n v="7166.0663999999997"/>
    <n v="5231.2284719999998"/>
    <n v="-2768.7715280000002"/>
  </r>
  <r>
    <s v="TXN00008487"/>
    <s v="A00008094"/>
    <s v="PLC00003387"/>
    <d v="2012-10-06T00:00:00"/>
    <d v="2021-04-24T00:00:00"/>
    <d v="2021-04-27T00:00:00"/>
    <n v="3"/>
    <n v="98.16"/>
    <n v="1177.92"/>
    <n v="8000"/>
    <s v="A"/>
    <n v="8000"/>
    <n v="9.25"/>
    <s v="Minor Loss"/>
    <n v="111"/>
    <n v="51"/>
    <n v="1"/>
    <n v="4"/>
    <s v="L"/>
    <x v="0"/>
    <x v="1"/>
    <s v="Own"/>
    <n v="1"/>
    <n v="1"/>
    <n v="10895.76"/>
    <n v="7953.9048000000003"/>
    <n v="-46.09519999999975"/>
  </r>
  <r>
    <s v="TXN00008493"/>
    <s v="A00006245"/>
    <s v="PLC00001111"/>
    <d v="2012-11-23T00:00:00"/>
    <d v="2021-04-25T00:00:00"/>
    <d v="2021-04-28T00:00:00"/>
    <n v="3"/>
    <n v="124.21"/>
    <n v="1490.52"/>
    <n v="7000"/>
    <s v="A"/>
    <n v="7000"/>
    <n v="0.67"/>
    <s v="Major Loss"/>
    <n v="8"/>
    <n v="29"/>
    <n v="0"/>
    <n v="3"/>
    <s v="M"/>
    <x v="1"/>
    <x v="0"/>
    <s v="Own"/>
    <n v="1"/>
    <n v="0"/>
    <n v="998.64840000000004"/>
    <n v="729.01333199999999"/>
    <n v="-6270.9866679999996"/>
  </r>
  <r>
    <s v="TXN00008495"/>
    <s v="A00003283"/>
    <s v="PLC00007909"/>
    <d v="2015-02-05T00:00:00"/>
    <d v="2021-04-26T00:00:00"/>
    <d v="2021-04-28T00:00:00"/>
    <n v="2"/>
    <n v="125.33"/>
    <n v="1503.96"/>
    <n v="4000"/>
    <s v="A"/>
    <n v="4000"/>
    <n v="6.83"/>
    <s v="Major Loss"/>
    <n v="82"/>
    <n v="32"/>
    <n v="1"/>
    <n v="6"/>
    <s v="M"/>
    <x v="2"/>
    <x v="1"/>
    <s v="Mortgage"/>
    <n v="1"/>
    <n v="0"/>
    <n v="10272.0468"/>
    <n v="7498.5941640000001"/>
    <n v="3498.5941640000001"/>
  </r>
  <r>
    <s v="TXN00008501"/>
    <s v="A00004188"/>
    <s v="PLC00006131"/>
    <d v="2010-11-07T00:00:00"/>
    <d v="2021-04-23T00:00:00"/>
    <d v="2021-04-28T00:00:00"/>
    <n v="5"/>
    <n v="81.17"/>
    <n v="974.04"/>
    <n v="9000"/>
    <s v="A"/>
    <n v="9000"/>
    <n v="8.92"/>
    <s v="Minor Loss"/>
    <n v="107"/>
    <n v="33"/>
    <n v="1"/>
    <n v="3"/>
    <s v="M"/>
    <x v="0"/>
    <x v="2"/>
    <s v="Own"/>
    <n v="1"/>
    <n v="1"/>
    <n v="8688.4367999999995"/>
    <n v="6342.5588639999996"/>
    <n v="-2657.4411360000004"/>
  </r>
  <r>
    <s v="TXN00008503"/>
    <s v="A00001750"/>
    <s v="PLC00008060"/>
    <d v="2010-07-08T00:00:00"/>
    <d v="2021-04-17T00:00:00"/>
    <d v="2021-04-22T00:00:00"/>
    <n v="5"/>
    <n v="72.95"/>
    <n v="875.4"/>
    <n v="5000"/>
    <s v="A"/>
    <n v="5000"/>
    <n v="6.67"/>
    <s v="Major Loss"/>
    <n v="80"/>
    <n v="34"/>
    <n v="0"/>
    <n v="6"/>
    <s v="L"/>
    <x v="0"/>
    <x v="1"/>
    <s v="Mortgage"/>
    <n v="0"/>
    <n v="1"/>
    <n v="5838.9179999999997"/>
    <n v="4262.41014"/>
    <n v="-737.58986000000004"/>
  </r>
  <r>
    <s v="TXN00008509"/>
    <s v="A00007526"/>
    <s v="PLC00004449"/>
    <d v="2013-03-31T00:00:00"/>
    <d v="2021-04-24T00:00:00"/>
    <d v="2021-04-27T00:00:00"/>
    <n v="3"/>
    <n v="130.76"/>
    <n v="1569.12"/>
    <n v="3000"/>
    <s v="A"/>
    <n v="3000"/>
    <n v="8.75"/>
    <s v="Minor Loss"/>
    <n v="105"/>
    <n v="46"/>
    <n v="1"/>
    <n v="4"/>
    <s v="H"/>
    <x v="0"/>
    <x v="1"/>
    <s v="Rent"/>
    <n v="0"/>
    <n v="1"/>
    <n v="13729.8"/>
    <n v="10022.753999999999"/>
    <n v="7022.753999999999"/>
  </r>
  <r>
    <s v="TXN00008513"/>
    <s v="A00008897"/>
    <s v="PLC00007515"/>
    <d v="2012-06-18T00:00:00"/>
    <d v="2021-04-18T00:00:00"/>
    <d v="2021-04-23T00:00:00"/>
    <n v="5"/>
    <n v="92.25"/>
    <n v="1107"/>
    <n v="10000"/>
    <s v="A"/>
    <n v="10000"/>
    <n v="3.17"/>
    <s v="Total Loss"/>
    <n v="38"/>
    <n v="39"/>
    <n v="1"/>
    <n v="4"/>
    <s v="L"/>
    <x v="2"/>
    <x v="1"/>
    <s v="Own"/>
    <n v="0"/>
    <n v="1"/>
    <n v="3509.19"/>
    <n v="2561.7087000000001"/>
    <n v="-7438.2912999999999"/>
  </r>
  <r>
    <s v="TXN00008522"/>
    <s v="A00007924"/>
    <s v="PLC00006201"/>
    <d v="2017-02-09T00:00:00"/>
    <d v="2021-04-28T00:00:00"/>
    <d v="2021-04-30T00:00:00"/>
    <n v="2"/>
    <n v="112.94"/>
    <n v="1355.28"/>
    <n v="1000"/>
    <s v="A"/>
    <n v="1000"/>
    <n v="9.67"/>
    <s v="Minor Loss"/>
    <n v="116"/>
    <n v="39"/>
    <n v="1"/>
    <n v="6"/>
    <s v="M"/>
    <x v="0"/>
    <x v="4"/>
    <s v="Own"/>
    <n v="0"/>
    <n v="0"/>
    <n v="13105.5576"/>
    <n v="9567.0570480000006"/>
    <n v="8567.0570480000006"/>
  </r>
  <r>
    <s v="TXN00008530"/>
    <s v="A00002045"/>
    <s v="PLC00003669"/>
    <d v="2014-09-24T00:00:00"/>
    <d v="2021-04-26T00:00:00"/>
    <d v="2021-04-29T00:00:00"/>
    <n v="3"/>
    <n v="71.36"/>
    <n v="856.32"/>
    <n v="5000"/>
    <s v="A"/>
    <n v="5000"/>
    <n v="7.67"/>
    <s v="Major Loss"/>
    <n v="92"/>
    <n v="42"/>
    <n v="1"/>
    <n v="5"/>
    <s v="L"/>
    <x v="0"/>
    <x v="6"/>
    <s v="Own"/>
    <n v="1"/>
    <n v="0"/>
    <n v="6567.9744000000001"/>
    <n v="4794.6213120000002"/>
    <n v="-205.37868799999978"/>
  </r>
  <r>
    <s v="TXN00008537"/>
    <s v="A00008910"/>
    <s v="PLC00002230"/>
    <d v="2017-07-22T00:00:00"/>
    <d v="2021-05-03T00:00:00"/>
    <d v="2021-05-03T00:00:00"/>
    <n v="0"/>
    <n v="72.28"/>
    <n v="867.36"/>
    <n v="5000"/>
    <s v="A"/>
    <n v="5000"/>
    <n v="6.58"/>
    <s v="Total Loss"/>
    <n v="79"/>
    <n v="38"/>
    <n v="1"/>
    <n v="6"/>
    <s v="H"/>
    <x v="0"/>
    <x v="1"/>
    <s v="Own"/>
    <n v="1"/>
    <n v="0"/>
    <n v="5707.2287999999999"/>
    <n v="4166.277024"/>
    <n v="-833.72297600000002"/>
  </r>
  <r>
    <s v="TXN00008538"/>
    <s v="A00008432"/>
    <s v="PLC00006717"/>
    <d v="2018-10-28T00:00:00"/>
    <d v="2021-04-26T00:00:00"/>
    <d v="2021-04-29T00:00:00"/>
    <n v="3"/>
    <n v="76.099999999999994"/>
    <n v="913.2"/>
    <n v="9000"/>
    <s v="A"/>
    <n v="9000"/>
    <n v="7.25"/>
    <s v="Minor Loss"/>
    <n v="87"/>
    <n v="48"/>
    <n v="1"/>
    <n v="5"/>
    <s v="L"/>
    <x v="0"/>
    <x v="0"/>
    <s v="Rent"/>
    <n v="1"/>
    <n v="1"/>
    <n v="6620.7000000000007"/>
    <n v="4833.1110000000008"/>
    <n v="-4166.8889999999992"/>
  </r>
  <r>
    <s v="TXN00008540"/>
    <s v="A00009978"/>
    <s v="PLC00002155"/>
    <d v="2014-02-06T00:00:00"/>
    <d v="2021-04-30T00:00:00"/>
    <d v="2021-05-02T00:00:00"/>
    <n v="2"/>
    <n v="122.95"/>
    <n v="1475.4"/>
    <n v="6000"/>
    <s v="A"/>
    <n v="6000"/>
    <n v="7.17"/>
    <s v="Minor Loss"/>
    <n v="86"/>
    <n v="63"/>
    <n v="0"/>
    <n v="7"/>
    <s v="M"/>
    <x v="2"/>
    <x v="1"/>
    <s v="Rent"/>
    <n v="0"/>
    <n v="0"/>
    <n v="10578.618"/>
    <n v="7722.3911399999997"/>
    <n v="1722.3911399999997"/>
  </r>
  <r>
    <s v="TXN00008545"/>
    <s v="A00003093"/>
    <s v="PLC00003469"/>
    <d v="2018-11-16T00:00:00"/>
    <d v="2021-04-16T00:00:00"/>
    <d v="2021-04-21T00:00:00"/>
    <n v="5"/>
    <n v="96.15"/>
    <n v="1153.8"/>
    <n v="7000"/>
    <s v="A"/>
    <n v="7000"/>
    <n v="2.58"/>
    <s v="Total Loss"/>
    <n v="31"/>
    <n v="54"/>
    <n v="1"/>
    <n v="2"/>
    <s v="M"/>
    <x v="1"/>
    <x v="3"/>
    <s v="Mortgage"/>
    <n v="1"/>
    <n v="0"/>
    <n v="2976.8040000000001"/>
    <n v="2173.0669200000002"/>
    <n v="-4826.9330799999998"/>
  </r>
  <r>
    <s v="TXN00008549"/>
    <s v="A00003518"/>
    <s v="PLC00009364"/>
    <d v="2010-12-16T00:00:00"/>
    <d v="2021-04-21T00:00:00"/>
    <d v="2021-04-26T00:00:00"/>
    <n v="5"/>
    <n v="122.46"/>
    <n v="1469.52"/>
    <n v="10000"/>
    <s v="A"/>
    <n v="10000"/>
    <n v="5.83"/>
    <s v="Total Loss"/>
    <n v="70"/>
    <n v="34"/>
    <n v="1"/>
    <n v="3"/>
    <s v="L"/>
    <x v="1"/>
    <x v="1"/>
    <s v="Rent"/>
    <n v="1"/>
    <n v="1"/>
    <n v="8567.3016000000007"/>
    <n v="6254.1301680000006"/>
    <n v="-3745.8698319999994"/>
  </r>
  <r>
    <s v="TXN00008552"/>
    <s v="A00000340"/>
    <s v="PLC00000135"/>
    <d v="2017-06-19T00:00:00"/>
    <d v="2021-04-27T00:00:00"/>
    <d v="2021-04-30T00:00:00"/>
    <n v="3"/>
    <n v="134.59"/>
    <n v="1615.08"/>
    <n v="3000"/>
    <s v="A"/>
    <n v="3000"/>
    <n v="3.08"/>
    <s v="Minor Loss"/>
    <n v="37"/>
    <n v="62"/>
    <n v="1"/>
    <n v="7"/>
    <s v="L"/>
    <x v="0"/>
    <x v="4"/>
    <s v="Mortgage"/>
    <n v="1"/>
    <n v="0"/>
    <n v="4974.4463999999998"/>
    <n v="3631.3458719999999"/>
    <n v="631.34587199999987"/>
  </r>
  <r>
    <s v="TXN00008556"/>
    <s v="A00002148"/>
    <s v="PLC00000598"/>
    <d v="2013-08-29T00:00:00"/>
    <d v="2021-05-05T00:00:00"/>
    <d v="2021-05-05T00:00:00"/>
    <n v="0"/>
    <n v="70.61"/>
    <n v="847.32"/>
    <n v="7000"/>
    <s v="A"/>
    <n v="7000"/>
    <n v="8.42"/>
    <s v="Minor Loss"/>
    <n v="101"/>
    <n v="26"/>
    <n v="0"/>
    <n v="4"/>
    <s v="M"/>
    <x v="0"/>
    <x v="1"/>
    <s v="Own"/>
    <n v="0"/>
    <n v="1"/>
    <n v="7134.4344000000001"/>
    <n v="5208.1371120000003"/>
    <n v="-1791.8628879999997"/>
  </r>
  <r>
    <s v="TXN00008569"/>
    <s v="A00004646"/>
    <s v="PLC00006101"/>
    <d v="2010-08-19T00:00:00"/>
    <d v="2021-04-26T00:00:00"/>
    <d v="2021-05-01T00:00:00"/>
    <n v="5"/>
    <n v="109.65"/>
    <n v="1315.8"/>
    <n v="3000"/>
    <s v="A"/>
    <n v="3000"/>
    <n v="6"/>
    <s v="Total Loss"/>
    <n v="72"/>
    <n v="55"/>
    <n v="1"/>
    <n v="7"/>
    <s v="L"/>
    <x v="1"/>
    <x v="4"/>
    <s v="Mortgage"/>
    <n v="1"/>
    <n v="1"/>
    <n v="7894.7999999999993"/>
    <n v="5763.2039999999997"/>
    <n v="2763.2039999999997"/>
  </r>
  <r>
    <s v="TXN00008570"/>
    <s v="A00003484"/>
    <s v="PLC00006425"/>
    <d v="2014-06-18T00:00:00"/>
    <d v="2021-04-28T00:00:00"/>
    <d v="2021-05-01T00:00:00"/>
    <n v="3"/>
    <n v="111.15"/>
    <n v="1333.8"/>
    <n v="5000"/>
    <s v="A"/>
    <n v="5000"/>
    <n v="2.75"/>
    <s v="Major Loss"/>
    <n v="33"/>
    <n v="42"/>
    <n v="1"/>
    <n v="5"/>
    <s v="M"/>
    <x v="0"/>
    <x v="6"/>
    <s v="Own"/>
    <n v="1"/>
    <n v="1"/>
    <n v="3667.95"/>
    <n v="2677.6034999999997"/>
    <n v="-2322.3965000000003"/>
  </r>
  <r>
    <s v="TXN00008575"/>
    <s v="A00008596"/>
    <s v="PLC00001661"/>
    <d v="2013-02-05T00:00:00"/>
    <d v="2021-04-24T00:00:00"/>
    <d v="2021-04-29T00:00:00"/>
    <n v="5"/>
    <n v="96"/>
    <n v="1152"/>
    <n v="3000"/>
    <s v="A"/>
    <n v="3000"/>
    <n v="3.83"/>
    <s v="Total Loss"/>
    <n v="46"/>
    <n v="49"/>
    <n v="1"/>
    <n v="4"/>
    <s v="L"/>
    <x v="0"/>
    <x v="0"/>
    <s v="Own"/>
    <n v="1"/>
    <n v="1"/>
    <n v="4412.16"/>
    <n v="3220.8768"/>
    <n v="220.8768"/>
  </r>
  <r>
    <s v="TXN00008579"/>
    <s v="A00003782"/>
    <s v="PLC00004161"/>
    <d v="2012-05-28T00:00:00"/>
    <d v="2021-05-03T00:00:00"/>
    <d v="2021-05-04T00:00:00"/>
    <n v="1"/>
    <n v="84.82"/>
    <n v="1017.84"/>
    <n v="9000"/>
    <s v="A"/>
    <n v="9000"/>
    <n v="8.42"/>
    <s v="Minor Loss"/>
    <n v="101"/>
    <n v="52"/>
    <n v="1"/>
    <n v="3"/>
    <s v="M"/>
    <x v="2"/>
    <x v="1"/>
    <s v="Mortgage"/>
    <n v="0"/>
    <n v="0"/>
    <n v="8570.2127999999993"/>
    <n v="6256.2553439999992"/>
    <n v="-2743.7446560000008"/>
  </r>
  <r>
    <s v="TXN00008584"/>
    <s v="A00004714"/>
    <s v="PLC00002232"/>
    <d v="2011-04-19T00:00:00"/>
    <d v="2021-04-19T00:00:00"/>
    <d v="2021-04-24T00:00:00"/>
    <n v="5"/>
    <n v="86.62"/>
    <n v="1039.44"/>
    <n v="8000"/>
    <s v="D"/>
    <n v="0"/>
    <n v="4"/>
    <s v="Minor Loss"/>
    <n v="48"/>
    <n v="33"/>
    <n v="1"/>
    <n v="6"/>
    <s v="L"/>
    <x v="2"/>
    <x v="4"/>
    <s v="Mortgage"/>
    <n v="1"/>
    <n v="0"/>
    <n v="4157.76"/>
    <n v="3035.1648"/>
    <n v="3035.1648"/>
  </r>
  <r>
    <s v="TXN00008587"/>
    <s v="A00002030"/>
    <s v="PLC00007962"/>
    <d v="2017-02-21T00:00:00"/>
    <d v="2021-04-22T00:00:00"/>
    <d v="2021-04-27T00:00:00"/>
    <n v="5"/>
    <n v="98.44"/>
    <n v="1181.28"/>
    <n v="1000"/>
    <s v="A"/>
    <n v="1000"/>
    <n v="6.75"/>
    <s v="Minor Loss"/>
    <n v="81"/>
    <n v="58"/>
    <n v="1"/>
    <n v="3"/>
    <s v="M"/>
    <x v="2"/>
    <x v="1"/>
    <s v="Own"/>
    <n v="1"/>
    <n v="1"/>
    <n v="7973.6399999999994"/>
    <n v="5820.7571999999991"/>
    <n v="4820.7571999999991"/>
  </r>
  <r>
    <s v="TXN00008591"/>
    <s v="A00002008"/>
    <s v="PLC00000558"/>
    <d v="2013-05-09T00:00:00"/>
    <d v="2021-04-26T00:00:00"/>
    <d v="2021-05-01T00:00:00"/>
    <n v="5"/>
    <n v="119.31"/>
    <n v="1431.72"/>
    <n v="8000"/>
    <s v="A"/>
    <n v="8000"/>
    <n v="0.67"/>
    <s v="Total Loss"/>
    <n v="8"/>
    <n v="58"/>
    <n v="0"/>
    <n v="4"/>
    <s v="M"/>
    <x v="1"/>
    <x v="3"/>
    <s v="Own"/>
    <n v="0"/>
    <n v="0"/>
    <n v="959.25240000000008"/>
    <n v="700.25425200000006"/>
    <n v="-7299.7457480000003"/>
  </r>
  <r>
    <s v="TXN00008593"/>
    <s v="A00001325"/>
    <s v="PLC00001641"/>
    <d v="2016-02-13T00:00:00"/>
    <d v="2021-04-28T00:00:00"/>
    <d v="2021-05-01T00:00:00"/>
    <n v="3"/>
    <n v="133.69999999999999"/>
    <n v="1604.4"/>
    <n v="5000"/>
    <s v="A"/>
    <n v="5000"/>
    <n v="5.17"/>
    <s v="Total Loss"/>
    <n v="62"/>
    <n v="36"/>
    <n v="0"/>
    <n v="6"/>
    <s v="L"/>
    <x v="1"/>
    <x v="4"/>
    <s v="Rent"/>
    <n v="0"/>
    <n v="1"/>
    <n v="8294.7479999999996"/>
    <n v="6055.1660399999992"/>
    <n v="1055.1660399999992"/>
  </r>
  <r>
    <s v="TXN00008594"/>
    <s v="A00000456"/>
    <s v="PLC00004051"/>
    <d v="2010-08-14T00:00:00"/>
    <d v="2021-05-06T00:00:00"/>
    <d v="2021-05-06T00:00:00"/>
    <n v="0"/>
    <n v="71.36"/>
    <n v="856.32"/>
    <n v="5000"/>
    <s v="A"/>
    <n v="5000"/>
    <n v="4"/>
    <s v="Major Loss"/>
    <n v="48"/>
    <n v="57"/>
    <n v="1"/>
    <n v="7"/>
    <s v="L"/>
    <x v="0"/>
    <x v="1"/>
    <s v="Mortgage"/>
    <n v="0"/>
    <n v="1"/>
    <n v="3425.28"/>
    <n v="2500.4544000000001"/>
    <n v="-2499.5455999999999"/>
  </r>
  <r>
    <s v="TXN00008602"/>
    <s v="A00006843"/>
    <s v="PLC00009283"/>
    <d v="2018-09-26T00:00:00"/>
    <d v="2021-04-25T00:00:00"/>
    <d v="2021-04-30T00:00:00"/>
    <n v="5"/>
    <n v="118.98"/>
    <n v="1427.76"/>
    <n v="9000"/>
    <s v="A"/>
    <n v="9000"/>
    <n v="1"/>
    <s v="Major Loss"/>
    <n v="12"/>
    <n v="28"/>
    <n v="0"/>
    <n v="3"/>
    <s v="M"/>
    <x v="1"/>
    <x v="0"/>
    <s v="Own"/>
    <n v="0"/>
    <n v="0"/>
    <n v="1427.76"/>
    <n v="1042.2647999999999"/>
    <n v="-7957.7352000000001"/>
  </r>
  <r>
    <s v="TXN00008606"/>
    <s v="A00004130"/>
    <s v="PLC00007175"/>
    <d v="2013-01-18T00:00:00"/>
    <d v="2021-04-28T00:00:00"/>
    <d v="2021-05-01T00:00:00"/>
    <n v="3"/>
    <n v="95.48"/>
    <n v="1145.76"/>
    <n v="2000"/>
    <s v="A"/>
    <n v="2000"/>
    <n v="1.08"/>
    <s v="Minor Loss"/>
    <n v="13"/>
    <n v="53"/>
    <n v="1"/>
    <n v="5"/>
    <s v="M"/>
    <x v="2"/>
    <x v="2"/>
    <s v="Mortgage"/>
    <n v="0"/>
    <n v="1"/>
    <n v="1237.4208000000001"/>
    <n v="903.317184"/>
    <n v="-1096.682816"/>
  </r>
  <r>
    <s v="TXN00008614"/>
    <s v="A00006155"/>
    <s v="PLC00007430"/>
    <d v="2017-01-01T00:00:00"/>
    <d v="2021-04-27T00:00:00"/>
    <d v="2021-05-02T00:00:00"/>
    <n v="5"/>
    <n v="90.86"/>
    <n v="1090.32"/>
    <n v="8000"/>
    <s v="A"/>
    <n v="8000"/>
    <n v="9.75"/>
    <s v="Minor Loss"/>
    <n v="117"/>
    <n v="45"/>
    <n v="1"/>
    <n v="7"/>
    <s v="L"/>
    <x v="2"/>
    <x v="0"/>
    <s v="Rent"/>
    <n v="0"/>
    <n v="1"/>
    <n v="10630.619999999999"/>
    <n v="7760.3525999999993"/>
    <n v="-239.64740000000074"/>
  </r>
  <r>
    <s v="TXN00008615"/>
    <s v="A00003876"/>
    <s v="PLC00007827"/>
    <d v="2016-02-06T00:00:00"/>
    <d v="2021-04-28T00:00:00"/>
    <d v="2021-05-03T00:00:00"/>
    <n v="5"/>
    <n v="91.52"/>
    <n v="1098.24"/>
    <n v="6000"/>
    <s v="A"/>
    <n v="6000"/>
    <n v="2.83"/>
    <s v="Minor Loss"/>
    <n v="34"/>
    <n v="44"/>
    <n v="0"/>
    <n v="2"/>
    <s v="L"/>
    <x v="0"/>
    <x v="1"/>
    <s v="Rent"/>
    <n v="1"/>
    <n v="1"/>
    <n v="3108.0192000000002"/>
    <n v="2268.8540160000002"/>
    <n v="-3731.1459839999998"/>
  </r>
  <r>
    <s v="TXN00008619"/>
    <s v="A00008833"/>
    <s v="PLC00003078"/>
    <d v="2019-02-27T00:00:00"/>
    <d v="2021-04-22T00:00:00"/>
    <d v="2021-04-27T00:00:00"/>
    <n v="5"/>
    <n v="139.55000000000001"/>
    <n v="1674.6"/>
    <n v="1000"/>
    <s v="A"/>
    <n v="1000"/>
    <n v="3.33"/>
    <s v="Total Loss"/>
    <n v="40"/>
    <n v="61"/>
    <n v="1"/>
    <n v="4"/>
    <s v="L"/>
    <x v="1"/>
    <x v="1"/>
    <s v="Rent"/>
    <n v="1"/>
    <n v="1"/>
    <n v="5576.4179999999997"/>
    <n v="4070.7851399999995"/>
    <n v="3070.7851399999995"/>
  </r>
  <r>
    <s v="TXN00008621"/>
    <s v="A00008928"/>
    <s v="PLC00005966"/>
    <d v="2018-01-28T00:00:00"/>
    <d v="2021-05-05T00:00:00"/>
    <d v="2021-05-06T00:00:00"/>
    <n v="1"/>
    <n v="132.97"/>
    <n v="1595.64"/>
    <n v="1000"/>
    <s v="A"/>
    <n v="1000"/>
    <n v="4.67"/>
    <s v="Minor Loss"/>
    <n v="56"/>
    <n v="60"/>
    <n v="1"/>
    <n v="3"/>
    <s v="L"/>
    <x v="1"/>
    <x v="1"/>
    <s v="Mortgage"/>
    <n v="0"/>
    <n v="1"/>
    <n v="7451.6388000000006"/>
    <n v="5439.6963240000005"/>
    <n v="4439.6963240000005"/>
  </r>
  <r>
    <s v="TXN00008623"/>
    <s v="A00005121"/>
    <s v="PLC00008979"/>
    <d v="2011-12-30T00:00:00"/>
    <d v="2021-05-03T00:00:00"/>
    <d v="2021-05-05T00:00:00"/>
    <n v="2"/>
    <n v="86.06"/>
    <n v="1032.72"/>
    <n v="2000"/>
    <s v="A"/>
    <n v="2000"/>
    <n v="9.08"/>
    <s v="Total Loss"/>
    <n v="109"/>
    <n v="32"/>
    <n v="1"/>
    <n v="7"/>
    <s v="L"/>
    <x v="0"/>
    <x v="6"/>
    <s v="Mortgage"/>
    <n v="1"/>
    <n v="1"/>
    <n v="9377.097600000001"/>
    <n v="6845.2812480000002"/>
    <n v="4845.2812480000002"/>
  </r>
  <r>
    <s v="TXN00008629"/>
    <s v="A00005869"/>
    <s v="PLC00000601"/>
    <d v="2016-05-01T00:00:00"/>
    <d v="2021-05-04T00:00:00"/>
    <d v="2021-05-05T00:00:00"/>
    <n v="1"/>
    <n v="127.41"/>
    <n v="1528.92"/>
    <n v="7000"/>
    <s v="A"/>
    <n v="7000"/>
    <n v="7.67"/>
    <s v="Major Loss"/>
    <n v="92"/>
    <n v="43"/>
    <n v="0"/>
    <n v="6"/>
    <s v="H"/>
    <x v="1"/>
    <x v="2"/>
    <s v="Mortgage"/>
    <n v="1"/>
    <n v="1"/>
    <n v="11726.8164"/>
    <n v="8560.5759719999987"/>
    <n v="1560.5759719999987"/>
  </r>
  <r>
    <s v="TXN00008634"/>
    <s v="A00001938"/>
    <s v="PLC00002405"/>
    <d v="2017-05-11T00:00:00"/>
    <d v="2021-04-22T00:00:00"/>
    <d v="2021-04-27T00:00:00"/>
    <n v="5"/>
    <n v="125.2"/>
    <n v="1502.4"/>
    <n v="10000"/>
    <s v="A"/>
    <n v="10000"/>
    <n v="3.33"/>
    <s v="Major Loss"/>
    <n v="40"/>
    <n v="41"/>
    <n v="1"/>
    <n v="6"/>
    <s v="M"/>
    <x v="0"/>
    <x v="0"/>
    <s v="Rent"/>
    <n v="1"/>
    <n v="0"/>
    <n v="5002.9920000000002"/>
    <n v="3652.1841600000002"/>
    <n v="-6347.8158399999993"/>
  </r>
  <r>
    <s v="TXN00008641"/>
    <s v="A00002922"/>
    <s v="PLC00007861"/>
    <d v="2017-01-17T00:00:00"/>
    <d v="2021-04-26T00:00:00"/>
    <d v="2021-05-01T00:00:00"/>
    <n v="5"/>
    <n v="87.82"/>
    <n v="1053.8399999999999"/>
    <n v="7000"/>
    <s v="A"/>
    <n v="7000"/>
    <n v="9.67"/>
    <s v="Major Loss"/>
    <n v="116"/>
    <n v="46"/>
    <n v="0"/>
    <n v="6"/>
    <s v="L"/>
    <x v="2"/>
    <x v="0"/>
    <s v="Rent"/>
    <n v="1"/>
    <n v="1"/>
    <n v="10190.632799999999"/>
    <n v="7439.1619439999995"/>
    <n v="439.16194399999949"/>
  </r>
  <r>
    <s v="TXN00008661"/>
    <s v="A00000179"/>
    <s v="PLC00002068"/>
    <d v="2011-07-04T00:00:00"/>
    <d v="2021-05-03T00:00:00"/>
    <d v="2021-05-05T00:00:00"/>
    <n v="2"/>
    <n v="77.69"/>
    <n v="932.28"/>
    <n v="9000"/>
    <s v="A"/>
    <n v="9000"/>
    <n v="0.67"/>
    <s v="Major Loss"/>
    <n v="8"/>
    <n v="41"/>
    <n v="1"/>
    <n v="3"/>
    <s v="L"/>
    <x v="0"/>
    <x v="1"/>
    <s v="Own"/>
    <n v="1"/>
    <n v="1"/>
    <n v="624.62760000000003"/>
    <n v="455.97814800000003"/>
    <n v="-8544.0218519999999"/>
  </r>
  <r>
    <s v="TXN00008662"/>
    <s v="A00000895"/>
    <s v="PLC00002484"/>
    <d v="2014-08-21T00:00:00"/>
    <d v="2021-04-24T00:00:00"/>
    <d v="2021-04-29T00:00:00"/>
    <n v="5"/>
    <n v="112.71"/>
    <n v="1352.52"/>
    <n v="7000"/>
    <s v="A"/>
    <n v="7000"/>
    <n v="3.17"/>
    <s v="Minor Loss"/>
    <n v="38"/>
    <n v="51"/>
    <n v="1"/>
    <n v="2"/>
    <s v="M"/>
    <x v="1"/>
    <x v="6"/>
    <s v="Rent"/>
    <n v="0"/>
    <n v="1"/>
    <n v="4287.4884000000002"/>
    <n v="3129.866532"/>
    <n v="-3870.133468"/>
  </r>
  <r>
    <s v="TXN00008663"/>
    <s v="A00003034"/>
    <s v="PLC00009376"/>
    <d v="2013-01-30T00:00:00"/>
    <d v="2021-04-25T00:00:00"/>
    <d v="2021-04-30T00:00:00"/>
    <n v="5"/>
    <n v="115.17"/>
    <n v="1382.04"/>
    <n v="1000"/>
    <s v="A"/>
    <n v="1000"/>
    <n v="7.25"/>
    <s v="Minor Loss"/>
    <n v="87"/>
    <n v="25"/>
    <n v="1"/>
    <n v="7"/>
    <s v="L"/>
    <x v="0"/>
    <x v="4"/>
    <s v="Rent"/>
    <n v="1"/>
    <n v="0"/>
    <n v="10019.789999999999"/>
    <n v="7314.4466999999995"/>
    <n v="6314.4466999999995"/>
  </r>
  <r>
    <s v="TXN00008665"/>
    <s v="A00002240"/>
    <s v="PLC00007104"/>
    <d v="2016-08-17T00:00:00"/>
    <d v="2021-05-08T00:00:00"/>
    <d v="2021-05-08T00:00:00"/>
    <n v="0"/>
    <n v="70.64"/>
    <n v="847.68"/>
    <n v="8000"/>
    <s v="A"/>
    <n v="8000"/>
    <n v="1.42"/>
    <s v="Minor Loss"/>
    <n v="17"/>
    <n v="40"/>
    <n v="0"/>
    <n v="5"/>
    <s v="M"/>
    <x v="0"/>
    <x v="1"/>
    <s v="Rent"/>
    <n v="0"/>
    <n v="1"/>
    <n v="1203.7055999999998"/>
    <n v="878.70508799999982"/>
    <n v="-7121.2949120000003"/>
  </r>
  <r>
    <s v="TXN00008672"/>
    <s v="A00004538"/>
    <s v="PLC00009965"/>
    <d v="2011-02-23T00:00:00"/>
    <d v="2021-04-28T00:00:00"/>
    <d v="2021-05-03T00:00:00"/>
    <n v="5"/>
    <n v="138.68"/>
    <n v="1664.16"/>
    <n v="2000"/>
    <s v="A"/>
    <n v="2000"/>
    <n v="2.17"/>
    <s v="Total Loss"/>
    <n v="26"/>
    <n v="32"/>
    <n v="1"/>
    <n v="7"/>
    <s v="H"/>
    <x v="0"/>
    <x v="4"/>
    <s v="Rent"/>
    <n v="0"/>
    <n v="1"/>
    <n v="3611.2272000000003"/>
    <n v="2636.1958560000003"/>
    <n v="636.19585600000028"/>
  </r>
  <r>
    <s v="TXN00008677"/>
    <s v="A00005693"/>
    <s v="PLC00008142"/>
    <d v="2012-04-16T00:00:00"/>
    <d v="2021-04-22T00:00:00"/>
    <d v="2021-04-27T00:00:00"/>
    <n v="5"/>
    <n v="116.37"/>
    <n v="1396.44"/>
    <n v="1000"/>
    <s v="A"/>
    <n v="1000"/>
    <n v="9.33"/>
    <s v="Total Loss"/>
    <n v="112"/>
    <n v="39"/>
    <n v="1"/>
    <n v="4"/>
    <s v="L"/>
    <x v="0"/>
    <x v="1"/>
    <s v="Mortgage"/>
    <n v="0"/>
    <n v="0"/>
    <n v="13028.7852"/>
    <n v="9511.0131959999999"/>
    <n v="8511.0131959999999"/>
  </r>
  <r>
    <s v="TXN00008690"/>
    <s v="A00001316"/>
    <s v="PLC00007539"/>
    <d v="2019-12-14T00:00:00"/>
    <d v="2021-05-01T00:00:00"/>
    <d v="2021-05-06T00:00:00"/>
    <n v="5"/>
    <n v="125.25"/>
    <n v="1503"/>
    <n v="10000"/>
    <s v="A"/>
    <n v="10000"/>
    <n v="4.25"/>
    <s v="Total Loss"/>
    <n v="51"/>
    <n v="47"/>
    <n v="1"/>
    <n v="5"/>
    <s v="M"/>
    <x v="2"/>
    <x v="1"/>
    <s v="Mortgage"/>
    <n v="0"/>
    <n v="1"/>
    <n v="6387.75"/>
    <n v="4663.0574999999999"/>
    <n v="-5336.9425000000001"/>
  </r>
  <r>
    <s v="TXN00008692"/>
    <s v="A00000535"/>
    <s v="PLC00003952"/>
    <d v="2015-05-21T00:00:00"/>
    <d v="2021-05-08T00:00:00"/>
    <d v="2021-05-09T00:00:00"/>
    <n v="1"/>
    <n v="134.87"/>
    <n v="1618.44"/>
    <n v="5000"/>
    <s v="D"/>
    <n v="0"/>
    <n v="1.83"/>
    <s v="Major Loss"/>
    <n v="22"/>
    <n v="26"/>
    <n v="1"/>
    <n v="6"/>
    <s v="M"/>
    <x v="0"/>
    <x v="6"/>
    <s v="Mortgage"/>
    <n v="1"/>
    <n v="0"/>
    <n v="2961.7452000000003"/>
    <n v="2162.0739960000001"/>
    <n v="2162.0739960000001"/>
  </r>
  <r>
    <s v="TXN00008694"/>
    <s v="A00005694"/>
    <s v="PLC00005859"/>
    <d v="2012-06-19T00:00:00"/>
    <d v="2021-05-07T00:00:00"/>
    <d v="2021-05-08T00:00:00"/>
    <n v="1"/>
    <n v="89.13"/>
    <n v="1069.56"/>
    <n v="10000"/>
    <s v="A"/>
    <n v="10000"/>
    <n v="7.92"/>
    <s v="Major Loss"/>
    <n v="95"/>
    <n v="50"/>
    <n v="0"/>
    <n v="4"/>
    <s v="M"/>
    <x v="0"/>
    <x v="3"/>
    <s v="Mortgage"/>
    <n v="0"/>
    <n v="0"/>
    <n v="8470.9151999999995"/>
    <n v="6183.7680959999998"/>
    <n v="-3816.2319040000002"/>
  </r>
  <r>
    <s v="TXN00008696"/>
    <s v="A00008464"/>
    <s v="PLC00005134"/>
    <d v="2011-09-13T00:00:00"/>
    <d v="2021-05-06T00:00:00"/>
    <d v="2021-05-08T00:00:00"/>
    <n v="2"/>
    <n v="91.73"/>
    <n v="1100.76"/>
    <n v="4000"/>
    <s v="A"/>
    <n v="4000"/>
    <n v="6.25"/>
    <s v="Total Loss"/>
    <n v="75"/>
    <n v="52"/>
    <n v="1"/>
    <n v="3"/>
    <s v="L"/>
    <x v="0"/>
    <x v="1"/>
    <s v="Own"/>
    <n v="0"/>
    <n v="0"/>
    <n v="6879.75"/>
    <n v="5022.2174999999997"/>
    <n v="1022.2174999999997"/>
  </r>
  <r>
    <s v="TXN00008717"/>
    <s v="A00007017"/>
    <s v="PLC00004604"/>
    <d v="2012-09-27T00:00:00"/>
    <d v="2021-05-10T00:00:00"/>
    <d v="2021-05-10T00:00:00"/>
    <n v="0"/>
    <n v="102.17"/>
    <n v="1226.04"/>
    <n v="1000"/>
    <s v="A"/>
    <n v="1000"/>
    <n v="5.92"/>
    <s v="Minor Loss"/>
    <n v="71"/>
    <n v="44"/>
    <n v="1"/>
    <n v="4"/>
    <s v="M"/>
    <x v="1"/>
    <x v="1"/>
    <s v="Mortgage"/>
    <n v="0"/>
    <n v="1"/>
    <n v="7258.1567999999997"/>
    <n v="5298.4544639999995"/>
    <n v="4298.4544639999995"/>
  </r>
  <r>
    <s v="TXN00008720"/>
    <s v="A00003400"/>
    <s v="PLC00008573"/>
    <d v="2015-08-01T00:00:00"/>
    <d v="2021-05-09T00:00:00"/>
    <d v="2021-05-10T00:00:00"/>
    <n v="1"/>
    <n v="103.78"/>
    <n v="1245.3599999999999"/>
    <n v="2000"/>
    <s v="A"/>
    <n v="2000"/>
    <n v="4.58"/>
    <s v="Major Loss"/>
    <n v="55"/>
    <n v="36"/>
    <n v="1"/>
    <n v="6"/>
    <s v="L"/>
    <x v="2"/>
    <x v="4"/>
    <s v="Own"/>
    <n v="0"/>
    <n v="1"/>
    <n v="5703.7487999999994"/>
    <n v="4163.7366239999992"/>
    <n v="2163.7366239999992"/>
  </r>
  <r>
    <s v="TXN00008721"/>
    <s v="A00009171"/>
    <s v="PLC00003116"/>
    <d v="2011-04-06T00:00:00"/>
    <d v="2021-04-26T00:00:00"/>
    <d v="2021-05-01T00:00:00"/>
    <n v="5"/>
    <n v="101.08"/>
    <n v="1212.96"/>
    <n v="3000"/>
    <s v="A"/>
    <n v="3000"/>
    <n v="7.33"/>
    <s v="Minor Loss"/>
    <n v="88"/>
    <n v="30"/>
    <n v="0"/>
    <n v="7"/>
    <s v="H"/>
    <x v="0"/>
    <x v="0"/>
    <s v="Own"/>
    <n v="1"/>
    <n v="0"/>
    <n v="8890.9968000000008"/>
    <n v="6490.4276640000007"/>
    <n v="3490.4276640000007"/>
  </r>
  <r>
    <s v="TXN00008745"/>
    <s v="A00008858"/>
    <s v="PLC00002444"/>
    <d v="2019-06-23T00:00:00"/>
    <d v="2021-05-09T00:00:00"/>
    <d v="2021-05-10T00:00:00"/>
    <n v="1"/>
    <n v="72.03"/>
    <n v="864.36"/>
    <n v="9000"/>
    <s v="A"/>
    <n v="9000"/>
    <n v="0.57999999999999996"/>
    <s v="Major Loss"/>
    <n v="7"/>
    <n v="31"/>
    <n v="1"/>
    <n v="5"/>
    <s v="M"/>
    <x v="0"/>
    <x v="1"/>
    <s v="Mortgage"/>
    <n v="0"/>
    <n v="1"/>
    <n v="501.3288"/>
    <n v="365.97002399999997"/>
    <n v="-8634.0299759999998"/>
  </r>
  <r>
    <s v="TXN00008749"/>
    <s v="A00006018"/>
    <s v="PLC00007127"/>
    <d v="2019-08-30T00:00:00"/>
    <d v="2021-05-10T00:00:00"/>
    <d v="2021-05-11T00:00:00"/>
    <n v="1"/>
    <n v="87.48"/>
    <n v="1049.76"/>
    <n v="3000"/>
    <s v="A"/>
    <n v="3000"/>
    <n v="6.83"/>
    <s v="Total Loss"/>
    <n v="82"/>
    <n v="61"/>
    <n v="1"/>
    <n v="5"/>
    <s v="L"/>
    <x v="1"/>
    <x v="1"/>
    <s v="Own"/>
    <n v="1"/>
    <n v="1"/>
    <n v="7169.8608000000004"/>
    <n v="5233.9983840000004"/>
    <n v="2233.9983840000004"/>
  </r>
  <r>
    <s v="TXN00008750"/>
    <s v="A00005946"/>
    <s v="PLC00008736"/>
    <d v="2013-09-28T00:00:00"/>
    <d v="2021-05-05T00:00:00"/>
    <d v="2021-05-08T00:00:00"/>
    <n v="3"/>
    <n v="77.94"/>
    <n v="935.28"/>
    <n v="4000"/>
    <s v="A"/>
    <n v="4000"/>
    <n v="1.58"/>
    <s v="Total Loss"/>
    <n v="19"/>
    <n v="61"/>
    <n v="1"/>
    <n v="7"/>
    <s v="M"/>
    <x v="0"/>
    <x v="3"/>
    <s v="Rent"/>
    <n v="1"/>
    <n v="1"/>
    <n v="1477.7424000000001"/>
    <n v="1078.7519520000001"/>
    <n v="-2921.2480479999999"/>
  </r>
  <r>
    <s v="TXN00008792"/>
    <s v="A00004891"/>
    <s v="PLC00000360"/>
    <d v="2017-05-26T00:00:00"/>
    <d v="2021-05-10T00:00:00"/>
    <d v="2021-05-12T00:00:00"/>
    <n v="2"/>
    <n v="90.34"/>
    <n v="1084.08"/>
    <n v="1000"/>
    <s v="A"/>
    <n v="1000"/>
    <n v="8.83"/>
    <s v="Major Loss"/>
    <n v="106"/>
    <n v="50"/>
    <n v="1"/>
    <n v="4"/>
    <s v="M"/>
    <x v="0"/>
    <x v="1"/>
    <s v="Own"/>
    <n v="0"/>
    <n v="1"/>
    <n v="9572.4264000000003"/>
    <n v="6987.8712720000003"/>
    <n v="5987.8712720000003"/>
  </r>
  <r>
    <s v="TXN00008794"/>
    <s v="A00007155"/>
    <s v="PLC00007403"/>
    <d v="2011-10-17T00:00:00"/>
    <d v="2021-04-29T00:00:00"/>
    <d v="2021-05-04T00:00:00"/>
    <n v="5"/>
    <n v="89.61"/>
    <n v="1075.32"/>
    <n v="9000"/>
    <s v="A"/>
    <n v="9000"/>
    <n v="7.42"/>
    <s v="Major Loss"/>
    <n v="89"/>
    <n v="51"/>
    <n v="0"/>
    <n v="7"/>
    <s v="M"/>
    <x v="0"/>
    <x v="4"/>
    <s v="Own"/>
    <n v="0"/>
    <n v="1"/>
    <n v="7978.8743999999997"/>
    <n v="5824.5783119999996"/>
    <n v="-3175.4216880000004"/>
  </r>
  <r>
    <s v="TXN00008797"/>
    <s v="A00006890"/>
    <s v="PLC00004535"/>
    <d v="2012-04-13T00:00:00"/>
    <d v="2021-05-04T00:00:00"/>
    <d v="2021-05-09T00:00:00"/>
    <n v="5"/>
    <n v="121.35"/>
    <n v="1456.2"/>
    <n v="4000"/>
    <s v="A"/>
    <n v="4000"/>
    <n v="3.25"/>
    <s v="Total Loss"/>
    <n v="39"/>
    <n v="35"/>
    <n v="1"/>
    <n v="7"/>
    <s v="L"/>
    <x v="0"/>
    <x v="3"/>
    <s v="Rent"/>
    <n v="1"/>
    <n v="0"/>
    <n v="4732.6500000000005"/>
    <n v="3454.8345000000004"/>
    <n v="-545.16549999999961"/>
  </r>
  <r>
    <s v="TXN00008800"/>
    <s v="A00004432"/>
    <s v="PLC00005345"/>
    <d v="2013-06-10T00:00:00"/>
    <d v="2021-05-10T00:00:00"/>
    <d v="2021-05-12T00:00:00"/>
    <n v="2"/>
    <n v="116.11"/>
    <n v="1393.32"/>
    <n v="5000"/>
    <s v="A"/>
    <n v="5000"/>
    <n v="4.42"/>
    <s v="Major Loss"/>
    <n v="53"/>
    <n v="57"/>
    <n v="1"/>
    <n v="6"/>
    <s v="L"/>
    <x v="2"/>
    <x v="0"/>
    <s v="Rent"/>
    <n v="1"/>
    <n v="1"/>
    <n v="6158.4744000000001"/>
    <n v="4495.6863119999998"/>
    <n v="-504.31368800000018"/>
  </r>
  <r>
    <s v="TXN00008808"/>
    <s v="A00004105"/>
    <s v="PLC00007791"/>
    <d v="2015-06-04T00:00:00"/>
    <d v="2021-05-13T00:00:00"/>
    <d v="2021-05-13T00:00:00"/>
    <n v="0"/>
    <n v="110.84"/>
    <n v="1330.08"/>
    <n v="6000"/>
    <s v="A"/>
    <n v="6000"/>
    <n v="7.17"/>
    <s v="Major Loss"/>
    <n v="86"/>
    <n v="33"/>
    <n v="0"/>
    <n v="6"/>
    <s v="M"/>
    <x v="1"/>
    <x v="1"/>
    <s v="Mortgage"/>
    <n v="0"/>
    <n v="1"/>
    <n v="9536.6736000000001"/>
    <n v="6961.7717279999997"/>
    <n v="961.77172799999971"/>
  </r>
  <r>
    <s v="TXN00008812"/>
    <s v="A00005610"/>
    <s v="PLC00000884"/>
    <d v="2016-10-08T00:00:00"/>
    <d v="2021-05-06T00:00:00"/>
    <d v="2021-05-09T00:00:00"/>
    <n v="3"/>
    <n v="84.18"/>
    <n v="1010.16"/>
    <n v="9000"/>
    <s v="A"/>
    <n v="9000"/>
    <n v="7.42"/>
    <s v="Major Loss"/>
    <n v="89"/>
    <n v="36"/>
    <n v="1"/>
    <n v="3"/>
    <s v="L"/>
    <x v="2"/>
    <x v="1"/>
    <s v="Own"/>
    <n v="0"/>
    <n v="1"/>
    <n v="7495.3872000000001"/>
    <n v="5471.6326559999998"/>
    <n v="-3528.3673440000002"/>
  </r>
  <r>
    <s v="TXN00008820"/>
    <s v="A00008035"/>
    <s v="PLC00007620"/>
    <d v="2010-07-28T00:00:00"/>
    <d v="2021-04-30T00:00:00"/>
    <d v="2021-05-05T00:00:00"/>
    <n v="5"/>
    <n v="120.95"/>
    <n v="1451.4"/>
    <n v="4000"/>
    <s v="A"/>
    <n v="4000"/>
    <n v="2.33"/>
    <s v="Major Loss"/>
    <n v="28"/>
    <n v="30"/>
    <n v="0"/>
    <n v="2"/>
    <s v="L"/>
    <x v="0"/>
    <x v="0"/>
    <s v="Own"/>
    <n v="1"/>
    <n v="1"/>
    <n v="3381.7620000000002"/>
    <n v="2468.6862599999999"/>
    <n v="-1531.3137400000001"/>
  </r>
  <r>
    <s v="TXN00008821"/>
    <s v="A00007141"/>
    <s v="PLC00001592"/>
    <d v="2014-01-03T00:00:00"/>
    <d v="2021-05-03T00:00:00"/>
    <d v="2021-05-08T00:00:00"/>
    <n v="5"/>
    <n v="97.24"/>
    <n v="1166.8800000000001"/>
    <n v="2000"/>
    <s v="A"/>
    <n v="2000"/>
    <n v="8.83"/>
    <s v="Minor Loss"/>
    <n v="106"/>
    <n v="52"/>
    <n v="1"/>
    <n v="5"/>
    <s v="M"/>
    <x v="2"/>
    <x v="0"/>
    <s v="Own"/>
    <n v="1"/>
    <n v="1"/>
    <n v="10303.550400000002"/>
    <n v="7521.5917920000011"/>
    <n v="5521.5917920000011"/>
  </r>
  <r>
    <s v="TXN00008830"/>
    <s v="A00006689"/>
    <s v="PLC00009612"/>
    <d v="2013-01-04T00:00:00"/>
    <d v="2021-04-28T00:00:00"/>
    <d v="2021-05-03T00:00:00"/>
    <n v="5"/>
    <n v="138.57"/>
    <n v="1662.84"/>
    <n v="6000"/>
    <s v="A"/>
    <n v="6000"/>
    <n v="5.75"/>
    <s v="Major Loss"/>
    <n v="69"/>
    <n v="55"/>
    <n v="1"/>
    <n v="6"/>
    <s v="L"/>
    <x v="2"/>
    <x v="1"/>
    <s v="Own"/>
    <n v="1"/>
    <n v="1"/>
    <n v="9561.33"/>
    <n v="6979.7708999999995"/>
    <n v="979.77089999999953"/>
  </r>
  <r>
    <s v="TXN00008838"/>
    <s v="A00007611"/>
    <s v="PLC00005899"/>
    <d v="2017-01-06T00:00:00"/>
    <d v="2021-05-04T00:00:00"/>
    <d v="2021-05-09T00:00:00"/>
    <n v="5"/>
    <n v="92.6"/>
    <n v="1111.2"/>
    <n v="9000"/>
    <s v="A"/>
    <n v="9000"/>
    <n v="3.75"/>
    <s v="Major Loss"/>
    <n v="45"/>
    <n v="36"/>
    <n v="0"/>
    <n v="3"/>
    <s v="L"/>
    <x v="1"/>
    <x v="3"/>
    <s v="Mortgage"/>
    <n v="1"/>
    <n v="0"/>
    <n v="4167"/>
    <n v="3041.91"/>
    <n v="-5958.09"/>
  </r>
  <r>
    <s v="TXN00008844"/>
    <s v="A00004137"/>
    <s v="PLC00002839"/>
    <d v="2019-02-15T00:00:00"/>
    <d v="2021-05-01T00:00:00"/>
    <d v="2021-05-06T00:00:00"/>
    <n v="5"/>
    <n v="113.18"/>
    <n v="1358.16"/>
    <n v="1000"/>
    <s v="A"/>
    <n v="1000"/>
    <n v="4.25"/>
    <s v="Minor Loss"/>
    <n v="51"/>
    <n v="45"/>
    <n v="1"/>
    <n v="2"/>
    <s v="M"/>
    <x v="0"/>
    <x v="3"/>
    <s v="Own"/>
    <n v="1"/>
    <n v="1"/>
    <n v="5772.18"/>
    <n v="4213.6913999999997"/>
    <n v="3213.6913999999997"/>
  </r>
  <r>
    <s v="TXN00008854"/>
    <s v="A00007909"/>
    <s v="PLC00009903"/>
    <d v="2011-09-28T00:00:00"/>
    <d v="2021-05-15T00:00:00"/>
    <d v="2021-05-15T00:00:00"/>
    <n v="0"/>
    <n v="96.04"/>
    <n v="1152.48"/>
    <n v="2000"/>
    <s v="A"/>
    <n v="2000"/>
    <n v="7.33"/>
    <s v="Major Loss"/>
    <n v="88"/>
    <n v="54"/>
    <n v="1"/>
    <n v="4"/>
    <s v="L"/>
    <x v="1"/>
    <x v="1"/>
    <s v="Mortgage"/>
    <n v="1"/>
    <n v="1"/>
    <n v="8447.6784000000007"/>
    <n v="6166.8052320000006"/>
    <n v="4166.8052320000006"/>
  </r>
  <r>
    <s v="TXN00008857"/>
    <s v="A00004999"/>
    <s v="PLC00002771"/>
    <d v="2017-05-03T00:00:00"/>
    <d v="2021-04-30T00:00:00"/>
    <d v="2021-05-05T00:00:00"/>
    <n v="5"/>
    <n v="87.98"/>
    <n v="1055.76"/>
    <n v="8000"/>
    <s v="A"/>
    <n v="8000"/>
    <n v="4.42"/>
    <s v="Minor Loss"/>
    <n v="53"/>
    <n v="60"/>
    <n v="0"/>
    <n v="7"/>
    <s v="L"/>
    <x v="0"/>
    <x v="1"/>
    <s v="Mortgage"/>
    <n v="1"/>
    <n v="1"/>
    <n v="4666.4592000000002"/>
    <n v="3406.5152160000002"/>
    <n v="-4593.4847840000002"/>
  </r>
  <r>
    <s v="TXN00008871"/>
    <s v="A00009045"/>
    <s v="PLC00006135"/>
    <d v="2019-09-28T00:00:00"/>
    <d v="2021-05-14T00:00:00"/>
    <d v="2021-05-15T00:00:00"/>
    <n v="1"/>
    <n v="79.63"/>
    <n v="955.56"/>
    <n v="7000"/>
    <s v="A"/>
    <n v="7000"/>
    <n v="9.92"/>
    <s v="Total Loss"/>
    <n v="119"/>
    <n v="26"/>
    <n v="1"/>
    <n v="7"/>
    <s v="L"/>
    <x v="0"/>
    <x v="1"/>
    <s v="Mortgage"/>
    <n v="0"/>
    <n v="1"/>
    <n v="9479.1551999999992"/>
    <n v="6919.7832959999996"/>
    <n v="-80.216704000000391"/>
  </r>
  <r>
    <s v="TXN00008875"/>
    <s v="A00002930"/>
    <s v="PLC00000259"/>
    <d v="2012-08-15T00:00:00"/>
    <d v="2021-05-10T00:00:00"/>
    <d v="2021-05-13T00:00:00"/>
    <n v="3"/>
    <n v="127.63"/>
    <n v="1531.56"/>
    <n v="3000"/>
    <s v="A"/>
    <n v="3000"/>
    <n v="8.25"/>
    <s v="Total Loss"/>
    <n v="99"/>
    <n v="33"/>
    <n v="1"/>
    <n v="3"/>
    <s v="H"/>
    <x v="0"/>
    <x v="5"/>
    <s v="Mortgage"/>
    <n v="0"/>
    <n v="1"/>
    <n v="12635.369999999999"/>
    <n v="9223.820099999999"/>
    <n v="6223.820099999999"/>
  </r>
  <r>
    <s v="TXN00008876"/>
    <s v="A00000876"/>
    <s v="PLC00004691"/>
    <d v="2020-01-08T00:00:00"/>
    <d v="2021-05-16T00:00:00"/>
    <d v="2021-05-16T00:00:00"/>
    <n v="0"/>
    <n v="70.23"/>
    <n v="842.76"/>
    <n v="5000"/>
    <s v="A"/>
    <n v="5000"/>
    <n v="3.75"/>
    <s v="Major Loss"/>
    <n v="45"/>
    <n v="29"/>
    <n v="0"/>
    <n v="2"/>
    <s v="H"/>
    <x v="2"/>
    <x v="1"/>
    <s v="Mortgage"/>
    <n v="1"/>
    <n v="0"/>
    <n v="3160.35"/>
    <n v="2307.0554999999999"/>
    <n v="-2692.9445000000001"/>
  </r>
  <r>
    <s v="TXN00008882"/>
    <s v="A00000292"/>
    <s v="PLC00006997"/>
    <d v="2017-08-14T00:00:00"/>
    <d v="2021-05-13T00:00:00"/>
    <d v="2021-05-15T00:00:00"/>
    <n v="2"/>
    <n v="118.55"/>
    <n v="1422.6"/>
    <n v="4000"/>
    <s v="A"/>
    <n v="4000"/>
    <n v="7.58"/>
    <s v="Total Loss"/>
    <n v="91"/>
    <n v="64"/>
    <n v="1"/>
    <n v="6"/>
    <s v="L"/>
    <x v="2"/>
    <x v="3"/>
    <s v="Mortgage"/>
    <n v="1"/>
    <n v="0"/>
    <n v="10783.307999999999"/>
    <n v="7871.8148399999991"/>
    <n v="3871.8148399999991"/>
  </r>
  <r>
    <s v="TXN00008889"/>
    <s v="A00009669"/>
    <s v="PLC00003142"/>
    <d v="2018-04-02T00:00:00"/>
    <d v="2021-05-15T00:00:00"/>
    <d v="2021-05-16T00:00:00"/>
    <n v="1"/>
    <n v="97.84"/>
    <n v="1174.08"/>
    <n v="10000"/>
    <s v="A"/>
    <n v="10000"/>
    <n v="1"/>
    <s v="Total Loss"/>
    <n v="12"/>
    <n v="38"/>
    <n v="1"/>
    <n v="7"/>
    <s v="H"/>
    <x v="0"/>
    <x v="2"/>
    <s v="Rent"/>
    <n v="1"/>
    <n v="0"/>
    <n v="1174.08"/>
    <n v="857.07839999999987"/>
    <n v="-9142.9215999999997"/>
  </r>
  <r>
    <s v="TXN00008891"/>
    <s v="A00003593"/>
    <s v="PLC00003567"/>
    <d v="2011-12-13T00:00:00"/>
    <d v="2021-04-30T00:00:00"/>
    <d v="2021-05-05T00:00:00"/>
    <n v="5"/>
    <n v="139.32"/>
    <n v="1671.84"/>
    <n v="7000"/>
    <s v="A"/>
    <n v="7000"/>
    <n v="6.75"/>
    <s v="Major Loss"/>
    <n v="81"/>
    <n v="58"/>
    <n v="1"/>
    <n v="5"/>
    <s v="H"/>
    <x v="0"/>
    <x v="1"/>
    <s v="Own"/>
    <n v="0"/>
    <n v="1"/>
    <n v="11284.92"/>
    <n v="8237.9915999999994"/>
    <n v="1237.9915999999994"/>
  </r>
  <r>
    <s v="TXN00008895"/>
    <s v="A00006340"/>
    <s v="PLC00004725"/>
    <d v="2017-04-15T00:00:00"/>
    <d v="2021-05-03T00:00:00"/>
    <d v="2021-05-08T00:00:00"/>
    <n v="5"/>
    <n v="124.49"/>
    <n v="1493.88"/>
    <n v="7000"/>
    <s v="A"/>
    <n v="7000"/>
    <n v="5.33"/>
    <s v="Total Loss"/>
    <n v="64"/>
    <n v="54"/>
    <n v="1"/>
    <n v="4"/>
    <s v="M"/>
    <x v="2"/>
    <x v="0"/>
    <s v="Rent"/>
    <n v="1"/>
    <n v="1"/>
    <n v="7962.3804000000009"/>
    <n v="5812.5376920000008"/>
    <n v="-1187.4623079999992"/>
  </r>
  <r>
    <s v="TXN00008941"/>
    <s v="A00006133"/>
    <s v="PLC00005651"/>
    <d v="2015-02-20T00:00:00"/>
    <d v="2021-05-10T00:00:00"/>
    <d v="2021-05-15T00:00:00"/>
    <n v="5"/>
    <n v="81.98"/>
    <n v="983.76"/>
    <n v="7000"/>
    <s v="A"/>
    <n v="7000"/>
    <n v="1"/>
    <s v="Major Loss"/>
    <n v="12"/>
    <n v="49"/>
    <n v="1"/>
    <n v="2"/>
    <s v="L"/>
    <x v="1"/>
    <x v="4"/>
    <s v="Own"/>
    <n v="0"/>
    <n v="1"/>
    <n v="983.76"/>
    <n v="718.14480000000003"/>
    <n v="-6281.8552"/>
  </r>
  <r>
    <s v="TXN00008944"/>
    <s v="A00002514"/>
    <s v="PLC00004480"/>
    <d v="2013-10-22T00:00:00"/>
    <d v="2021-05-09T00:00:00"/>
    <d v="2021-05-14T00:00:00"/>
    <n v="5"/>
    <n v="122.38"/>
    <n v="1468.56"/>
    <n v="2000"/>
    <s v="A"/>
    <n v="2000"/>
    <n v="4.25"/>
    <s v="Minor Loss"/>
    <n v="51"/>
    <n v="63"/>
    <n v="0"/>
    <n v="7"/>
    <s v="L"/>
    <x v="2"/>
    <x v="0"/>
    <s v="Rent"/>
    <n v="1"/>
    <n v="0"/>
    <n v="6241.38"/>
    <n v="4556.2074000000002"/>
    <n v="2556.2074000000002"/>
  </r>
  <r>
    <s v="TXN00008956"/>
    <s v="A00008890"/>
    <s v="PLC00009434"/>
    <d v="2014-01-28T00:00:00"/>
    <d v="2021-05-21T00:00:00"/>
    <d v="2021-05-21T00:00:00"/>
    <n v="0"/>
    <n v="118.55"/>
    <n v="1422.6"/>
    <n v="8000"/>
    <s v="A"/>
    <n v="8000"/>
    <n v="8.67"/>
    <s v="Major Loss"/>
    <n v="104"/>
    <n v="50"/>
    <n v="0"/>
    <n v="5"/>
    <s v="L"/>
    <x v="2"/>
    <x v="0"/>
    <s v="Own"/>
    <n v="1"/>
    <n v="1"/>
    <n v="12333.941999999999"/>
    <n v="9003.7776599999997"/>
    <n v="1003.7776599999997"/>
  </r>
  <r>
    <s v="TXN00008962"/>
    <s v="A00002469"/>
    <s v="PLC00007152"/>
    <d v="2011-09-18T00:00:00"/>
    <d v="2021-05-15T00:00:00"/>
    <d v="2021-05-17T00:00:00"/>
    <n v="2"/>
    <n v="89.51"/>
    <n v="1074.1199999999999"/>
    <n v="6000"/>
    <s v="A"/>
    <n v="6000"/>
    <n v="8.5"/>
    <s v="Minor Loss"/>
    <n v="102"/>
    <n v="56"/>
    <n v="1"/>
    <n v="5"/>
    <s v="M"/>
    <x v="1"/>
    <x v="3"/>
    <s v="Mortgage"/>
    <n v="1"/>
    <n v="0"/>
    <n v="9130.0199999999986"/>
    <n v="6664.9145999999992"/>
    <n v="664.91459999999915"/>
  </r>
  <r>
    <s v="TXN00008965"/>
    <s v="A00003972"/>
    <s v="PLC00007722"/>
    <d v="2018-03-12T00:00:00"/>
    <d v="2021-05-13T00:00:00"/>
    <d v="2021-05-16T00:00:00"/>
    <n v="3"/>
    <n v="90.68"/>
    <n v="1088.1600000000001"/>
    <n v="5000"/>
    <s v="A"/>
    <n v="5000"/>
    <n v="4.25"/>
    <s v="Minor Loss"/>
    <n v="51"/>
    <n v="60"/>
    <n v="0"/>
    <n v="5"/>
    <s v="M"/>
    <x v="0"/>
    <x v="1"/>
    <s v="Mortgage"/>
    <n v="1"/>
    <n v="0"/>
    <n v="4624.68"/>
    <n v="3376.0164"/>
    <n v="-1623.9836"/>
  </r>
  <r>
    <s v="TXN00008966"/>
    <s v="A00003776"/>
    <s v="PLC00006411"/>
    <d v="2018-11-02T00:00:00"/>
    <d v="2021-05-08T00:00:00"/>
    <d v="2021-05-13T00:00:00"/>
    <n v="5"/>
    <n v="103.41"/>
    <n v="1240.92"/>
    <n v="1000"/>
    <s v="A"/>
    <n v="1000"/>
    <n v="8.42"/>
    <s v="Total Loss"/>
    <n v="101"/>
    <n v="38"/>
    <n v="1"/>
    <n v="3"/>
    <s v="L"/>
    <x v="1"/>
    <x v="4"/>
    <s v="Own"/>
    <n v="1"/>
    <n v="1"/>
    <n v="10448.546400000001"/>
    <n v="7627.4388720000006"/>
    <n v="6627.4388720000006"/>
  </r>
  <r>
    <s v="TXN00008970"/>
    <s v="A00005751"/>
    <s v="PLC00000518"/>
    <d v="2018-03-05T00:00:00"/>
    <d v="2021-05-17T00:00:00"/>
    <d v="2021-05-18T00:00:00"/>
    <n v="1"/>
    <n v="128.93"/>
    <n v="1547.16"/>
    <n v="5000"/>
    <s v="A"/>
    <n v="5000"/>
    <n v="1.92"/>
    <s v="Total Loss"/>
    <n v="23"/>
    <n v="32"/>
    <n v="1"/>
    <n v="2"/>
    <s v="L"/>
    <x v="1"/>
    <x v="5"/>
    <s v="Mortgage"/>
    <n v="1"/>
    <n v="1"/>
    <n v="2970.5472"/>
    <n v="2168.499456"/>
    <n v="-2831.500544"/>
  </r>
  <r>
    <s v="TXN00008972"/>
    <s v="A00005200"/>
    <s v="PLC00009353"/>
    <d v="2013-03-29T00:00:00"/>
    <d v="2021-05-10T00:00:00"/>
    <d v="2021-05-15T00:00:00"/>
    <n v="5"/>
    <n v="79.2"/>
    <n v="950.4"/>
    <n v="7000"/>
    <s v="A"/>
    <n v="7000"/>
    <n v="9.33"/>
    <s v="Major Loss"/>
    <n v="112"/>
    <n v="32"/>
    <n v="1"/>
    <n v="7"/>
    <s v="M"/>
    <x v="0"/>
    <x v="1"/>
    <s v="Own"/>
    <n v="1"/>
    <n v="0"/>
    <n v="8867.232"/>
    <n v="6473.0793599999997"/>
    <n v="-526.92064000000028"/>
  </r>
  <r>
    <s v="TXN00008975"/>
    <s v="A00007638"/>
    <s v="PLC00001158"/>
    <d v="2016-08-11T00:00:00"/>
    <d v="2021-05-17T00:00:00"/>
    <d v="2021-05-18T00:00:00"/>
    <n v="1"/>
    <n v="111.37"/>
    <n v="1336.44"/>
    <n v="7000"/>
    <s v="A"/>
    <n v="7000"/>
    <n v="7.75"/>
    <s v="Major Loss"/>
    <n v="93"/>
    <n v="57"/>
    <n v="1"/>
    <n v="2"/>
    <s v="L"/>
    <x v="0"/>
    <x v="5"/>
    <s v="Own"/>
    <n v="0"/>
    <n v="1"/>
    <n v="10357.41"/>
    <n v="7560.9092999999993"/>
    <n v="560.90929999999935"/>
  </r>
  <r>
    <s v="TXN00008977"/>
    <s v="A00008610"/>
    <s v="PLC00001714"/>
    <d v="2015-08-02T00:00:00"/>
    <d v="2021-05-12T00:00:00"/>
    <d v="2021-05-15T00:00:00"/>
    <n v="3"/>
    <n v="74.47"/>
    <n v="893.64"/>
    <n v="1000"/>
    <s v="A"/>
    <n v="1000"/>
    <n v="1.33"/>
    <s v="Major Loss"/>
    <n v="16"/>
    <n v="59"/>
    <n v="1"/>
    <n v="2"/>
    <s v="M"/>
    <x v="1"/>
    <x v="1"/>
    <s v="Mortgage"/>
    <n v="1"/>
    <n v="1"/>
    <n v="1188.5412000000001"/>
    <n v="867.63507600000003"/>
    <n v="-132.36492399999997"/>
  </r>
  <r>
    <s v="TXN00008995"/>
    <s v="A00007752"/>
    <s v="PLC00001340"/>
    <d v="2019-02-02T00:00:00"/>
    <d v="2021-05-03T00:00:00"/>
    <d v="2021-05-08T00:00:00"/>
    <n v="5"/>
    <n v="86.23"/>
    <n v="1034.76"/>
    <n v="2000"/>
    <s v="A"/>
    <n v="2000"/>
    <n v="7.42"/>
    <s v="Total Loss"/>
    <n v="89"/>
    <n v="63"/>
    <n v="1"/>
    <n v="5"/>
    <s v="L"/>
    <x v="1"/>
    <x v="4"/>
    <s v="Rent"/>
    <n v="1"/>
    <n v="1"/>
    <n v="7677.9192000000003"/>
    <n v="5604.8810160000003"/>
    <n v="3604.8810160000003"/>
  </r>
  <r>
    <s v="TXN00008999"/>
    <s v="A00004083"/>
    <s v="PLC00001228"/>
    <d v="2010-12-09T00:00:00"/>
    <d v="2021-05-15T00:00:00"/>
    <d v="2021-05-18T00:00:00"/>
    <n v="3"/>
    <n v="94.43"/>
    <n v="1133.1600000000001"/>
    <n v="1000"/>
    <s v="A"/>
    <n v="1000"/>
    <n v="6"/>
    <s v="Minor Loss"/>
    <n v="72"/>
    <n v="44"/>
    <n v="1"/>
    <n v="6"/>
    <s v="L"/>
    <x v="0"/>
    <x v="4"/>
    <s v="Own"/>
    <n v="1"/>
    <n v="1"/>
    <n v="6798.9600000000009"/>
    <n v="4963.2408000000005"/>
    <n v="3963.2408000000005"/>
  </r>
  <r>
    <s v="TXN00009001"/>
    <s v="A00000642"/>
    <s v="PLC00004004"/>
    <d v="2012-03-19T00:00:00"/>
    <d v="2021-05-15T00:00:00"/>
    <d v="2021-05-18T00:00:00"/>
    <n v="3"/>
    <n v="126.07"/>
    <n v="1512.84"/>
    <n v="5000"/>
    <s v="A"/>
    <n v="5000"/>
    <n v="1.75"/>
    <s v="Total Loss"/>
    <n v="21"/>
    <n v="26"/>
    <n v="1"/>
    <n v="2"/>
    <s v="M"/>
    <x v="0"/>
    <x v="0"/>
    <s v="Rent"/>
    <n v="1"/>
    <n v="1"/>
    <n v="2647.47"/>
    <n v="1932.6530999999998"/>
    <n v="-3067.3469000000005"/>
  </r>
  <r>
    <s v="TXN00009008"/>
    <s v="A00008348"/>
    <s v="PLC00007272"/>
    <d v="2015-12-28T00:00:00"/>
    <d v="2021-05-06T00:00:00"/>
    <d v="2021-05-11T00:00:00"/>
    <n v="5"/>
    <n v="136.01"/>
    <n v="1632.12"/>
    <n v="1000"/>
    <s v="A"/>
    <n v="1000"/>
    <n v="1"/>
    <s v="Major Loss"/>
    <n v="12"/>
    <n v="55"/>
    <n v="1"/>
    <n v="4"/>
    <s v="L"/>
    <x v="0"/>
    <x v="1"/>
    <s v="Mortgage"/>
    <n v="1"/>
    <n v="1"/>
    <n v="1632.12"/>
    <n v="1191.4476"/>
    <n v="191.44759999999997"/>
  </r>
  <r>
    <s v="TXN00009020"/>
    <s v="A00008208"/>
    <s v="PLC00005785"/>
    <d v="2019-10-05T00:00:00"/>
    <d v="2021-05-12T00:00:00"/>
    <d v="2021-05-17T00:00:00"/>
    <n v="5"/>
    <n v="102.41"/>
    <n v="1228.92"/>
    <n v="7000"/>
    <s v="A"/>
    <n v="7000"/>
    <n v="5.17"/>
    <s v="Major Loss"/>
    <n v="62"/>
    <n v="38"/>
    <n v="1"/>
    <n v="4"/>
    <s v="H"/>
    <x v="2"/>
    <x v="0"/>
    <s v="Mortgage"/>
    <n v="1"/>
    <n v="1"/>
    <n v="6353.5164000000004"/>
    <n v="4638.0669720000005"/>
    <n v="-2361.9330279999995"/>
  </r>
  <r>
    <s v="TXN00009024"/>
    <s v="A00007424"/>
    <s v="PLC00002518"/>
    <d v="2015-08-10T00:00:00"/>
    <d v="2021-05-12T00:00:00"/>
    <d v="2021-05-17T00:00:00"/>
    <n v="5"/>
    <n v="135.28"/>
    <n v="1623.36"/>
    <n v="10000"/>
    <s v="A"/>
    <n v="10000"/>
    <n v="7.17"/>
    <s v="Major Loss"/>
    <n v="86"/>
    <n v="56"/>
    <n v="1"/>
    <n v="5"/>
    <s v="H"/>
    <x v="0"/>
    <x v="0"/>
    <s v="Own"/>
    <n v="1"/>
    <n v="1"/>
    <n v="11639.491199999999"/>
    <n v="8496.8285759999981"/>
    <n v="-1503.1714240000019"/>
  </r>
  <r>
    <s v="TXN00009025"/>
    <s v="A00003741"/>
    <s v="PLC00008982"/>
    <d v="2016-05-27T00:00:00"/>
    <d v="2021-05-19T00:00:00"/>
    <d v="2021-05-20T00:00:00"/>
    <n v="1"/>
    <n v="84.23"/>
    <n v="1010.76"/>
    <n v="7000"/>
    <s v="A"/>
    <n v="7000"/>
    <n v="4.08"/>
    <s v="Minor Loss"/>
    <n v="49"/>
    <n v="48"/>
    <n v="1"/>
    <n v="4"/>
    <s v="M"/>
    <x v="2"/>
    <x v="0"/>
    <s v="Own"/>
    <n v="1"/>
    <n v="0"/>
    <n v="4123.9008000000003"/>
    <n v="3010.447584"/>
    <n v="-3989.552416"/>
  </r>
  <r>
    <s v="TXN00009038"/>
    <s v="A00009283"/>
    <s v="PLC00005275"/>
    <d v="2018-04-29T00:00:00"/>
    <d v="2021-05-22T00:00:00"/>
    <d v="2021-05-22T00:00:00"/>
    <n v="0"/>
    <n v="75.239999999999995"/>
    <n v="902.88"/>
    <n v="10000"/>
    <s v="A"/>
    <n v="10000"/>
    <n v="4.25"/>
    <s v="Major Loss"/>
    <n v="51"/>
    <n v="38"/>
    <n v="1"/>
    <n v="7"/>
    <s v="M"/>
    <x v="0"/>
    <x v="1"/>
    <s v="Mortgage"/>
    <n v="1"/>
    <n v="0"/>
    <n v="3837.24"/>
    <n v="2801.1851999999999"/>
    <n v="-7198.8148000000001"/>
  </r>
  <r>
    <s v="TXN00009046"/>
    <s v="A00008751"/>
    <s v="PLC00001180"/>
    <d v="2018-11-23T00:00:00"/>
    <d v="2021-05-23T00:00:00"/>
    <d v="2021-05-23T00:00:00"/>
    <n v="0"/>
    <n v="110.41"/>
    <n v="1324.92"/>
    <n v="8000"/>
    <s v="A"/>
    <n v="8000"/>
    <n v="9"/>
    <s v="Total Loss"/>
    <n v="108"/>
    <n v="45"/>
    <n v="1"/>
    <n v="5"/>
    <s v="H"/>
    <x v="0"/>
    <x v="1"/>
    <s v="Rent"/>
    <n v="1"/>
    <n v="0"/>
    <n v="11924.28"/>
    <n v="8704.724400000001"/>
    <n v="704.72440000000097"/>
  </r>
  <r>
    <s v="TXN00009047"/>
    <s v="A00001848"/>
    <s v="PLC00009593"/>
    <d v="2010-09-04T00:00:00"/>
    <d v="2021-05-14T00:00:00"/>
    <d v="2021-05-19T00:00:00"/>
    <n v="5"/>
    <n v="115.12"/>
    <n v="1381.44"/>
    <n v="4000"/>
    <s v="A"/>
    <n v="4000"/>
    <n v="2"/>
    <s v="Major Loss"/>
    <n v="24"/>
    <n v="58"/>
    <n v="1"/>
    <n v="2"/>
    <s v="L"/>
    <x v="2"/>
    <x v="6"/>
    <s v="Rent"/>
    <n v="1"/>
    <n v="1"/>
    <n v="2762.88"/>
    <n v="2016.9023999999999"/>
    <n v="-1983.0976000000001"/>
  </r>
  <r>
    <s v="TXN00009058"/>
    <s v="A00009665"/>
    <s v="PLC00007679"/>
    <d v="2017-03-13T00:00:00"/>
    <d v="2021-05-22T00:00:00"/>
    <d v="2021-05-22T00:00:00"/>
    <n v="0"/>
    <n v="119.88"/>
    <n v="1438.56"/>
    <n v="8000"/>
    <s v="A"/>
    <n v="8000"/>
    <n v="9"/>
    <s v="Major Loss"/>
    <n v="108"/>
    <n v="28"/>
    <n v="0"/>
    <n v="7"/>
    <s v="H"/>
    <x v="0"/>
    <x v="1"/>
    <s v="Mortgage"/>
    <n v="1"/>
    <n v="1"/>
    <n v="12947.039999999999"/>
    <n v="9451.3391999999985"/>
    <n v="1451.3391999999985"/>
  </r>
  <r>
    <s v="TXN00009062"/>
    <s v="A00001010"/>
    <s v="PLC00008776"/>
    <d v="2017-12-14T00:00:00"/>
    <d v="2021-05-22T00:00:00"/>
    <d v="2021-05-22T00:00:00"/>
    <n v="0"/>
    <n v="90.59"/>
    <n v="1087.08"/>
    <n v="9000"/>
    <s v="A"/>
    <n v="9000"/>
    <n v="5.83"/>
    <s v="Minor Loss"/>
    <n v="70"/>
    <n v="38"/>
    <n v="1"/>
    <n v="7"/>
    <s v="L"/>
    <x v="0"/>
    <x v="3"/>
    <s v="Own"/>
    <n v="0"/>
    <n v="1"/>
    <n v="6337.6763999999994"/>
    <n v="4626.5037719999991"/>
    <n v="-4373.4962280000009"/>
  </r>
  <r>
    <s v="TXN00009071"/>
    <s v="A00004897"/>
    <s v="PLC00000175"/>
    <d v="2018-04-14T00:00:00"/>
    <d v="2021-05-11T00:00:00"/>
    <d v="2021-05-16T00:00:00"/>
    <n v="5"/>
    <n v="83.42"/>
    <n v="1001.04"/>
    <n v="5000"/>
    <s v="A"/>
    <n v="5000"/>
    <n v="5.33"/>
    <s v="Minor Loss"/>
    <n v="64"/>
    <n v="40"/>
    <n v="1"/>
    <n v="2"/>
    <s v="M"/>
    <x v="0"/>
    <x v="1"/>
    <s v="Own"/>
    <n v="1"/>
    <n v="0"/>
    <n v="5335.5432000000001"/>
    <n v="3894.9465359999999"/>
    <n v="-1105.0534640000001"/>
  </r>
  <r>
    <s v="TXN00009078"/>
    <s v="A00008935"/>
    <s v="PLC00006099"/>
    <d v="2016-10-20T00:00:00"/>
    <d v="2021-05-16T00:00:00"/>
    <d v="2021-05-19T00:00:00"/>
    <n v="3"/>
    <n v="86.21"/>
    <n v="1034.52"/>
    <n v="9000"/>
    <s v="A"/>
    <n v="9000"/>
    <n v="0.57999999999999996"/>
    <s v="Major Loss"/>
    <n v="7"/>
    <n v="60"/>
    <n v="1"/>
    <n v="2"/>
    <s v="L"/>
    <x v="1"/>
    <x v="1"/>
    <s v="Mortgage"/>
    <n v="1"/>
    <n v="1"/>
    <n v="600.02159999999992"/>
    <n v="438.01576799999992"/>
    <n v="-8561.9842320000007"/>
  </r>
  <r>
    <s v="TXN00009082"/>
    <s v="A00000461"/>
    <s v="PLC00006334"/>
    <d v="2017-09-15T00:00:00"/>
    <d v="2021-05-08T00:00:00"/>
    <d v="2021-05-13T00:00:00"/>
    <n v="5"/>
    <n v="98.72"/>
    <n v="1184.6400000000001"/>
    <n v="5000"/>
    <s v="A"/>
    <n v="5000"/>
    <n v="5.67"/>
    <s v="Major Loss"/>
    <n v="68"/>
    <n v="47"/>
    <n v="0"/>
    <n v="3"/>
    <s v="M"/>
    <x v="0"/>
    <x v="6"/>
    <s v="Mortgage"/>
    <n v="1"/>
    <n v="0"/>
    <n v="6716.9088000000002"/>
    <n v="4903.3434239999997"/>
    <n v="-96.656576000000314"/>
  </r>
  <r>
    <s v="TXN00009102"/>
    <s v="A00009354"/>
    <s v="PLC00000556"/>
    <d v="2014-01-31T00:00:00"/>
    <d v="2021-05-08T00:00:00"/>
    <d v="2021-05-13T00:00:00"/>
    <n v="5"/>
    <n v="134.86000000000001"/>
    <n v="1618.32"/>
    <n v="3000"/>
    <s v="A"/>
    <n v="3000"/>
    <n v="5.58"/>
    <s v="Total Loss"/>
    <n v="67"/>
    <n v="42"/>
    <n v="1"/>
    <n v="4"/>
    <s v="M"/>
    <x v="2"/>
    <x v="0"/>
    <s v="Mortgage"/>
    <n v="1"/>
    <n v="1"/>
    <n v="9030.2255999999998"/>
    <n v="6592.0646879999995"/>
    <n v="3592.0646879999995"/>
  </r>
  <r>
    <s v="TXN00009104"/>
    <s v="A00006950"/>
    <s v="PLC00008283"/>
    <d v="2011-07-27T00:00:00"/>
    <d v="2021-05-12T00:00:00"/>
    <d v="2021-05-17T00:00:00"/>
    <n v="5"/>
    <n v="133.84"/>
    <n v="1606.08"/>
    <n v="2000"/>
    <s v="A"/>
    <n v="2000"/>
    <n v="7"/>
    <s v="Minor Loss"/>
    <n v="84"/>
    <n v="44"/>
    <n v="0"/>
    <n v="5"/>
    <s v="L"/>
    <x v="2"/>
    <x v="3"/>
    <s v="Own"/>
    <n v="0"/>
    <n v="0"/>
    <n v="11242.56"/>
    <n v="8207.0687999999991"/>
    <n v="6207.0687999999991"/>
  </r>
  <r>
    <s v="TXN00009110"/>
    <s v="A00004143"/>
    <s v="PLC00005205"/>
    <d v="2013-08-16T00:00:00"/>
    <d v="2021-05-11T00:00:00"/>
    <d v="2021-05-16T00:00:00"/>
    <n v="5"/>
    <n v="83.49"/>
    <n v="1001.88"/>
    <n v="8000"/>
    <s v="A"/>
    <n v="8000"/>
    <n v="6.5"/>
    <s v="Minor Loss"/>
    <n v="78"/>
    <n v="41"/>
    <n v="0"/>
    <n v="6"/>
    <s v="L"/>
    <x v="0"/>
    <x v="1"/>
    <s v="Own"/>
    <n v="0"/>
    <n v="0"/>
    <n v="6512.22"/>
    <n v="4753.9206000000004"/>
    <n v="-3246.0793999999996"/>
  </r>
  <r>
    <s v="TXN00009111"/>
    <s v="A00006553"/>
    <s v="PLC00003710"/>
    <d v="2011-08-08T00:00:00"/>
    <d v="2021-05-11T00:00:00"/>
    <d v="2021-05-16T00:00:00"/>
    <n v="5"/>
    <n v="102.77"/>
    <n v="1233.24"/>
    <n v="7000"/>
    <s v="A"/>
    <n v="7000"/>
    <n v="7.33"/>
    <s v="Major Loss"/>
    <n v="88"/>
    <n v="44"/>
    <n v="1"/>
    <n v="7"/>
    <s v="H"/>
    <x v="0"/>
    <x v="6"/>
    <s v="Own"/>
    <n v="1"/>
    <n v="1"/>
    <n v="9039.6491999999998"/>
    <n v="6598.9439160000002"/>
    <n v="-401.05608399999983"/>
  </r>
  <r>
    <s v="TXN00009113"/>
    <s v="A00000021"/>
    <s v="PLC00002425"/>
    <d v="2015-09-27T00:00:00"/>
    <d v="2021-05-16T00:00:00"/>
    <d v="2021-05-21T00:00:00"/>
    <n v="5"/>
    <n v="129.47999999999999"/>
    <n v="1553.76"/>
    <n v="4000"/>
    <s v="A"/>
    <n v="4000"/>
    <n v="0.57999999999999996"/>
    <s v="Total Loss"/>
    <n v="7"/>
    <n v="41"/>
    <n v="0"/>
    <n v="5"/>
    <s v="L"/>
    <x v="0"/>
    <x v="1"/>
    <s v="Rent"/>
    <n v="1"/>
    <n v="1"/>
    <n v="901.18079999999998"/>
    <n v="657.86198400000001"/>
    <n v="-3342.1380159999999"/>
  </r>
  <r>
    <s v="TXN00009118"/>
    <s v="A00001859"/>
    <s v="PLC00009817"/>
    <d v="2010-07-18T00:00:00"/>
    <d v="2021-05-27T00:00:00"/>
    <d v="2021-05-27T00:00:00"/>
    <n v="0"/>
    <n v="86.65"/>
    <n v="1039.8"/>
    <n v="4000"/>
    <s v="A"/>
    <n v="4000"/>
    <n v="8.33"/>
    <s v="Total Loss"/>
    <n v="100"/>
    <n v="51"/>
    <n v="1"/>
    <n v="5"/>
    <s v="H"/>
    <x v="0"/>
    <x v="0"/>
    <s v="Mortgage"/>
    <n v="1"/>
    <n v="1"/>
    <n v="8661.5339999999997"/>
    <n v="6322.9198199999992"/>
    <n v="2322.9198199999992"/>
  </r>
  <r>
    <s v="TXN00009121"/>
    <s v="A00004149"/>
    <s v="PLC00007197"/>
    <d v="2014-07-18T00:00:00"/>
    <d v="2021-05-11T00:00:00"/>
    <d v="2021-05-16T00:00:00"/>
    <n v="5"/>
    <n v="118.51"/>
    <n v="1422.12"/>
    <n v="8000"/>
    <s v="A"/>
    <n v="8000"/>
    <n v="7.17"/>
    <s v="Minor Loss"/>
    <n v="86"/>
    <n v="42"/>
    <n v="1"/>
    <n v="6"/>
    <s v="M"/>
    <x v="0"/>
    <x v="0"/>
    <s v="Rent"/>
    <n v="1"/>
    <n v="1"/>
    <n v="10196.600399999999"/>
    <n v="7443.5182919999997"/>
    <n v="-556.48170800000025"/>
  </r>
  <r>
    <s v="TXN00009132"/>
    <s v="A00009697"/>
    <s v="PLC00000109"/>
    <d v="2017-08-23T00:00:00"/>
    <d v="2021-05-12T00:00:00"/>
    <d v="2021-05-17T00:00:00"/>
    <n v="5"/>
    <n v="108.87"/>
    <n v="1306.44"/>
    <n v="3000"/>
    <s v="A"/>
    <n v="3000"/>
    <n v="5.58"/>
    <s v="Minor Loss"/>
    <n v="67"/>
    <n v="61"/>
    <n v="1"/>
    <n v="7"/>
    <s v="L"/>
    <x v="0"/>
    <x v="2"/>
    <s v="Rent"/>
    <n v="1"/>
    <n v="1"/>
    <n v="7289.9352000000008"/>
    <n v="5321.6526960000001"/>
    <n v="2321.6526960000001"/>
  </r>
  <r>
    <s v="TXN00009134"/>
    <s v="A00007835"/>
    <s v="PLC00004438"/>
    <d v="2019-11-19T00:00:00"/>
    <d v="2021-05-25T00:00:00"/>
    <d v="2021-05-25T00:00:00"/>
    <n v="0"/>
    <n v="123.8"/>
    <n v="1485.6"/>
    <n v="10000"/>
    <s v="A"/>
    <n v="10000"/>
    <n v="5.25"/>
    <s v="Minor Loss"/>
    <n v="63"/>
    <n v="29"/>
    <n v="1"/>
    <n v="4"/>
    <s v="H"/>
    <x v="1"/>
    <x v="4"/>
    <s v="Rent"/>
    <n v="1"/>
    <n v="1"/>
    <n v="7799.4"/>
    <n v="5693.5619999999999"/>
    <n v="-4306.4380000000001"/>
  </r>
  <r>
    <s v="TXN00009144"/>
    <s v="A00001577"/>
    <s v="PLC00008208"/>
    <d v="2016-01-15T00:00:00"/>
    <d v="2021-05-27T00:00:00"/>
    <d v="2021-05-27T00:00:00"/>
    <n v="0"/>
    <n v="75.39"/>
    <n v="904.68"/>
    <n v="8000"/>
    <s v="A"/>
    <n v="8000"/>
    <n v="3.92"/>
    <s v="Major Loss"/>
    <n v="47"/>
    <n v="54"/>
    <n v="0"/>
    <n v="2"/>
    <s v="M"/>
    <x v="0"/>
    <x v="1"/>
    <s v="Rent"/>
    <n v="1"/>
    <n v="1"/>
    <n v="3546.3455999999996"/>
    <n v="2588.8322879999996"/>
    <n v="-5411.1677120000004"/>
  </r>
  <r>
    <s v="TXN00009149"/>
    <s v="A00004062"/>
    <s v="PLC00000835"/>
    <d v="2011-03-05T00:00:00"/>
    <d v="2021-05-23T00:00:00"/>
    <d v="2021-05-25T00:00:00"/>
    <n v="2"/>
    <n v="111.69"/>
    <n v="1340.28"/>
    <n v="2000"/>
    <s v="A"/>
    <n v="2000"/>
    <n v="5.25"/>
    <s v="Major Loss"/>
    <n v="63"/>
    <n v="50"/>
    <n v="1"/>
    <n v="7"/>
    <s v="M"/>
    <x v="0"/>
    <x v="4"/>
    <s v="Mortgage"/>
    <n v="1"/>
    <n v="1"/>
    <n v="7036.47"/>
    <n v="5136.6230999999998"/>
    <n v="3136.6230999999998"/>
  </r>
  <r>
    <s v="TXN00009162"/>
    <s v="A00006064"/>
    <s v="PLC00000546"/>
    <d v="2014-10-15T00:00:00"/>
    <d v="2021-05-11T00:00:00"/>
    <d v="2021-05-16T00:00:00"/>
    <n v="5"/>
    <n v="71.16"/>
    <n v="853.92"/>
    <n v="2000"/>
    <s v="A"/>
    <n v="2000"/>
    <n v="2.08"/>
    <s v="Total Loss"/>
    <n v="25"/>
    <n v="34"/>
    <n v="1"/>
    <n v="2"/>
    <s v="L"/>
    <x v="1"/>
    <x v="1"/>
    <s v="Rent"/>
    <n v="1"/>
    <n v="1"/>
    <n v="1776.1535999999999"/>
    <n v="1296.5921279999998"/>
    <n v="-703.40787200000022"/>
  </r>
  <r>
    <s v="TXN00009165"/>
    <s v="A00002670"/>
    <s v="PLC00003021"/>
    <d v="2012-09-13T00:00:00"/>
    <d v="2021-05-14T00:00:00"/>
    <d v="2021-05-19T00:00:00"/>
    <n v="5"/>
    <n v="95.22"/>
    <n v="1142.6400000000001"/>
    <n v="5000"/>
    <s v="A"/>
    <n v="5000"/>
    <n v="0.57999999999999996"/>
    <s v="Total Loss"/>
    <n v="7"/>
    <n v="44"/>
    <n v="1"/>
    <n v="5"/>
    <s v="H"/>
    <x v="0"/>
    <x v="1"/>
    <s v="Mortgage"/>
    <n v="1"/>
    <n v="1"/>
    <n v="662.73120000000006"/>
    <n v="483.79377600000004"/>
    <n v="-4516.2062239999996"/>
  </r>
  <r>
    <s v="TXN00009169"/>
    <s v="A00007549"/>
    <s v="PLC00004678"/>
    <d v="2015-12-24T00:00:00"/>
    <d v="2021-05-17T00:00:00"/>
    <d v="2021-05-22T00:00:00"/>
    <n v="5"/>
    <n v="110.62"/>
    <n v="1327.44"/>
    <n v="2000"/>
    <s v="A"/>
    <n v="2000"/>
    <n v="7.75"/>
    <s v="Minor Loss"/>
    <n v="93"/>
    <n v="61"/>
    <n v="0"/>
    <n v="3"/>
    <s v="M"/>
    <x v="0"/>
    <x v="1"/>
    <s v="Own"/>
    <n v="1"/>
    <n v="0"/>
    <n v="10287.66"/>
    <n v="7509.9917999999998"/>
    <n v="5509.9917999999998"/>
  </r>
  <r>
    <s v="TXN00009183"/>
    <s v="A00009481"/>
    <s v="PLC00007859"/>
    <d v="2014-03-30T00:00:00"/>
    <d v="2021-05-13T00:00:00"/>
    <d v="2021-05-18T00:00:00"/>
    <n v="5"/>
    <n v="124.95"/>
    <n v="1499.4"/>
    <n v="1000"/>
    <s v="A"/>
    <n v="1000"/>
    <n v="4.75"/>
    <s v="Total Loss"/>
    <n v="57"/>
    <n v="49"/>
    <n v="0"/>
    <n v="5"/>
    <s v="L"/>
    <x v="0"/>
    <x v="1"/>
    <s v="Own"/>
    <n v="1"/>
    <n v="0"/>
    <n v="7122.1500000000005"/>
    <n v="5199.1695"/>
    <n v="4199.1695"/>
  </r>
  <r>
    <s v="TXN00009188"/>
    <s v="A00004858"/>
    <s v="PLC00002113"/>
    <d v="2018-04-22T00:00:00"/>
    <d v="2021-05-15T00:00:00"/>
    <d v="2021-05-20T00:00:00"/>
    <n v="5"/>
    <n v="97.51"/>
    <n v="1170.1199999999999"/>
    <n v="7000"/>
    <s v="A"/>
    <n v="7000"/>
    <n v="4.33"/>
    <s v="Total Loss"/>
    <n v="52"/>
    <n v="50"/>
    <n v="1"/>
    <n v="4"/>
    <s v="L"/>
    <x v="1"/>
    <x v="1"/>
    <s v="Own"/>
    <n v="1"/>
    <n v="1"/>
    <n v="5066.6196"/>
    <n v="3698.6323079999997"/>
    <n v="-3301.3676920000003"/>
  </r>
  <r>
    <s v="TXN00009192"/>
    <s v="A00009768"/>
    <s v="PLC00000089"/>
    <d v="2017-12-21T00:00:00"/>
    <d v="2021-05-23T00:00:00"/>
    <d v="2021-05-26T00:00:00"/>
    <n v="3"/>
    <n v="87.4"/>
    <n v="1048.8"/>
    <n v="5000"/>
    <s v="A"/>
    <n v="5000"/>
    <n v="7.58"/>
    <s v="Minor Loss"/>
    <n v="91"/>
    <n v="36"/>
    <n v="1"/>
    <n v="5"/>
    <s v="L"/>
    <x v="2"/>
    <x v="1"/>
    <s v="Own"/>
    <n v="0"/>
    <n v="0"/>
    <n v="7949.9039999999995"/>
    <n v="5803.4299199999996"/>
    <n v="803.42991999999958"/>
  </r>
  <r>
    <s v="TXN00009196"/>
    <s v="A00008452"/>
    <s v="PLC00002460"/>
    <d v="2015-09-05T00:00:00"/>
    <d v="2021-05-23T00:00:00"/>
    <d v="2021-05-26T00:00:00"/>
    <n v="3"/>
    <n v="94.74"/>
    <n v="1136.8800000000001"/>
    <n v="2000"/>
    <s v="A"/>
    <n v="2000"/>
    <n v="2.5"/>
    <s v="Total Loss"/>
    <n v="30"/>
    <n v="48"/>
    <n v="0"/>
    <n v="5"/>
    <s v="M"/>
    <x v="1"/>
    <x v="4"/>
    <s v="Rent"/>
    <n v="1"/>
    <n v="1"/>
    <n v="2842.2000000000003"/>
    <n v="2074.806"/>
    <n v="74.80600000000004"/>
  </r>
  <r>
    <s v="TXN00009215"/>
    <s v="A00008862"/>
    <s v="PLC00005816"/>
    <d v="2013-05-09T00:00:00"/>
    <d v="2021-05-27T00:00:00"/>
    <d v="2021-05-28T00:00:00"/>
    <n v="1"/>
    <n v="70.86"/>
    <n v="850.32"/>
    <n v="10000"/>
    <s v="A"/>
    <n v="10000"/>
    <n v="4.08"/>
    <s v="Total Loss"/>
    <n v="49"/>
    <n v="54"/>
    <n v="1"/>
    <n v="4"/>
    <s v="L"/>
    <x v="0"/>
    <x v="5"/>
    <s v="Mortgage"/>
    <n v="0"/>
    <n v="1"/>
    <n v="3469.3056000000001"/>
    <n v="2532.5930880000001"/>
    <n v="-7467.4069120000004"/>
  </r>
  <r>
    <s v="TXN00009229"/>
    <s v="A00002220"/>
    <s v="PLC00003360"/>
    <d v="2018-04-11T00:00:00"/>
    <d v="2021-05-21T00:00:00"/>
    <d v="2021-05-26T00:00:00"/>
    <n v="5"/>
    <n v="123.1"/>
    <n v="1477.2"/>
    <n v="7000"/>
    <s v="A"/>
    <n v="7000"/>
    <n v="1.92"/>
    <s v="Minor Loss"/>
    <n v="23"/>
    <n v="55"/>
    <n v="1"/>
    <n v="6"/>
    <s v="L"/>
    <x v="2"/>
    <x v="1"/>
    <s v="Rent"/>
    <n v="1"/>
    <n v="0"/>
    <n v="2836.2240000000002"/>
    <n v="2070.4435200000003"/>
    <n v="-4929.5564799999993"/>
  </r>
  <r>
    <s v="TXN00009233"/>
    <s v="A00006243"/>
    <s v="PLC00007836"/>
    <d v="2018-12-03T00:00:00"/>
    <d v="2021-05-13T00:00:00"/>
    <d v="2021-05-18T00:00:00"/>
    <n v="5"/>
    <n v="87.2"/>
    <n v="1046.4000000000001"/>
    <n v="2000"/>
    <s v="A"/>
    <n v="2000"/>
    <n v="7.58"/>
    <s v="Total Loss"/>
    <n v="91"/>
    <n v="36"/>
    <n v="1"/>
    <n v="3"/>
    <s v="M"/>
    <x v="0"/>
    <x v="0"/>
    <s v="Mortgage"/>
    <n v="0"/>
    <n v="1"/>
    <n v="7931.7120000000004"/>
    <n v="5790.1497600000002"/>
    <n v="3790.1497600000002"/>
  </r>
  <r>
    <s v="TXN00009240"/>
    <s v="A00005373"/>
    <s v="PLC00002805"/>
    <d v="2011-06-23T00:00:00"/>
    <d v="2021-05-14T00:00:00"/>
    <d v="2021-05-19T00:00:00"/>
    <n v="5"/>
    <n v="101.28"/>
    <n v="1215.3599999999999"/>
    <n v="8000"/>
    <s v="A"/>
    <n v="8000"/>
    <n v="5.5"/>
    <s v="Minor Loss"/>
    <n v="66"/>
    <n v="54"/>
    <n v="1"/>
    <n v="5"/>
    <s v="M"/>
    <x v="0"/>
    <x v="0"/>
    <s v="Rent"/>
    <n v="1"/>
    <n v="1"/>
    <n v="6684.48"/>
    <n v="4879.6704"/>
    <n v="-3120.3296"/>
  </r>
  <r>
    <s v="TXN00009241"/>
    <s v="A00006860"/>
    <s v="PLC00000421"/>
    <d v="2010-12-28T00:00:00"/>
    <d v="2021-05-18T00:00:00"/>
    <d v="2021-05-23T00:00:00"/>
    <n v="5"/>
    <n v="74"/>
    <n v="888"/>
    <n v="4000"/>
    <s v="A"/>
    <n v="4000"/>
    <n v="4.33"/>
    <s v="Major Loss"/>
    <n v="52"/>
    <n v="58"/>
    <n v="1"/>
    <n v="3"/>
    <s v="L"/>
    <x v="2"/>
    <x v="1"/>
    <s v="Mortgage"/>
    <n v="1"/>
    <n v="1"/>
    <n v="3845.04"/>
    <n v="2806.8791999999999"/>
    <n v="-1193.1208000000001"/>
  </r>
  <r>
    <s v="TXN00009256"/>
    <s v="A00007108"/>
    <s v="PLC00009387"/>
    <d v="2016-03-09T00:00:00"/>
    <d v="2021-05-23T00:00:00"/>
    <d v="2021-05-26T00:00:00"/>
    <n v="3"/>
    <n v="99.28"/>
    <n v="1191.3599999999999"/>
    <n v="4000"/>
    <s v="A"/>
    <n v="4000"/>
    <n v="6.92"/>
    <s v="Major Loss"/>
    <n v="83"/>
    <n v="33"/>
    <n v="0"/>
    <n v="7"/>
    <s v="M"/>
    <x v="0"/>
    <x v="3"/>
    <s v="Own"/>
    <n v="1"/>
    <n v="1"/>
    <n v="8244.2111999999997"/>
    <n v="6018.2741759999999"/>
    <n v="2018.2741759999999"/>
  </r>
  <r>
    <s v="TXN00009257"/>
    <s v="A00007166"/>
    <s v="PLC00002936"/>
    <d v="2011-01-31T00:00:00"/>
    <d v="2021-05-28T00:00:00"/>
    <d v="2021-05-29T00:00:00"/>
    <n v="1"/>
    <n v="93.42"/>
    <n v="1121.04"/>
    <n v="7000"/>
    <s v="A"/>
    <n v="7000"/>
    <n v="9.08"/>
    <s v="Total Loss"/>
    <n v="109"/>
    <n v="43"/>
    <n v="0"/>
    <n v="2"/>
    <s v="M"/>
    <x v="1"/>
    <x v="4"/>
    <s v="Rent"/>
    <n v="0"/>
    <n v="0"/>
    <n v="10179.0432"/>
    <n v="7430.7015359999996"/>
    <n v="430.70153599999958"/>
  </r>
  <r>
    <s v="TXN00009264"/>
    <s v="A00009675"/>
    <s v="PLC00006516"/>
    <d v="2011-04-04T00:00:00"/>
    <d v="2021-05-25T00:00:00"/>
    <d v="2021-05-28T00:00:00"/>
    <n v="3"/>
    <n v="136.91"/>
    <n v="1642.92"/>
    <n v="1000"/>
    <s v="A"/>
    <n v="1000"/>
    <n v="2.67"/>
    <s v="Major Loss"/>
    <n v="32"/>
    <n v="36"/>
    <n v="1"/>
    <n v="5"/>
    <s v="M"/>
    <x v="0"/>
    <x v="4"/>
    <s v="Own"/>
    <n v="0"/>
    <n v="1"/>
    <n v="4386.5964000000004"/>
    <n v="3202.2153720000001"/>
    <n v="2202.2153720000001"/>
  </r>
  <r>
    <s v="TXN00009268"/>
    <s v="A00008502"/>
    <s v="PLC00003070"/>
    <d v="2016-03-21T00:00:00"/>
    <d v="2021-06-01T00:00:00"/>
    <d v="2021-06-01T00:00:00"/>
    <n v="0"/>
    <n v="102.58"/>
    <n v="1230.96"/>
    <n v="4000"/>
    <s v="A"/>
    <n v="4000"/>
    <n v="9.5"/>
    <s v="Major Loss"/>
    <n v="114"/>
    <n v="37"/>
    <n v="1"/>
    <n v="5"/>
    <s v="M"/>
    <x v="2"/>
    <x v="1"/>
    <s v="Own"/>
    <n v="1"/>
    <n v="1"/>
    <n v="11694.12"/>
    <n v="8536.7075999999997"/>
    <n v="4536.7075999999997"/>
  </r>
  <r>
    <s v="TXN00009281"/>
    <s v="A00005624"/>
    <s v="PLC00000102"/>
    <d v="2011-12-03T00:00:00"/>
    <d v="2021-05-17T00:00:00"/>
    <d v="2021-05-22T00:00:00"/>
    <n v="5"/>
    <n v="99.34"/>
    <n v="1192.08"/>
    <n v="9000"/>
    <s v="D"/>
    <n v="0"/>
    <n v="7.58"/>
    <s v="Minor Loss"/>
    <n v="91"/>
    <n v="44"/>
    <n v="1"/>
    <n v="2"/>
    <s v="H"/>
    <x v="0"/>
    <x v="0"/>
    <s v="Mortgage"/>
    <n v="1"/>
    <n v="1"/>
    <n v="9035.9663999999993"/>
    <n v="6596.2554719999989"/>
    <n v="6596.2554719999989"/>
  </r>
  <r>
    <s v="TXN00009282"/>
    <s v="A00000897"/>
    <s v="PLC00007900"/>
    <d v="2019-11-23T00:00:00"/>
    <d v="2021-05-20T00:00:00"/>
    <d v="2021-05-25T00:00:00"/>
    <n v="5"/>
    <n v="105.91"/>
    <n v="1270.92"/>
    <n v="2000"/>
    <s v="A"/>
    <n v="2000"/>
    <n v="2.67"/>
    <s v="Total Loss"/>
    <n v="32"/>
    <n v="28"/>
    <n v="1"/>
    <n v="7"/>
    <s v="L"/>
    <x v="0"/>
    <x v="3"/>
    <s v="Own"/>
    <n v="1"/>
    <n v="0"/>
    <n v="3393.3564000000001"/>
    <n v="2477.1501720000001"/>
    <n v="477.15017200000011"/>
  </r>
  <r>
    <s v="TXN00009303"/>
    <s v="A00004078"/>
    <s v="PLC00003141"/>
    <d v="2014-03-26T00:00:00"/>
    <d v="2021-05-27T00:00:00"/>
    <d v="2021-05-30T00:00:00"/>
    <n v="3"/>
    <n v="132.06"/>
    <n v="1584.72"/>
    <n v="6000"/>
    <s v="A"/>
    <n v="6000"/>
    <n v="2.67"/>
    <s v="Total Loss"/>
    <n v="32"/>
    <n v="33"/>
    <n v="0"/>
    <n v="3"/>
    <s v="M"/>
    <x v="1"/>
    <x v="1"/>
    <s v="Mortgage"/>
    <n v="1"/>
    <n v="1"/>
    <n v="4231.2024000000001"/>
    <n v="3088.777752"/>
    <n v="-2911.222248"/>
  </r>
  <r>
    <s v="TXN00009306"/>
    <s v="A00003183"/>
    <s v="PLC00000791"/>
    <d v="2018-04-07T00:00:00"/>
    <d v="2021-05-25T00:00:00"/>
    <d v="2021-05-28T00:00:00"/>
    <n v="3"/>
    <n v="130.96"/>
    <n v="1571.52"/>
    <n v="8000"/>
    <s v="A"/>
    <n v="8000"/>
    <n v="7.92"/>
    <s v="Minor Loss"/>
    <n v="95"/>
    <n v="60"/>
    <n v="1"/>
    <n v="4"/>
    <s v="M"/>
    <x v="2"/>
    <x v="5"/>
    <s v="Own"/>
    <n v="1"/>
    <n v="1"/>
    <n v="12446.438399999999"/>
    <n v="9085.9000319999996"/>
    <n v="1085.9000319999996"/>
  </r>
  <r>
    <s v="TXN00009312"/>
    <s v="A00008589"/>
    <s v="PLC00004729"/>
    <d v="2017-09-01T00:00:00"/>
    <d v="2021-05-28T00:00:00"/>
    <d v="2021-05-30T00:00:00"/>
    <n v="2"/>
    <n v="86.4"/>
    <n v="1036.8"/>
    <n v="6000"/>
    <s v="A"/>
    <n v="6000"/>
    <n v="2.5"/>
    <s v="Total Loss"/>
    <n v="30"/>
    <n v="54"/>
    <n v="0"/>
    <n v="4"/>
    <s v="M"/>
    <x v="0"/>
    <x v="0"/>
    <s v="Rent"/>
    <n v="0"/>
    <n v="1"/>
    <n v="2592"/>
    <n v="1892.1599999999999"/>
    <n v="-4107.84"/>
  </r>
  <r>
    <s v="TXN00009316"/>
    <s v="A00001498"/>
    <s v="PLC00002040"/>
    <d v="2019-04-26T00:00:00"/>
    <d v="2021-05-31T00:00:00"/>
    <d v="2021-06-01T00:00:00"/>
    <n v="1"/>
    <n v="126.93"/>
    <n v="1523.16"/>
    <n v="8000"/>
    <s v="A"/>
    <n v="8000"/>
    <n v="4.33"/>
    <s v="Major Loss"/>
    <n v="52"/>
    <n v="58"/>
    <n v="1"/>
    <n v="2"/>
    <s v="L"/>
    <x v="1"/>
    <x v="1"/>
    <s v="Rent"/>
    <n v="1"/>
    <n v="0"/>
    <n v="6595.2828000000009"/>
    <n v="4814.5564440000007"/>
    <n v="-3185.4435559999993"/>
  </r>
  <r>
    <s v="TXN00009318"/>
    <s v="A00002653"/>
    <s v="PLC00000804"/>
    <d v="2014-03-17T00:00:00"/>
    <d v="2021-05-31T00:00:00"/>
    <d v="2021-06-01T00:00:00"/>
    <n v="1"/>
    <n v="138.56"/>
    <n v="1662.72"/>
    <n v="7000"/>
    <s v="A"/>
    <n v="7000"/>
    <n v="8.5"/>
    <s v="Major Loss"/>
    <n v="102"/>
    <n v="31"/>
    <n v="1"/>
    <n v="7"/>
    <s v="M"/>
    <x v="0"/>
    <x v="6"/>
    <s v="Own"/>
    <n v="1"/>
    <n v="1"/>
    <n v="14133.12"/>
    <n v="10317.177600000001"/>
    <n v="3317.1776000000009"/>
  </r>
  <r>
    <s v="TXN00009328"/>
    <s v="A00000514"/>
    <s v="PLC00008100"/>
    <d v="2017-07-25T00:00:00"/>
    <d v="2021-05-21T00:00:00"/>
    <d v="2021-05-26T00:00:00"/>
    <n v="5"/>
    <n v="102.09"/>
    <n v="1225.08"/>
    <n v="7000"/>
    <s v="A"/>
    <n v="7000"/>
    <n v="2.42"/>
    <s v="Major Loss"/>
    <n v="29"/>
    <n v="58"/>
    <n v="0"/>
    <n v="4"/>
    <s v="L"/>
    <x v="1"/>
    <x v="4"/>
    <s v="Mortgage"/>
    <n v="0"/>
    <n v="1"/>
    <n v="2964.6935999999996"/>
    <n v="2164.2263279999997"/>
    <n v="-4835.7736720000003"/>
  </r>
  <r>
    <s v="TXN00009336"/>
    <s v="A00006654"/>
    <s v="PLC00003311"/>
    <d v="2018-03-20T00:00:00"/>
    <d v="2021-06-04T00:00:00"/>
    <d v="2021-06-04T00:00:00"/>
    <n v="0"/>
    <n v="89.25"/>
    <n v="1071"/>
    <n v="2000"/>
    <s v="A"/>
    <n v="2000"/>
    <n v="8.75"/>
    <s v="Minor Loss"/>
    <n v="105"/>
    <n v="52"/>
    <n v="1"/>
    <n v="3"/>
    <s v="L"/>
    <x v="2"/>
    <x v="0"/>
    <s v="Mortgage"/>
    <n v="0"/>
    <n v="1"/>
    <n v="9371.25"/>
    <n v="6841.0124999999998"/>
    <n v="4841.0124999999998"/>
  </r>
  <r>
    <s v="TXN00009339"/>
    <s v="A00000906"/>
    <s v="PLC00009634"/>
    <d v="2010-12-07T00:00:00"/>
    <d v="2021-06-02T00:00:00"/>
    <d v="2021-06-02T00:00:00"/>
    <n v="0"/>
    <n v="71.150000000000006"/>
    <n v="853.8"/>
    <n v="2000"/>
    <s v="D"/>
    <n v="0"/>
    <n v="5.5"/>
    <s v="Major Loss"/>
    <n v="66"/>
    <n v="64"/>
    <n v="1"/>
    <n v="2"/>
    <s v="L"/>
    <x v="1"/>
    <x v="3"/>
    <s v="Mortgage"/>
    <n v="1"/>
    <n v="1"/>
    <n v="4695.8999999999996"/>
    <n v="3428.0069999999996"/>
    <n v="3428.0069999999996"/>
  </r>
  <r>
    <s v="TXN00009340"/>
    <s v="A00006185"/>
    <s v="PLC00004893"/>
    <d v="2019-02-10T00:00:00"/>
    <d v="2021-05-27T00:00:00"/>
    <d v="2021-05-30T00:00:00"/>
    <n v="3"/>
    <n v="100.2"/>
    <n v="1202.4000000000001"/>
    <n v="1000"/>
    <s v="A"/>
    <n v="1000"/>
    <n v="5"/>
    <s v="Minor Loss"/>
    <n v="60"/>
    <n v="40"/>
    <n v="0"/>
    <n v="4"/>
    <s v="L"/>
    <x v="2"/>
    <x v="1"/>
    <s v="Rent"/>
    <n v="1"/>
    <n v="0"/>
    <n v="6012"/>
    <n v="4388.76"/>
    <n v="3388.76"/>
  </r>
  <r>
    <s v="TXN00009341"/>
    <s v="A00006697"/>
    <s v="PLC00003909"/>
    <d v="2015-06-30T00:00:00"/>
    <d v="2021-06-03T00:00:00"/>
    <d v="2021-06-03T00:00:00"/>
    <n v="0"/>
    <n v="132.05000000000001"/>
    <n v="1584.6"/>
    <n v="10000"/>
    <s v="A"/>
    <n v="10000"/>
    <n v="7.33"/>
    <s v="Total Loss"/>
    <n v="88"/>
    <n v="34"/>
    <n v="1"/>
    <n v="7"/>
    <s v="L"/>
    <x v="1"/>
    <x v="1"/>
    <s v="Rent"/>
    <n v="1"/>
    <n v="1"/>
    <n v="11615.117999999999"/>
    <n v="8479.0361399999983"/>
    <n v="-1520.9638600000017"/>
  </r>
  <r>
    <s v="TXN00009356"/>
    <s v="A00008332"/>
    <s v="PLC00007676"/>
    <d v="2017-05-18T00:00:00"/>
    <d v="2021-05-19T00:00:00"/>
    <d v="2021-05-24T00:00:00"/>
    <n v="5"/>
    <n v="94.5"/>
    <n v="1134"/>
    <n v="5000"/>
    <s v="A"/>
    <n v="5000"/>
    <n v="6.42"/>
    <s v="Major Loss"/>
    <n v="77"/>
    <n v="56"/>
    <n v="1"/>
    <n v="3"/>
    <s v="H"/>
    <x v="0"/>
    <x v="2"/>
    <s v="Rent"/>
    <n v="1"/>
    <n v="1"/>
    <n v="7280.28"/>
    <n v="5314.6043999999993"/>
    <n v="314.60439999999926"/>
  </r>
  <r>
    <s v="TXN00009363"/>
    <s v="A00007834"/>
    <s v="PLC00007767"/>
    <d v="2018-03-10T00:00:00"/>
    <d v="2021-05-19T00:00:00"/>
    <d v="2021-05-24T00:00:00"/>
    <n v="5"/>
    <n v="85.33"/>
    <n v="1023.96"/>
    <n v="1000"/>
    <s v="A"/>
    <n v="1000"/>
    <n v="7.83"/>
    <s v="Minor Loss"/>
    <n v="94"/>
    <n v="26"/>
    <n v="1"/>
    <n v="5"/>
    <s v="L"/>
    <x v="0"/>
    <x v="1"/>
    <s v="Own"/>
    <n v="1"/>
    <n v="1"/>
    <n v="8017.6068000000005"/>
    <n v="5852.8529640000006"/>
    <n v="4852.8529640000006"/>
  </r>
  <r>
    <s v="TXN00009369"/>
    <s v="A00003090"/>
    <s v="PLC00000377"/>
    <d v="2015-09-24T00:00:00"/>
    <d v="2021-05-25T00:00:00"/>
    <d v="2021-05-30T00:00:00"/>
    <n v="5"/>
    <n v="73.94"/>
    <n v="887.28"/>
    <n v="3000"/>
    <s v="A"/>
    <n v="3000"/>
    <n v="8.33"/>
    <s v="Minor Loss"/>
    <n v="100"/>
    <n v="33"/>
    <n v="0"/>
    <n v="6"/>
    <s v="M"/>
    <x v="0"/>
    <x v="2"/>
    <s v="Rent"/>
    <n v="1"/>
    <n v="0"/>
    <n v="7391.0424000000003"/>
    <n v="5395.4609520000004"/>
    <n v="2395.4609520000004"/>
  </r>
  <r>
    <s v="TXN00009389"/>
    <s v="A00003989"/>
    <s v="PLC00008378"/>
    <d v="2013-03-24T00:00:00"/>
    <d v="2021-05-27T00:00:00"/>
    <d v="2021-06-01T00:00:00"/>
    <n v="5"/>
    <n v="126.59"/>
    <n v="1519.08"/>
    <n v="10000"/>
    <s v="A"/>
    <n v="10000"/>
    <n v="7.42"/>
    <s v="Total Loss"/>
    <n v="89"/>
    <n v="55"/>
    <n v="0"/>
    <n v="6"/>
    <s v="H"/>
    <x v="1"/>
    <x v="1"/>
    <s v="Own"/>
    <n v="1"/>
    <n v="0"/>
    <n v="11271.5736"/>
    <n v="8228.2487280000005"/>
    <n v="-1771.7512719999995"/>
  </r>
  <r>
    <s v="TXN00009390"/>
    <s v="A00007969"/>
    <s v="PLC00006051"/>
    <d v="2015-01-02T00:00:00"/>
    <d v="2021-06-02T00:00:00"/>
    <d v="2021-06-03T00:00:00"/>
    <n v="1"/>
    <n v="137.35"/>
    <n v="1648.2"/>
    <n v="4000"/>
    <s v="A"/>
    <n v="4000"/>
    <n v="4.25"/>
    <s v="Minor Loss"/>
    <n v="51"/>
    <n v="58"/>
    <n v="1"/>
    <n v="4"/>
    <s v="M"/>
    <x v="0"/>
    <x v="1"/>
    <s v="Mortgage"/>
    <n v="1"/>
    <n v="1"/>
    <n v="7004.85"/>
    <n v="5113.5405000000001"/>
    <n v="1113.5405000000001"/>
  </r>
  <r>
    <s v="TXN00009395"/>
    <s v="A00009521"/>
    <s v="PLC00006278"/>
    <d v="2016-10-26T00:00:00"/>
    <d v="2021-05-22T00:00:00"/>
    <d v="2021-05-27T00:00:00"/>
    <n v="5"/>
    <n v="73.53"/>
    <n v="882.36"/>
    <n v="7000"/>
    <s v="A"/>
    <n v="7000"/>
    <n v="4.83"/>
    <s v="Major Loss"/>
    <n v="58"/>
    <n v="44"/>
    <n v="1"/>
    <n v="3"/>
    <s v="L"/>
    <x v="1"/>
    <x v="3"/>
    <s v="Own"/>
    <n v="0"/>
    <n v="1"/>
    <n v="4261.7988000000005"/>
    <n v="3111.1131240000004"/>
    <n v="-3888.8868759999996"/>
  </r>
  <r>
    <s v="TXN00009397"/>
    <s v="A00007815"/>
    <s v="PLC00008944"/>
    <d v="2016-03-01T00:00:00"/>
    <d v="2021-05-21T00:00:00"/>
    <d v="2021-05-26T00:00:00"/>
    <n v="5"/>
    <n v="139.59"/>
    <n v="1675.08"/>
    <n v="8000"/>
    <s v="A"/>
    <n v="8000"/>
    <n v="1.58"/>
    <s v="Major Loss"/>
    <n v="19"/>
    <n v="52"/>
    <n v="1"/>
    <n v="2"/>
    <s v="H"/>
    <x v="0"/>
    <x v="1"/>
    <s v="Rent"/>
    <n v="1"/>
    <n v="1"/>
    <n v="2646.6264000000001"/>
    <n v="1932.037272"/>
    <n v="-6067.9627280000004"/>
  </r>
  <r>
    <s v="TXN00009401"/>
    <s v="A00005528"/>
    <s v="PLC00000369"/>
    <d v="2016-12-04T00:00:00"/>
    <d v="2021-05-31T00:00:00"/>
    <d v="2021-06-02T00:00:00"/>
    <n v="2"/>
    <n v="78.97"/>
    <n v="947.64"/>
    <n v="10000"/>
    <s v="A"/>
    <n v="10000"/>
    <n v="8.75"/>
    <s v="Total Loss"/>
    <n v="105"/>
    <n v="57"/>
    <n v="1"/>
    <n v="3"/>
    <s v="L"/>
    <x v="0"/>
    <x v="0"/>
    <s v="Mortgage"/>
    <n v="1"/>
    <n v="0"/>
    <n v="8291.85"/>
    <n v="6053.0505000000003"/>
    <n v="-3946.9494999999997"/>
  </r>
  <r>
    <s v="TXN00009410"/>
    <s v="A00004412"/>
    <s v="PLC00005536"/>
    <d v="2019-11-25T00:00:00"/>
    <d v="2021-06-05T00:00:00"/>
    <d v="2021-06-05T00:00:00"/>
    <n v="0"/>
    <n v="97.78"/>
    <n v="1173.3599999999999"/>
    <n v="3000"/>
    <s v="A"/>
    <n v="3000"/>
    <n v="9.17"/>
    <s v="Major Loss"/>
    <n v="110"/>
    <n v="35"/>
    <n v="1"/>
    <n v="6"/>
    <s v="L"/>
    <x v="0"/>
    <x v="0"/>
    <s v="Mortgage"/>
    <n v="0"/>
    <n v="1"/>
    <n v="10759.7112"/>
    <n v="7854.5891759999995"/>
    <n v="4854.5891759999995"/>
  </r>
  <r>
    <s v="TXN00009419"/>
    <s v="A00006508"/>
    <s v="PLC00008583"/>
    <d v="2014-02-03T00:00:00"/>
    <d v="2021-05-28T00:00:00"/>
    <d v="2021-06-02T00:00:00"/>
    <n v="5"/>
    <n v="136.02000000000001"/>
    <n v="1632.24"/>
    <n v="7000"/>
    <s v="A"/>
    <n v="7000"/>
    <n v="8.25"/>
    <s v="Minor Loss"/>
    <n v="99"/>
    <n v="38"/>
    <n v="1"/>
    <n v="2"/>
    <s v="L"/>
    <x v="0"/>
    <x v="1"/>
    <s v="Mortgage"/>
    <n v="0"/>
    <n v="0"/>
    <n v="13465.98"/>
    <n v="9830.1653999999999"/>
    <n v="2830.1653999999999"/>
  </r>
  <r>
    <s v="TXN00009427"/>
    <s v="A00002444"/>
    <s v="PLC00003291"/>
    <d v="2017-05-15T00:00:00"/>
    <d v="2021-06-06T00:00:00"/>
    <d v="2021-06-06T00:00:00"/>
    <n v="0"/>
    <n v="127.17"/>
    <n v="1526.04"/>
    <n v="6000"/>
    <s v="A"/>
    <n v="6000"/>
    <n v="7.5"/>
    <s v="Minor Loss"/>
    <n v="90"/>
    <n v="36"/>
    <n v="1"/>
    <n v="6"/>
    <s v="L"/>
    <x v="2"/>
    <x v="5"/>
    <s v="Rent"/>
    <n v="0"/>
    <n v="1"/>
    <n v="11445.3"/>
    <n v="8355.0689999999995"/>
    <n v="2355.0689999999995"/>
  </r>
  <r>
    <s v="TXN00009429"/>
    <s v="A00007973"/>
    <s v="PLC00003822"/>
    <d v="2013-03-27T00:00:00"/>
    <d v="2021-06-06T00:00:00"/>
    <d v="2021-06-06T00:00:00"/>
    <n v="0"/>
    <n v="131.03"/>
    <n v="1572.36"/>
    <n v="3000"/>
    <s v="A"/>
    <n v="3000"/>
    <n v="1.5"/>
    <s v="Minor Loss"/>
    <n v="18"/>
    <n v="60"/>
    <n v="0"/>
    <n v="7"/>
    <s v="L"/>
    <x v="0"/>
    <x v="1"/>
    <s v="Own"/>
    <n v="1"/>
    <n v="1"/>
    <n v="2358.54"/>
    <n v="1721.7341999999999"/>
    <n v="-1278.2658000000001"/>
  </r>
  <r>
    <s v="TXN00009431"/>
    <s v="A00006214"/>
    <s v="PLC00005592"/>
    <d v="2017-10-20T00:00:00"/>
    <d v="2021-06-01T00:00:00"/>
    <d v="2021-06-03T00:00:00"/>
    <n v="2"/>
    <n v="100.46"/>
    <n v="1205.52"/>
    <n v="7000"/>
    <s v="D"/>
    <n v="0"/>
    <n v="1.83"/>
    <s v="Minor Loss"/>
    <n v="22"/>
    <n v="60"/>
    <n v="1"/>
    <n v="3"/>
    <s v="H"/>
    <x v="0"/>
    <x v="1"/>
    <s v="Rent"/>
    <n v="0"/>
    <n v="1"/>
    <n v="2206.1016"/>
    <n v="1610.454168"/>
    <n v="1610.454168"/>
  </r>
  <r>
    <s v="TXN00009437"/>
    <s v="A00007975"/>
    <s v="PLC00003018"/>
    <d v="2019-12-11T00:00:00"/>
    <d v="2021-05-21T00:00:00"/>
    <d v="2021-05-26T00:00:00"/>
    <n v="5"/>
    <n v="102.5"/>
    <n v="1230"/>
    <n v="3000"/>
    <s v="A"/>
    <n v="3000"/>
    <n v="4.5"/>
    <s v="Major Loss"/>
    <n v="54"/>
    <n v="44"/>
    <n v="1"/>
    <n v="3"/>
    <s v="M"/>
    <x v="0"/>
    <x v="1"/>
    <s v="Own"/>
    <n v="0"/>
    <n v="1"/>
    <n v="5535"/>
    <n v="4040.5499999999997"/>
    <n v="1040.5499999999997"/>
  </r>
  <r>
    <s v="TXN00009441"/>
    <s v="A00006104"/>
    <s v="PLC00001270"/>
    <d v="2012-07-16T00:00:00"/>
    <d v="2021-05-28T00:00:00"/>
    <d v="2021-06-02T00:00:00"/>
    <n v="5"/>
    <n v="93.54"/>
    <n v="1122.48"/>
    <n v="6000"/>
    <s v="A"/>
    <n v="6000"/>
    <n v="8.92"/>
    <s v="Total Loss"/>
    <n v="107"/>
    <n v="27"/>
    <n v="1"/>
    <n v="4"/>
    <s v="M"/>
    <x v="1"/>
    <x v="0"/>
    <s v="Mortgage"/>
    <n v="1"/>
    <n v="1"/>
    <n v="10012.5216"/>
    <n v="7309.1407680000002"/>
    <n v="1309.1407680000002"/>
  </r>
  <r>
    <s v="TXN00009444"/>
    <s v="A00009009"/>
    <s v="PLC00004624"/>
    <d v="2011-09-17T00:00:00"/>
    <d v="2021-05-22T00:00:00"/>
    <d v="2021-05-27T00:00:00"/>
    <n v="5"/>
    <n v="118.55"/>
    <n v="1422.6"/>
    <n v="1000"/>
    <s v="A"/>
    <n v="1000"/>
    <n v="4.92"/>
    <s v="Total Loss"/>
    <n v="59"/>
    <n v="53"/>
    <n v="1"/>
    <n v="2"/>
    <s v="L"/>
    <x v="2"/>
    <x v="1"/>
    <s v="Mortgage"/>
    <n v="0"/>
    <n v="0"/>
    <n v="6999.1919999999991"/>
    <n v="5109.4101599999995"/>
    <n v="4109.4101599999995"/>
  </r>
  <r>
    <s v="TXN00009452"/>
    <s v="A00004978"/>
    <s v="PLC00001639"/>
    <d v="2019-02-14T00:00:00"/>
    <d v="2021-05-22T00:00:00"/>
    <d v="2021-05-27T00:00:00"/>
    <n v="5"/>
    <n v="110"/>
    <n v="1320"/>
    <n v="10000"/>
    <s v="A"/>
    <n v="10000"/>
    <n v="1.92"/>
    <s v="Total Loss"/>
    <n v="23"/>
    <n v="42"/>
    <n v="1"/>
    <n v="2"/>
    <s v="L"/>
    <x v="2"/>
    <x v="0"/>
    <s v="Mortgage"/>
    <n v="1"/>
    <n v="1"/>
    <n v="2534.4"/>
    <n v="1850.1120000000001"/>
    <n v="-8149.8879999999999"/>
  </r>
  <r>
    <s v="TXN00009456"/>
    <s v="A00008738"/>
    <s v="PLC00005409"/>
    <d v="2011-03-05T00:00:00"/>
    <d v="2021-06-06T00:00:00"/>
    <d v="2021-06-06T00:00:00"/>
    <n v="0"/>
    <n v="75.680000000000007"/>
    <n v="908.16"/>
    <n v="7000"/>
    <s v="A"/>
    <n v="7000"/>
    <n v="2.92"/>
    <s v="Total Loss"/>
    <n v="35"/>
    <n v="46"/>
    <n v="0"/>
    <n v="2"/>
    <s v="M"/>
    <x v="1"/>
    <x v="5"/>
    <s v="Own"/>
    <n v="1"/>
    <n v="1"/>
    <n v="2651.8271999999997"/>
    <n v="1935.8338559999997"/>
    <n v="-5064.1661440000007"/>
  </r>
  <r>
    <s v="TXN00009458"/>
    <s v="A00000283"/>
    <s v="PLC00005464"/>
    <d v="2010-06-22T00:00:00"/>
    <d v="2021-06-02T00:00:00"/>
    <d v="2021-06-04T00:00:00"/>
    <n v="2"/>
    <n v="109.85"/>
    <n v="1318.2"/>
    <n v="3000"/>
    <s v="A"/>
    <n v="3000"/>
    <n v="1.75"/>
    <s v="Minor Loss"/>
    <n v="21"/>
    <n v="49"/>
    <n v="1"/>
    <n v="4"/>
    <s v="L"/>
    <x v="0"/>
    <x v="1"/>
    <s v="Own"/>
    <n v="1"/>
    <n v="0"/>
    <n v="2306.85"/>
    <n v="1684.0004999999999"/>
    <n v="-1315.9995000000001"/>
  </r>
  <r>
    <s v="TXN00009465"/>
    <s v="A00000487"/>
    <s v="PLC00007285"/>
    <d v="2010-10-15T00:00:00"/>
    <d v="2021-06-08T00:00:00"/>
    <d v="2021-06-08T00:00:00"/>
    <n v="0"/>
    <n v="97.34"/>
    <n v="1168.08"/>
    <n v="7000"/>
    <s v="A"/>
    <n v="7000"/>
    <n v="2.5"/>
    <s v="Total Loss"/>
    <n v="30"/>
    <n v="64"/>
    <n v="1"/>
    <n v="6"/>
    <s v="L"/>
    <x v="2"/>
    <x v="5"/>
    <s v="Rent"/>
    <n v="0"/>
    <n v="1"/>
    <n v="2920.2"/>
    <n v="2131.7459999999996"/>
    <n v="-4868.2540000000008"/>
  </r>
  <r>
    <s v="TXN00009468"/>
    <s v="A00005156"/>
    <s v="PLC00003514"/>
    <d v="2014-04-06T00:00:00"/>
    <d v="2021-06-04T00:00:00"/>
    <d v="2021-06-06T00:00:00"/>
    <n v="2"/>
    <n v="90.93"/>
    <n v="1091.1600000000001"/>
    <n v="2000"/>
    <s v="A"/>
    <n v="2000"/>
    <n v="3.17"/>
    <s v="Minor Loss"/>
    <n v="38"/>
    <n v="47"/>
    <n v="1"/>
    <n v="7"/>
    <s v="M"/>
    <x v="0"/>
    <x v="5"/>
    <s v="Own"/>
    <n v="0"/>
    <n v="1"/>
    <n v="3458.9772000000003"/>
    <n v="2525.0533560000003"/>
    <n v="525.05335600000035"/>
  </r>
  <r>
    <s v="TXN00009471"/>
    <s v="A00008221"/>
    <s v="PLC00008217"/>
    <d v="2019-03-02T00:00:00"/>
    <d v="2021-05-23T00:00:00"/>
    <d v="2021-05-28T00:00:00"/>
    <n v="5"/>
    <n v="73.89"/>
    <n v="886.68"/>
    <n v="7000"/>
    <s v="A"/>
    <n v="7000"/>
    <n v="2.25"/>
    <s v="Major Loss"/>
    <n v="27"/>
    <n v="36"/>
    <n v="1"/>
    <n v="7"/>
    <s v="H"/>
    <x v="0"/>
    <x v="4"/>
    <s v="Mortgage"/>
    <n v="0"/>
    <n v="1"/>
    <n v="1995.03"/>
    <n v="1456.3718999999999"/>
    <n v="-5543.6280999999999"/>
  </r>
  <r>
    <s v="TXN00009472"/>
    <s v="A00001762"/>
    <s v="PLC00005922"/>
    <d v="2017-12-13T00:00:00"/>
    <d v="2021-06-08T00:00:00"/>
    <d v="2021-06-08T00:00:00"/>
    <n v="0"/>
    <n v="138.97999999999999"/>
    <n v="1667.76"/>
    <n v="4000"/>
    <s v="A"/>
    <n v="4000"/>
    <n v="4.83"/>
    <s v="Major Loss"/>
    <n v="58"/>
    <n v="49"/>
    <n v="1"/>
    <n v="3"/>
    <s v="L"/>
    <x v="0"/>
    <x v="3"/>
    <s v="Rent"/>
    <n v="0"/>
    <n v="0"/>
    <n v="8055.2808000000005"/>
    <n v="5880.3549840000005"/>
    <n v="1880.3549840000005"/>
  </r>
  <r>
    <s v="TXN00009474"/>
    <s v="A00009169"/>
    <s v="PLC00001028"/>
    <d v="2014-02-20T00:00:00"/>
    <d v="2021-06-01T00:00:00"/>
    <d v="2021-06-04T00:00:00"/>
    <n v="3"/>
    <n v="103.18"/>
    <n v="1238.1600000000001"/>
    <n v="9000"/>
    <s v="A"/>
    <n v="9000"/>
    <n v="2.83"/>
    <s v="Total Loss"/>
    <n v="34"/>
    <n v="27"/>
    <n v="1"/>
    <n v="3"/>
    <s v="M"/>
    <x v="0"/>
    <x v="6"/>
    <s v="Mortgage"/>
    <n v="0"/>
    <n v="1"/>
    <n v="3503.9928000000004"/>
    <n v="2557.9147440000002"/>
    <n v="-6442.0852560000003"/>
  </r>
  <r>
    <s v="TXN00009483"/>
    <s v="A00006850"/>
    <s v="PLC00008087"/>
    <d v="2011-10-17T00:00:00"/>
    <d v="2021-06-01T00:00:00"/>
    <d v="2021-06-04T00:00:00"/>
    <n v="3"/>
    <n v="118.79"/>
    <n v="1425.48"/>
    <n v="8000"/>
    <s v="A"/>
    <n v="8000"/>
    <n v="9.67"/>
    <s v="Minor Loss"/>
    <n v="116"/>
    <n v="49"/>
    <n v="1"/>
    <n v="3"/>
    <s v="M"/>
    <x v="2"/>
    <x v="0"/>
    <s v="Own"/>
    <n v="1"/>
    <n v="1"/>
    <n v="13784.391600000001"/>
    <n v="10062.605868000001"/>
    <n v="2062.6058680000006"/>
  </r>
  <r>
    <s v="TXN00009490"/>
    <s v="A00005691"/>
    <s v="PLC00001070"/>
    <d v="2011-02-22T00:00:00"/>
    <d v="2021-05-30T00:00:00"/>
    <d v="2021-06-04T00:00:00"/>
    <n v="5"/>
    <n v="122.43"/>
    <n v="1469.16"/>
    <n v="2000"/>
    <s v="A"/>
    <n v="2000"/>
    <n v="8.75"/>
    <s v="Minor Loss"/>
    <n v="105"/>
    <n v="44"/>
    <n v="1"/>
    <n v="4"/>
    <s v="L"/>
    <x v="0"/>
    <x v="6"/>
    <s v="Rent"/>
    <n v="1"/>
    <n v="1"/>
    <n v="12855.150000000001"/>
    <n v="9384.2595000000001"/>
    <n v="7384.2595000000001"/>
  </r>
  <r>
    <s v="TXN00009493"/>
    <s v="A00005213"/>
    <s v="PLC00000718"/>
    <d v="2017-07-30T00:00:00"/>
    <d v="2021-06-09T00:00:00"/>
    <d v="2021-06-09T00:00:00"/>
    <n v="0"/>
    <n v="71.959999999999994"/>
    <n v="863.52"/>
    <n v="4000"/>
    <s v="A"/>
    <n v="4000"/>
    <n v="8.42"/>
    <s v="Major Loss"/>
    <n v="101"/>
    <n v="38"/>
    <n v="0"/>
    <n v="2"/>
    <s v="L"/>
    <x v="2"/>
    <x v="1"/>
    <s v="Own"/>
    <n v="0"/>
    <n v="0"/>
    <n v="7270.8383999999996"/>
    <n v="5307.7120319999995"/>
    <n v="1307.7120319999995"/>
  </r>
  <r>
    <s v="TXN00009495"/>
    <s v="A00004867"/>
    <s v="PLC00009370"/>
    <d v="2014-07-23T00:00:00"/>
    <d v="2021-06-08T00:00:00"/>
    <d v="2021-06-08T00:00:00"/>
    <n v="0"/>
    <n v="82.1"/>
    <n v="985.2"/>
    <n v="8000"/>
    <s v="A"/>
    <n v="8000"/>
    <n v="6"/>
    <s v="Total Loss"/>
    <n v="72"/>
    <n v="59"/>
    <n v="1"/>
    <n v="6"/>
    <s v="M"/>
    <x v="2"/>
    <x v="6"/>
    <s v="Rent"/>
    <n v="1"/>
    <n v="0"/>
    <n v="5911.2000000000007"/>
    <n v="4315.1760000000004"/>
    <n v="-3684.8239999999996"/>
  </r>
  <r>
    <s v="TXN00009496"/>
    <s v="A00000404"/>
    <s v="PLC00005421"/>
    <d v="2015-03-17T00:00:00"/>
    <d v="2021-06-09T00:00:00"/>
    <d v="2021-06-09T00:00:00"/>
    <n v="0"/>
    <n v="84.23"/>
    <n v="1010.76"/>
    <n v="10000"/>
    <s v="A"/>
    <n v="10000"/>
    <n v="8.42"/>
    <s v="Total Loss"/>
    <n v="101"/>
    <n v="34"/>
    <n v="1"/>
    <n v="5"/>
    <s v="L"/>
    <x v="1"/>
    <x v="1"/>
    <s v="Rent"/>
    <n v="0"/>
    <n v="0"/>
    <n v="8510.5992000000006"/>
    <n v="6212.7374159999999"/>
    <n v="-3787.2625840000001"/>
  </r>
  <r>
    <s v="TXN00009499"/>
    <s v="A00009776"/>
    <s v="PLC00004924"/>
    <d v="2014-05-21T00:00:00"/>
    <d v="2021-05-23T00:00:00"/>
    <d v="2021-05-28T00:00:00"/>
    <n v="5"/>
    <n v="76.94"/>
    <n v="923.28"/>
    <n v="1000"/>
    <s v="A"/>
    <n v="1000"/>
    <n v="6.17"/>
    <s v="Major Loss"/>
    <n v="74"/>
    <n v="59"/>
    <n v="1"/>
    <n v="7"/>
    <s v="M"/>
    <x v="0"/>
    <x v="0"/>
    <s v="Rent"/>
    <n v="0"/>
    <n v="1"/>
    <n v="5696.6376"/>
    <n v="4158.5454479999999"/>
    <n v="3158.5454479999999"/>
  </r>
  <r>
    <s v="TXN00009513"/>
    <s v="A00003872"/>
    <s v="PLC00003077"/>
    <d v="2016-11-04T00:00:00"/>
    <d v="2021-06-05T00:00:00"/>
    <d v="2021-06-07T00:00:00"/>
    <n v="2"/>
    <n v="136.91999999999999"/>
    <n v="1643.04"/>
    <n v="8000"/>
    <s v="A"/>
    <n v="8000"/>
    <n v="8.42"/>
    <s v="Total Loss"/>
    <n v="101"/>
    <n v="44"/>
    <n v="0"/>
    <n v="6"/>
    <s v="L"/>
    <x v="1"/>
    <x v="1"/>
    <s v="Rent"/>
    <n v="0"/>
    <n v="1"/>
    <n v="13834.3968"/>
    <n v="10099.109664"/>
    <n v="2099.1096639999996"/>
  </r>
  <r>
    <s v="TXN00009518"/>
    <s v="A00001352"/>
    <s v="PLC00008421"/>
    <d v="2015-02-03T00:00:00"/>
    <d v="2021-06-11T00:00:00"/>
    <d v="2021-06-11T00:00:00"/>
    <n v="0"/>
    <n v="111.7"/>
    <n v="1340.4"/>
    <n v="3000"/>
    <s v="A"/>
    <n v="3000"/>
    <n v="6.17"/>
    <s v="Total Loss"/>
    <n v="74"/>
    <n v="30"/>
    <n v="0"/>
    <n v="4"/>
    <s v="L"/>
    <x v="2"/>
    <x v="0"/>
    <s v="Mortgage"/>
    <n v="0"/>
    <n v="0"/>
    <n v="8270.268"/>
    <n v="6037.2956400000003"/>
    <n v="3037.2956400000003"/>
  </r>
  <r>
    <s v="TXN00009540"/>
    <s v="A00003865"/>
    <s v="PLC00006158"/>
    <d v="2016-10-15T00:00:00"/>
    <d v="2021-06-07T00:00:00"/>
    <d v="2021-06-09T00:00:00"/>
    <n v="2"/>
    <n v="103.72"/>
    <n v="1244.6400000000001"/>
    <n v="3000"/>
    <s v="A"/>
    <n v="3000"/>
    <n v="6.25"/>
    <s v="Total Loss"/>
    <n v="75"/>
    <n v="55"/>
    <n v="1"/>
    <n v="7"/>
    <s v="L"/>
    <x v="1"/>
    <x v="2"/>
    <s v="Mortgage"/>
    <n v="1"/>
    <n v="1"/>
    <n v="7779.0000000000009"/>
    <n v="5678.67"/>
    <n v="2678.67"/>
  </r>
  <r>
    <s v="TXN00009549"/>
    <s v="A00004967"/>
    <s v="PLC00002261"/>
    <d v="2017-10-08T00:00:00"/>
    <d v="2021-06-04T00:00:00"/>
    <d v="2021-06-07T00:00:00"/>
    <n v="3"/>
    <n v="134.47999999999999"/>
    <n v="1613.76"/>
    <n v="3000"/>
    <s v="A"/>
    <n v="3000"/>
    <n v="1.67"/>
    <s v="Total Loss"/>
    <n v="20"/>
    <n v="54"/>
    <n v="1"/>
    <n v="3"/>
    <s v="M"/>
    <x v="0"/>
    <x v="0"/>
    <s v="Rent"/>
    <n v="1"/>
    <n v="0"/>
    <n v="2694.9791999999998"/>
    <n v="1967.3348159999998"/>
    <n v="-1032.6651840000002"/>
  </r>
  <r>
    <s v="TXN00009555"/>
    <s v="A00009126"/>
    <s v="PLC00006523"/>
    <d v="2010-10-03T00:00:00"/>
    <d v="2021-06-11T00:00:00"/>
    <d v="2021-06-11T00:00:00"/>
    <n v="0"/>
    <n v="123.26"/>
    <n v="1479.12"/>
    <n v="2000"/>
    <s v="A"/>
    <n v="2000"/>
    <n v="4"/>
    <s v="Minor Loss"/>
    <n v="48"/>
    <n v="37"/>
    <n v="1"/>
    <n v="7"/>
    <s v="M"/>
    <x v="0"/>
    <x v="6"/>
    <s v="Own"/>
    <n v="1"/>
    <n v="1"/>
    <n v="5916.48"/>
    <n v="4319.0303999999996"/>
    <n v="2319.0303999999996"/>
  </r>
  <r>
    <s v="TXN00009570"/>
    <s v="A00006911"/>
    <s v="PLC00002106"/>
    <d v="2016-10-25T00:00:00"/>
    <d v="2021-06-01T00:00:00"/>
    <d v="2021-06-06T00:00:00"/>
    <n v="5"/>
    <n v="111.62"/>
    <n v="1339.44"/>
    <n v="6000"/>
    <s v="A"/>
    <n v="6000"/>
    <n v="8"/>
    <s v="Major Loss"/>
    <n v="96"/>
    <n v="33"/>
    <n v="0"/>
    <n v="4"/>
    <s v="L"/>
    <x v="1"/>
    <x v="1"/>
    <s v="Own"/>
    <n v="1"/>
    <n v="1"/>
    <n v="10715.52"/>
    <n v="7822.3296"/>
    <n v="1822.3296"/>
  </r>
  <r>
    <s v="TXN00009573"/>
    <s v="A00002608"/>
    <s v="PLC00008075"/>
    <d v="2013-11-09T00:00:00"/>
    <d v="2021-05-31T00:00:00"/>
    <d v="2021-06-05T00:00:00"/>
    <n v="5"/>
    <n v="96.01"/>
    <n v="1152.1199999999999"/>
    <n v="4000"/>
    <s v="A"/>
    <n v="4000"/>
    <n v="2"/>
    <s v="Major Loss"/>
    <n v="24"/>
    <n v="32"/>
    <n v="1"/>
    <n v="7"/>
    <s v="M"/>
    <x v="0"/>
    <x v="1"/>
    <s v="Own"/>
    <n v="1"/>
    <n v="1"/>
    <n v="2304.2399999999998"/>
    <n v="1682.0951999999997"/>
    <n v="-2317.9048000000003"/>
  </r>
  <r>
    <s v="TXN00009576"/>
    <s v="A00000080"/>
    <s v="PLC00008856"/>
    <d v="2015-01-21T00:00:00"/>
    <d v="2021-06-12T00:00:00"/>
    <d v="2021-06-12T00:00:00"/>
    <n v="0"/>
    <n v="93.88"/>
    <n v="1126.56"/>
    <n v="10000"/>
    <s v="A"/>
    <n v="10000"/>
    <n v="0.83"/>
    <s v="Major Loss"/>
    <n v="10"/>
    <n v="26"/>
    <n v="1"/>
    <n v="4"/>
    <s v="L"/>
    <x v="0"/>
    <x v="3"/>
    <s v="Rent"/>
    <n v="1"/>
    <n v="1"/>
    <n v="935.0447999999999"/>
    <n v="682.58270399999992"/>
    <n v="-9317.4172959999996"/>
  </r>
  <r>
    <s v="TXN00009577"/>
    <s v="A00004985"/>
    <s v="PLC00000082"/>
    <d v="2012-12-26T00:00:00"/>
    <d v="2021-05-29T00:00:00"/>
    <d v="2021-06-03T00:00:00"/>
    <n v="5"/>
    <n v="123.47"/>
    <n v="1481.64"/>
    <n v="4000"/>
    <s v="A"/>
    <n v="4000"/>
    <n v="5.83"/>
    <s v="Major Loss"/>
    <n v="70"/>
    <n v="52"/>
    <n v="1"/>
    <n v="2"/>
    <s v="H"/>
    <x v="1"/>
    <x v="1"/>
    <s v="Rent"/>
    <n v="0"/>
    <n v="1"/>
    <n v="8637.9612000000016"/>
    <n v="6305.7116760000008"/>
    <n v="2305.7116760000008"/>
  </r>
  <r>
    <s v="TXN00009579"/>
    <s v="A00002929"/>
    <s v="PLC00004931"/>
    <d v="2017-09-01T00:00:00"/>
    <d v="2021-06-08T00:00:00"/>
    <d v="2021-06-10T00:00:00"/>
    <n v="2"/>
    <n v="101.9"/>
    <n v="1222.8"/>
    <n v="7000"/>
    <s v="A"/>
    <n v="7000"/>
    <n v="8.25"/>
    <s v="Total Loss"/>
    <n v="99"/>
    <n v="59"/>
    <n v="1"/>
    <n v="6"/>
    <s v="L"/>
    <x v="2"/>
    <x v="1"/>
    <s v="Own"/>
    <n v="1"/>
    <n v="0"/>
    <n v="10088.1"/>
    <n v="7364.3130000000001"/>
    <n v="364.3130000000001"/>
  </r>
  <r>
    <s v="TXN00009583"/>
    <s v="A00005358"/>
    <s v="PLC00006336"/>
    <d v="2018-01-31T00:00:00"/>
    <d v="2021-06-01T00:00:00"/>
    <d v="2021-06-06T00:00:00"/>
    <n v="5"/>
    <n v="126.7"/>
    <n v="1520.4"/>
    <n v="8000"/>
    <s v="A"/>
    <n v="8000"/>
    <n v="3.42"/>
    <s v="Minor Loss"/>
    <n v="41"/>
    <n v="57"/>
    <n v="1"/>
    <n v="7"/>
    <s v="L"/>
    <x v="2"/>
    <x v="4"/>
    <s v="Rent"/>
    <n v="1"/>
    <n v="1"/>
    <n v="5199.768"/>
    <n v="3795.8306400000001"/>
    <n v="-4204.1693599999999"/>
  </r>
  <r>
    <s v="TXN00009586"/>
    <s v="A00003298"/>
    <s v="PLC00002864"/>
    <d v="2016-08-07T00:00:00"/>
    <d v="2021-06-04T00:00:00"/>
    <d v="2021-06-09T00:00:00"/>
    <n v="5"/>
    <n v="88.82"/>
    <n v="1065.8399999999999"/>
    <n v="5000"/>
    <s v="A"/>
    <n v="5000"/>
    <n v="9.17"/>
    <s v="Minor Loss"/>
    <n v="110"/>
    <n v="41"/>
    <n v="1"/>
    <n v="7"/>
    <s v="M"/>
    <x v="1"/>
    <x v="5"/>
    <s v="Own"/>
    <n v="0"/>
    <n v="0"/>
    <n v="9773.7527999999984"/>
    <n v="7134.8395439999986"/>
    <n v="2134.8395439999986"/>
  </r>
  <r>
    <s v="TXN00009598"/>
    <s v="A00001748"/>
    <s v="PLC00007794"/>
    <d v="2017-07-19T00:00:00"/>
    <d v="2021-06-01T00:00:00"/>
    <d v="2021-06-06T00:00:00"/>
    <n v="5"/>
    <n v="81.37"/>
    <n v="976.44"/>
    <n v="2000"/>
    <s v="A"/>
    <n v="2000"/>
    <n v="3.83"/>
    <s v="Minor Loss"/>
    <n v="46"/>
    <n v="34"/>
    <n v="0"/>
    <n v="3"/>
    <s v="L"/>
    <x v="1"/>
    <x v="1"/>
    <s v="Rent"/>
    <n v="0"/>
    <n v="1"/>
    <n v="3739.7652000000003"/>
    <n v="2730.0285960000001"/>
    <n v="730.02859600000011"/>
  </r>
  <r>
    <s v="TXN00009602"/>
    <s v="A00008199"/>
    <s v="PLC00005126"/>
    <d v="2010-08-10T00:00:00"/>
    <d v="2021-06-08T00:00:00"/>
    <d v="2021-06-10T00:00:00"/>
    <n v="2"/>
    <n v="119.78"/>
    <n v="1437.36"/>
    <n v="2000"/>
    <s v="A"/>
    <n v="2000"/>
    <n v="6.67"/>
    <s v="Total Loss"/>
    <n v="80"/>
    <n v="38"/>
    <n v="1"/>
    <n v="5"/>
    <s v="L"/>
    <x v="2"/>
    <x v="1"/>
    <s v="Mortgage"/>
    <n v="1"/>
    <n v="1"/>
    <n v="9587.1911999999993"/>
    <n v="6998.6495759999989"/>
    <n v="4998.6495759999989"/>
  </r>
  <r>
    <s v="TXN00009603"/>
    <s v="A00001287"/>
    <s v="PLC00008293"/>
    <d v="2011-03-07T00:00:00"/>
    <d v="2021-06-04T00:00:00"/>
    <d v="2021-06-09T00:00:00"/>
    <n v="5"/>
    <n v="117.06"/>
    <n v="1404.72"/>
    <n v="6000"/>
    <s v="A"/>
    <n v="6000"/>
    <n v="2.25"/>
    <s v="Minor Loss"/>
    <n v="27"/>
    <n v="48"/>
    <n v="1"/>
    <n v="2"/>
    <s v="L"/>
    <x v="0"/>
    <x v="3"/>
    <s v="Rent"/>
    <n v="1"/>
    <n v="1"/>
    <n v="3160.62"/>
    <n v="2307.2525999999998"/>
    <n v="-3692.7474000000002"/>
  </r>
  <r>
    <s v="TXN00009609"/>
    <s v="A00007956"/>
    <s v="PLC00005824"/>
    <d v="2014-10-25T00:00:00"/>
    <d v="2021-06-03T00:00:00"/>
    <d v="2021-06-08T00:00:00"/>
    <n v="5"/>
    <n v="105.34"/>
    <n v="1264.08"/>
    <n v="1000"/>
    <s v="A"/>
    <n v="1000"/>
    <n v="6.58"/>
    <s v="Total Loss"/>
    <n v="79"/>
    <n v="44"/>
    <n v="1"/>
    <n v="3"/>
    <s v="M"/>
    <x v="2"/>
    <x v="3"/>
    <s v="Own"/>
    <n v="1"/>
    <n v="1"/>
    <n v="8317.6463999999996"/>
    <n v="6071.8818719999999"/>
    <n v="5071.8818719999999"/>
  </r>
  <r>
    <s v="TXN00009618"/>
    <s v="A00004308"/>
    <s v="PLC00001885"/>
    <d v="2013-10-10T00:00:00"/>
    <d v="2021-05-29T00:00:00"/>
    <d v="2021-06-03T00:00:00"/>
    <n v="5"/>
    <n v="117.74"/>
    <n v="1412.88"/>
    <n v="10000"/>
    <s v="A"/>
    <n v="10000"/>
    <n v="0.92"/>
    <s v="Total Loss"/>
    <n v="11"/>
    <n v="40"/>
    <n v="0"/>
    <n v="5"/>
    <s v="L"/>
    <x v="1"/>
    <x v="3"/>
    <s v="Own"/>
    <n v="1"/>
    <n v="1"/>
    <n v="1299.8496000000002"/>
    <n v="948.89020800000014"/>
    <n v="-9051.1097919999993"/>
  </r>
  <r>
    <s v="TXN00009624"/>
    <s v="A00007223"/>
    <s v="PLC00009129"/>
    <d v="2017-09-12T00:00:00"/>
    <d v="2021-06-13T00:00:00"/>
    <d v="2021-06-13T00:00:00"/>
    <n v="0"/>
    <n v="85.32"/>
    <n v="1023.84"/>
    <n v="6000"/>
    <s v="A"/>
    <n v="6000"/>
    <n v="6.08"/>
    <s v="Major Loss"/>
    <n v="73"/>
    <n v="54"/>
    <n v="1"/>
    <n v="3"/>
    <s v="L"/>
    <x v="0"/>
    <x v="6"/>
    <s v="Own"/>
    <n v="1"/>
    <n v="1"/>
    <n v="6224.9472000000005"/>
    <n v="4544.211456"/>
    <n v="-1455.788544"/>
  </r>
  <r>
    <s v="TXN00009628"/>
    <s v="A00002743"/>
    <s v="PLC00004724"/>
    <d v="2018-04-01T00:00:00"/>
    <d v="2021-06-11T00:00:00"/>
    <d v="2021-06-12T00:00:00"/>
    <n v="1"/>
    <n v="111.36"/>
    <n v="1336.32"/>
    <n v="8000"/>
    <s v="A"/>
    <n v="8000"/>
    <n v="1.58"/>
    <s v="Total Loss"/>
    <n v="19"/>
    <n v="55"/>
    <n v="1"/>
    <n v="7"/>
    <s v="M"/>
    <x v="1"/>
    <x v="1"/>
    <s v="Mortgage"/>
    <n v="1"/>
    <n v="1"/>
    <n v="2111.3856000000001"/>
    <n v="1541.3114880000001"/>
    <n v="-6458.6885119999997"/>
  </r>
  <r>
    <s v="TXN00009635"/>
    <s v="A00002574"/>
    <s v="PLC00007507"/>
    <d v="2011-07-09T00:00:00"/>
    <d v="2021-06-05T00:00:00"/>
    <d v="2021-06-10T00:00:00"/>
    <n v="5"/>
    <n v="105.45"/>
    <n v="1265.4000000000001"/>
    <n v="8000"/>
    <s v="A"/>
    <n v="8000"/>
    <n v="5.75"/>
    <s v="Minor Loss"/>
    <n v="69"/>
    <n v="29"/>
    <n v="1"/>
    <n v="7"/>
    <s v="L"/>
    <x v="2"/>
    <x v="1"/>
    <s v="Mortgage"/>
    <n v="1"/>
    <n v="1"/>
    <n v="7276.05"/>
    <n v="5311.5164999999997"/>
    <n v="-2688.4835000000003"/>
  </r>
  <r>
    <s v="TXN00009642"/>
    <s v="A00006975"/>
    <s v="PLC00003732"/>
    <d v="2014-02-23T00:00:00"/>
    <d v="2021-06-05T00:00:00"/>
    <d v="2021-06-10T00:00:00"/>
    <n v="5"/>
    <n v="118.57"/>
    <n v="1422.84"/>
    <n v="8000"/>
    <s v="A"/>
    <n v="8000"/>
    <n v="4"/>
    <s v="Minor Loss"/>
    <n v="48"/>
    <n v="50"/>
    <n v="0"/>
    <n v="5"/>
    <s v="L"/>
    <x v="0"/>
    <x v="0"/>
    <s v="Own"/>
    <n v="1"/>
    <n v="1"/>
    <n v="5691.36"/>
    <n v="4154.6927999999998"/>
    <n v="-3845.3072000000002"/>
  </r>
  <r>
    <s v="TXN00009643"/>
    <s v="A00008931"/>
    <s v="PLC00001215"/>
    <d v="2010-06-08T00:00:00"/>
    <d v="2021-06-07T00:00:00"/>
    <d v="2021-06-10T00:00:00"/>
    <n v="3"/>
    <n v="138.94"/>
    <n v="1667.28"/>
    <n v="7000"/>
    <s v="A"/>
    <n v="7000"/>
    <n v="4.83"/>
    <s v="Total Loss"/>
    <n v="58"/>
    <n v="48"/>
    <n v="1"/>
    <n v="6"/>
    <s v="L"/>
    <x v="2"/>
    <x v="3"/>
    <s v="Own"/>
    <n v="1"/>
    <n v="0"/>
    <n v="8052.9624000000003"/>
    <n v="5878.6625519999998"/>
    <n v="-1121.3374480000002"/>
  </r>
  <r>
    <s v="TXN00009654"/>
    <s v="A00001239"/>
    <s v="PLC00009815"/>
    <d v="2018-05-03T00:00:00"/>
    <d v="2021-06-06T00:00:00"/>
    <d v="2021-06-11T00:00:00"/>
    <n v="5"/>
    <n v="133.22999999999999"/>
    <n v="1598.76"/>
    <n v="2000"/>
    <s v="D"/>
    <n v="0"/>
    <n v="9.17"/>
    <s v="Minor Loss"/>
    <n v="110"/>
    <n v="29"/>
    <n v="1"/>
    <n v="5"/>
    <s v="H"/>
    <x v="0"/>
    <x v="1"/>
    <s v="Own"/>
    <n v="1"/>
    <n v="1"/>
    <n v="14660.629199999999"/>
    <n v="10702.259316"/>
    <n v="10702.259316"/>
  </r>
  <r>
    <s v="TXN00009657"/>
    <s v="A00005403"/>
    <s v="PLC00006970"/>
    <d v="2012-11-10T00:00:00"/>
    <d v="2021-06-10T00:00:00"/>
    <d v="2021-06-12T00:00:00"/>
    <n v="2"/>
    <n v="116.57"/>
    <n v="1398.84"/>
    <n v="3000"/>
    <s v="A"/>
    <n v="3000"/>
    <n v="7.75"/>
    <s v="Major Loss"/>
    <n v="93"/>
    <n v="56"/>
    <n v="1"/>
    <n v="3"/>
    <s v="L"/>
    <x v="0"/>
    <x v="3"/>
    <s v="Rent"/>
    <n v="0"/>
    <n v="1"/>
    <n v="10841.01"/>
    <n v="7913.9372999999996"/>
    <n v="4913.9372999999996"/>
  </r>
  <r>
    <s v="TXN00009663"/>
    <s v="A00000833"/>
    <s v="PLC00005008"/>
    <d v="2015-08-09T00:00:00"/>
    <d v="2021-06-07T00:00:00"/>
    <d v="2021-06-10T00:00:00"/>
    <n v="3"/>
    <n v="101.46"/>
    <n v="1217.52"/>
    <n v="10000"/>
    <s v="A"/>
    <n v="10000"/>
    <n v="4.33"/>
    <s v="Major Loss"/>
    <n v="52"/>
    <n v="39"/>
    <n v="1"/>
    <n v="2"/>
    <s v="L"/>
    <x v="0"/>
    <x v="3"/>
    <s v="Mortgage"/>
    <n v="1"/>
    <n v="1"/>
    <n v="5271.8616000000002"/>
    <n v="3848.4589679999999"/>
    <n v="-6151.5410320000001"/>
  </r>
  <r>
    <s v="TXN00009668"/>
    <s v="A00000711"/>
    <s v="PLC00009652"/>
    <d v="2011-04-26T00:00:00"/>
    <d v="2021-06-14T00:00:00"/>
    <d v="2021-06-14T00:00:00"/>
    <n v="0"/>
    <n v="97.43"/>
    <n v="1169.1600000000001"/>
    <n v="10000"/>
    <s v="A"/>
    <n v="10000"/>
    <n v="6"/>
    <s v="Major Loss"/>
    <n v="72"/>
    <n v="38"/>
    <n v="0"/>
    <n v="7"/>
    <s v="L"/>
    <x v="1"/>
    <x v="4"/>
    <s v="Mortgage"/>
    <n v="0"/>
    <n v="1"/>
    <n v="7014.9600000000009"/>
    <n v="5120.9208000000008"/>
    <n v="-4879.0791999999992"/>
  </r>
  <r>
    <s v="TXN00009670"/>
    <s v="A00009583"/>
    <s v="PLC00007528"/>
    <d v="2010-07-06T00:00:00"/>
    <d v="2021-06-13T00:00:00"/>
    <d v="2021-06-14T00:00:00"/>
    <n v="1"/>
    <n v="94.84"/>
    <n v="1138.08"/>
    <n v="2000"/>
    <s v="A"/>
    <n v="2000"/>
    <n v="0.92"/>
    <s v="Major Loss"/>
    <n v="11"/>
    <n v="45"/>
    <n v="1"/>
    <n v="2"/>
    <s v="M"/>
    <x v="0"/>
    <x v="6"/>
    <s v="Rent"/>
    <n v="0"/>
    <n v="1"/>
    <n v="1047.0336"/>
    <n v="764.33452799999998"/>
    <n v="-1235.6654720000001"/>
  </r>
  <r>
    <s v="TXN00009679"/>
    <s v="A00002590"/>
    <s v="PLC00005373"/>
    <d v="2014-08-11T00:00:00"/>
    <d v="2021-06-10T00:00:00"/>
    <d v="2021-06-13T00:00:00"/>
    <n v="3"/>
    <n v="115.42"/>
    <n v="1385.04"/>
    <n v="2000"/>
    <s v="A"/>
    <n v="2000"/>
    <n v="6.25"/>
    <s v="Total Loss"/>
    <n v="75"/>
    <n v="37"/>
    <n v="1"/>
    <n v="3"/>
    <s v="M"/>
    <x v="0"/>
    <x v="0"/>
    <s v="Own"/>
    <n v="1"/>
    <n v="1"/>
    <n v="8656.5"/>
    <n v="6319.2449999999999"/>
    <n v="4319.2449999999999"/>
  </r>
  <r>
    <s v="TXN00009682"/>
    <s v="A00001130"/>
    <s v="PLC00000494"/>
    <d v="2018-11-30T00:00:00"/>
    <d v="2021-06-14T00:00:00"/>
    <d v="2021-06-15T00:00:00"/>
    <n v="1"/>
    <n v="74.73"/>
    <n v="896.76"/>
    <n v="10000"/>
    <s v="A"/>
    <n v="10000"/>
    <n v="1.25"/>
    <s v="Total Loss"/>
    <n v="15"/>
    <n v="27"/>
    <n v="0"/>
    <n v="6"/>
    <s v="M"/>
    <x v="1"/>
    <x v="1"/>
    <s v="Own"/>
    <n v="1"/>
    <n v="1"/>
    <n v="1120.95"/>
    <n v="818.29349999999999"/>
    <n v="-9181.7065000000002"/>
  </r>
  <r>
    <s v="TXN00009685"/>
    <s v="A00000148"/>
    <s v="PLC00008792"/>
    <d v="2012-10-16T00:00:00"/>
    <d v="2021-06-10T00:00:00"/>
    <d v="2021-06-13T00:00:00"/>
    <n v="3"/>
    <n v="129.47999999999999"/>
    <n v="1553.76"/>
    <n v="8000"/>
    <s v="A"/>
    <n v="8000"/>
    <n v="2"/>
    <s v="Total Loss"/>
    <n v="24"/>
    <n v="25"/>
    <n v="0"/>
    <n v="6"/>
    <s v="H"/>
    <x v="0"/>
    <x v="0"/>
    <s v="Own"/>
    <n v="0"/>
    <n v="1"/>
    <n v="3107.52"/>
    <n v="2268.4895999999999"/>
    <n v="-5731.5104000000001"/>
  </r>
  <r>
    <s v="TXN00009686"/>
    <s v="A00009453"/>
    <s v="PLC00006689"/>
    <d v="2018-06-03T00:00:00"/>
    <d v="2021-06-02T00:00:00"/>
    <d v="2021-06-07T00:00:00"/>
    <n v="5"/>
    <n v="135.99"/>
    <n v="1631.88"/>
    <n v="9000"/>
    <s v="A"/>
    <n v="9000"/>
    <n v="6.67"/>
    <s v="Total Loss"/>
    <n v="80"/>
    <n v="62"/>
    <n v="0"/>
    <n v="6"/>
    <s v="M"/>
    <x v="2"/>
    <x v="1"/>
    <s v="Mortgage"/>
    <n v="1"/>
    <n v="1"/>
    <n v="10884.6396"/>
    <n v="7945.786908"/>
    <n v="-1054.213092"/>
  </r>
  <r>
    <s v="TXN00009692"/>
    <s v="A00006347"/>
    <s v="PLC00006598"/>
    <d v="2015-08-06T00:00:00"/>
    <d v="2021-06-13T00:00:00"/>
    <d v="2021-06-14T00:00:00"/>
    <n v="1"/>
    <n v="133.84"/>
    <n v="1606.08"/>
    <n v="5000"/>
    <s v="A"/>
    <n v="5000"/>
    <n v="7.83"/>
    <s v="Minor Loss"/>
    <n v="94"/>
    <n v="48"/>
    <n v="1"/>
    <n v="4"/>
    <s v="L"/>
    <x v="1"/>
    <x v="1"/>
    <s v="Rent"/>
    <n v="1"/>
    <n v="0"/>
    <n v="12575.606399999999"/>
    <n v="9180.1926719999992"/>
    <n v="4180.1926719999992"/>
  </r>
  <r>
    <s v="TXN00009720"/>
    <s v="A00004895"/>
    <s v="PLC00005369"/>
    <d v="2012-05-26T00:00:00"/>
    <d v="2021-06-04T00:00:00"/>
    <d v="2021-06-09T00:00:00"/>
    <n v="5"/>
    <n v="86.59"/>
    <n v="1039.08"/>
    <n v="4000"/>
    <s v="A"/>
    <n v="4000"/>
    <n v="0.67"/>
    <s v="Major Loss"/>
    <n v="8"/>
    <n v="56"/>
    <n v="1"/>
    <n v="3"/>
    <s v="L"/>
    <x v="0"/>
    <x v="0"/>
    <s v="Rent"/>
    <n v="1"/>
    <n v="1"/>
    <n v="696.18359999999996"/>
    <n v="508.21402799999993"/>
    <n v="-3491.7859720000001"/>
  </r>
  <r>
    <s v="TXN00009726"/>
    <s v="A00009039"/>
    <s v="PLC00006894"/>
    <d v="2011-04-04T00:00:00"/>
    <d v="2021-06-02T00:00:00"/>
    <d v="2021-06-07T00:00:00"/>
    <n v="5"/>
    <n v="89.08"/>
    <n v="1068.96"/>
    <n v="10000"/>
    <s v="A"/>
    <n v="10000"/>
    <n v="1.33"/>
    <s v="Major Loss"/>
    <n v="16"/>
    <n v="64"/>
    <n v="1"/>
    <n v="5"/>
    <s v="L"/>
    <x v="0"/>
    <x v="4"/>
    <s v="Mortgage"/>
    <n v="0"/>
    <n v="0"/>
    <n v="1421.7168000000001"/>
    <n v="1037.8532640000001"/>
    <n v="-8962.1467360000006"/>
  </r>
  <r>
    <s v="TXN00009730"/>
    <s v="A00008819"/>
    <s v="PLC00000822"/>
    <d v="2019-07-27T00:00:00"/>
    <d v="2021-06-07T00:00:00"/>
    <d v="2021-06-12T00:00:00"/>
    <n v="5"/>
    <n v="85.07"/>
    <n v="1020.84"/>
    <n v="5000"/>
    <s v="A"/>
    <n v="5000"/>
    <n v="7.08"/>
    <s v="Total Loss"/>
    <n v="85"/>
    <n v="60"/>
    <n v="0"/>
    <n v="5"/>
    <s v="M"/>
    <x v="2"/>
    <x v="0"/>
    <s v="Mortgage"/>
    <n v="0"/>
    <n v="1"/>
    <n v="7227.5472"/>
    <n v="5276.1094560000001"/>
    <n v="276.10945600000014"/>
  </r>
  <r>
    <s v="TXN00009732"/>
    <s v="A00007145"/>
    <s v="PLC00001515"/>
    <d v="2012-10-20T00:00:00"/>
    <d v="2021-06-07T00:00:00"/>
    <d v="2021-06-12T00:00:00"/>
    <n v="5"/>
    <n v="107.08"/>
    <n v="1284.96"/>
    <n v="8000"/>
    <s v="A"/>
    <n v="8000"/>
    <n v="7.58"/>
    <s v="Total Loss"/>
    <n v="91"/>
    <n v="64"/>
    <n v="0"/>
    <n v="4"/>
    <s v="H"/>
    <x v="2"/>
    <x v="0"/>
    <s v="Own"/>
    <n v="1"/>
    <n v="0"/>
    <n v="9739.9968000000008"/>
    <n v="7110.1976640000003"/>
    <n v="-889.80233599999974"/>
  </r>
  <r>
    <s v="TXN00009739"/>
    <s v="A00005108"/>
    <s v="PLC00004528"/>
    <d v="2017-08-20T00:00:00"/>
    <d v="2021-06-16T00:00:00"/>
    <d v="2021-06-17T00:00:00"/>
    <n v="1"/>
    <n v="123.44"/>
    <n v="1481.28"/>
    <n v="2000"/>
    <s v="A"/>
    <n v="2000"/>
    <n v="5.08"/>
    <s v="Total Loss"/>
    <n v="61"/>
    <n v="37"/>
    <n v="1"/>
    <n v="5"/>
    <s v="L"/>
    <x v="2"/>
    <x v="1"/>
    <s v="Mortgage"/>
    <n v="0"/>
    <n v="1"/>
    <n v="7524.9023999999999"/>
    <n v="5493.1787519999998"/>
    <n v="3493.1787519999998"/>
  </r>
  <r>
    <s v="TXN00009745"/>
    <s v="A00007432"/>
    <s v="PLC00004569"/>
    <d v="2018-02-26T00:00:00"/>
    <d v="2021-06-15T00:00:00"/>
    <d v="2021-06-16T00:00:00"/>
    <n v="1"/>
    <n v="72.06"/>
    <n v="864.72"/>
    <n v="1000"/>
    <s v="A"/>
    <n v="1000"/>
    <n v="9.08"/>
    <s v="Major Loss"/>
    <n v="109"/>
    <n v="32"/>
    <n v="0"/>
    <n v="4"/>
    <s v="M"/>
    <x v="2"/>
    <x v="0"/>
    <s v="Mortgage"/>
    <n v="0"/>
    <n v="1"/>
    <n v="7851.6576000000005"/>
    <n v="5731.7100479999999"/>
    <n v="4731.7100479999999"/>
  </r>
  <r>
    <s v="TXN00009750"/>
    <s v="A00005883"/>
    <s v="PLC00007181"/>
    <d v="2010-06-12T00:00:00"/>
    <d v="2021-06-12T00:00:00"/>
    <d v="2021-06-15T00:00:00"/>
    <n v="3"/>
    <n v="89.46"/>
    <n v="1073.52"/>
    <n v="6000"/>
    <s v="A"/>
    <n v="6000"/>
    <n v="6.5"/>
    <s v="Total Loss"/>
    <n v="78"/>
    <n v="26"/>
    <n v="0"/>
    <n v="3"/>
    <s v="L"/>
    <x v="0"/>
    <x v="1"/>
    <s v="Rent"/>
    <n v="0"/>
    <n v="1"/>
    <n v="6977.88"/>
    <n v="5093.8523999999998"/>
    <n v="-906.14760000000024"/>
  </r>
  <r>
    <s v="TXN00009753"/>
    <s v="A00000819"/>
    <s v="PLC00002180"/>
    <d v="2020-01-02T00:00:00"/>
    <d v="2021-06-05T00:00:00"/>
    <d v="2021-06-10T00:00:00"/>
    <n v="5"/>
    <n v="82.86"/>
    <n v="994.32"/>
    <n v="7000"/>
    <s v="A"/>
    <n v="7000"/>
    <n v="2.08"/>
    <s v="Major Loss"/>
    <n v="25"/>
    <n v="58"/>
    <n v="1"/>
    <n v="7"/>
    <s v="M"/>
    <x v="2"/>
    <x v="2"/>
    <s v="Rent"/>
    <n v="1"/>
    <n v="1"/>
    <n v="2068.1856000000002"/>
    <n v="1509.7754880000002"/>
    <n v="-5490.2245119999998"/>
  </r>
  <r>
    <s v="TXN00009764"/>
    <s v="A00009947"/>
    <s v="PLC00008222"/>
    <d v="2015-10-22T00:00:00"/>
    <d v="2021-06-16T00:00:00"/>
    <d v="2021-06-17T00:00:00"/>
    <n v="1"/>
    <n v="120.2"/>
    <n v="1442.4"/>
    <n v="9000"/>
    <s v="A"/>
    <n v="9000"/>
    <n v="1.67"/>
    <s v="Major Loss"/>
    <n v="20"/>
    <n v="43"/>
    <n v="1"/>
    <n v="5"/>
    <s v="L"/>
    <x v="2"/>
    <x v="0"/>
    <s v="Own"/>
    <n v="0"/>
    <n v="1"/>
    <n v="2408.808"/>
    <n v="1758.42984"/>
    <n v="-7241.5701600000002"/>
  </r>
  <r>
    <s v="TXN00009794"/>
    <s v="A00009320"/>
    <s v="PLC00006470"/>
    <d v="2012-04-28T00:00:00"/>
    <d v="2021-06-10T00:00:00"/>
    <d v="2021-06-15T00:00:00"/>
    <n v="5"/>
    <n v="132.77000000000001"/>
    <n v="1593.24"/>
    <n v="10000"/>
    <s v="A"/>
    <n v="10000"/>
    <n v="2.83"/>
    <s v="Minor Loss"/>
    <n v="34"/>
    <n v="30"/>
    <n v="1"/>
    <n v="2"/>
    <s v="L"/>
    <x v="1"/>
    <x v="4"/>
    <s v="Own"/>
    <n v="0"/>
    <n v="1"/>
    <n v="4508.8692000000001"/>
    <n v="3291.4745159999998"/>
    <n v="-6708.5254839999998"/>
  </r>
  <r>
    <s v="TXN00009804"/>
    <s v="A00000634"/>
    <s v="PLC00006607"/>
    <d v="2010-11-07T00:00:00"/>
    <d v="2021-06-09T00:00:00"/>
    <d v="2021-06-14T00:00:00"/>
    <n v="5"/>
    <n v="70.2"/>
    <n v="842.4"/>
    <n v="10000"/>
    <s v="A"/>
    <n v="10000"/>
    <n v="9.42"/>
    <s v="Total Loss"/>
    <n v="113"/>
    <n v="37"/>
    <n v="0"/>
    <n v="6"/>
    <s v="L"/>
    <x v="2"/>
    <x v="5"/>
    <s v="Own"/>
    <n v="0"/>
    <n v="1"/>
    <n v="7935.4079999999994"/>
    <n v="5792.8478399999995"/>
    <n v="-4207.1521600000005"/>
  </r>
  <r>
    <s v="TXN00009806"/>
    <s v="A00002142"/>
    <s v="PLC00009532"/>
    <d v="2019-11-24T00:00:00"/>
    <d v="2021-06-14T00:00:00"/>
    <d v="2021-06-17T00:00:00"/>
    <n v="3"/>
    <n v="138.36000000000001"/>
    <n v="1660.32"/>
    <n v="10000"/>
    <s v="A"/>
    <n v="10000"/>
    <n v="7.17"/>
    <s v="Minor Loss"/>
    <n v="86"/>
    <n v="54"/>
    <n v="1"/>
    <n v="3"/>
    <s v="L"/>
    <x v="0"/>
    <x v="3"/>
    <s v="Rent"/>
    <n v="0"/>
    <n v="1"/>
    <n v="11904.4944"/>
    <n v="8690.2809120000002"/>
    <n v="-1309.7190879999998"/>
  </r>
  <r>
    <s v="TXN00009808"/>
    <s v="A00007914"/>
    <s v="PLC00007329"/>
    <d v="2019-07-18T00:00:00"/>
    <d v="2021-06-20T00:00:00"/>
    <d v="2021-06-20T00:00:00"/>
    <n v="0"/>
    <n v="73.81"/>
    <n v="885.72"/>
    <n v="2000"/>
    <s v="A"/>
    <n v="2000"/>
    <n v="1.5"/>
    <s v="Total Loss"/>
    <n v="18"/>
    <n v="33"/>
    <n v="0"/>
    <n v="3"/>
    <s v="L"/>
    <x v="2"/>
    <x v="1"/>
    <s v="Rent"/>
    <n v="0"/>
    <n v="1"/>
    <n v="1328.58"/>
    <n v="969.86339999999996"/>
    <n v="-1030.1366"/>
  </r>
  <r>
    <s v="TXN00009818"/>
    <s v="A00008903"/>
    <s v="PLC00001293"/>
    <d v="2014-07-05T00:00:00"/>
    <d v="2021-06-04T00:00:00"/>
    <d v="2021-06-09T00:00:00"/>
    <n v="5"/>
    <n v="128.41"/>
    <n v="1540.92"/>
    <n v="9000"/>
    <s v="A"/>
    <n v="9000"/>
    <n v="8"/>
    <s v="Major Loss"/>
    <n v="96"/>
    <n v="50"/>
    <n v="1"/>
    <n v="5"/>
    <s v="L"/>
    <x v="0"/>
    <x v="1"/>
    <s v="Rent"/>
    <n v="1"/>
    <n v="1"/>
    <n v="12327.36"/>
    <n v="8998.9727999999996"/>
    <n v="-1.0272000000004482"/>
  </r>
  <r>
    <s v="TXN00009833"/>
    <s v="A00007212"/>
    <s v="PLC00005257"/>
    <d v="2012-02-04T00:00:00"/>
    <d v="2021-06-19T00:00:00"/>
    <d v="2021-06-20T00:00:00"/>
    <n v="1"/>
    <n v="92.87"/>
    <n v="1114.44"/>
    <n v="7000"/>
    <s v="A"/>
    <n v="7000"/>
    <n v="7.5"/>
    <s v="Total Loss"/>
    <n v="90"/>
    <n v="36"/>
    <n v="1"/>
    <n v="7"/>
    <s v="L"/>
    <x v="1"/>
    <x v="6"/>
    <s v="Mortgage"/>
    <n v="1"/>
    <n v="1"/>
    <n v="8358.3000000000011"/>
    <n v="6101.5590000000002"/>
    <n v="-898.4409999999998"/>
  </r>
  <r>
    <s v="TXN00009841"/>
    <s v="A00001470"/>
    <s v="PLC00000588"/>
    <d v="2017-09-05T00:00:00"/>
    <d v="2021-06-10T00:00:00"/>
    <d v="2021-06-15T00:00:00"/>
    <n v="5"/>
    <n v="124.08"/>
    <n v="1488.96"/>
    <n v="4000"/>
    <s v="A"/>
    <n v="4000"/>
    <n v="2.58"/>
    <s v="Major Loss"/>
    <n v="31"/>
    <n v="61"/>
    <n v="1"/>
    <n v="6"/>
    <s v="L"/>
    <x v="2"/>
    <x v="1"/>
    <s v="Mortgage"/>
    <n v="1"/>
    <n v="0"/>
    <n v="3841.5168000000003"/>
    <n v="2804.307264"/>
    <n v="-1195.692736"/>
  </r>
  <r>
    <s v="TXN00009842"/>
    <s v="A00007916"/>
    <s v="PLC00003232"/>
    <d v="2014-06-15T00:00:00"/>
    <d v="2021-06-08T00:00:00"/>
    <d v="2021-06-13T00:00:00"/>
    <n v="5"/>
    <n v="86.75"/>
    <n v="1041"/>
    <n v="9000"/>
    <s v="A"/>
    <n v="9000"/>
    <n v="3.17"/>
    <s v="Minor Loss"/>
    <n v="38"/>
    <n v="60"/>
    <n v="1"/>
    <n v="5"/>
    <s v="M"/>
    <x v="0"/>
    <x v="0"/>
    <s v="Own"/>
    <n v="0"/>
    <n v="1"/>
    <n v="3299.97"/>
    <n v="2408.9780999999998"/>
    <n v="-6591.0218999999997"/>
  </r>
  <r>
    <s v="TXN00009856"/>
    <s v="A00001546"/>
    <s v="PLC00000061"/>
    <d v="2017-01-27T00:00:00"/>
    <d v="2021-06-21T00:00:00"/>
    <d v="2021-06-22T00:00:00"/>
    <n v="1"/>
    <n v="87.78"/>
    <n v="1053.3599999999999"/>
    <n v="4000"/>
    <s v="A"/>
    <n v="4000"/>
    <n v="2.75"/>
    <s v="Major Loss"/>
    <n v="33"/>
    <n v="26"/>
    <n v="0"/>
    <n v="2"/>
    <s v="H"/>
    <x v="1"/>
    <x v="0"/>
    <s v="Mortgage"/>
    <n v="0"/>
    <n v="0"/>
    <n v="2896.74"/>
    <n v="2114.6201999999998"/>
    <n v="-1885.3798000000002"/>
  </r>
  <r>
    <s v="TXN00009862"/>
    <s v="A00006077"/>
    <s v="PLC00002505"/>
    <d v="2013-03-08T00:00:00"/>
    <d v="2021-06-19T00:00:00"/>
    <d v="2021-06-21T00:00:00"/>
    <n v="2"/>
    <n v="93.16"/>
    <n v="1117.92"/>
    <n v="8000"/>
    <s v="A"/>
    <n v="8000"/>
    <n v="2.67"/>
    <s v="Total Loss"/>
    <n v="32"/>
    <n v="36"/>
    <n v="1"/>
    <n v="4"/>
    <s v="L"/>
    <x v="0"/>
    <x v="5"/>
    <s v="Mortgage"/>
    <n v="1"/>
    <n v="1"/>
    <n v="2984.8463999999999"/>
    <n v="2178.937872"/>
    <n v="-5821.0621279999996"/>
  </r>
  <r>
    <s v="TXN00009870"/>
    <s v="A00000450"/>
    <s v="PLC00005967"/>
    <d v="2017-11-24T00:00:00"/>
    <d v="2021-06-08T00:00:00"/>
    <d v="2021-06-13T00:00:00"/>
    <n v="5"/>
    <n v="88.81"/>
    <n v="1065.72"/>
    <n v="2000"/>
    <s v="A"/>
    <n v="2000"/>
    <n v="3.42"/>
    <s v="Total Loss"/>
    <n v="41"/>
    <n v="44"/>
    <n v="0"/>
    <n v="2"/>
    <s v="M"/>
    <x v="0"/>
    <x v="1"/>
    <s v="Mortgage"/>
    <n v="0"/>
    <n v="1"/>
    <n v="3644.7624000000001"/>
    <n v="2660.6765519999999"/>
    <n v="660.6765519999999"/>
  </r>
  <r>
    <s v="TXN00009877"/>
    <s v="A00002348"/>
    <s v="PLC00007263"/>
    <d v="2014-08-16T00:00:00"/>
    <d v="2021-06-14T00:00:00"/>
    <d v="2021-06-19T00:00:00"/>
    <n v="5"/>
    <n v="91.55"/>
    <n v="1098.5999999999999"/>
    <n v="4000"/>
    <s v="A"/>
    <n v="4000"/>
    <n v="7"/>
    <s v="Minor Loss"/>
    <n v="84"/>
    <n v="57"/>
    <n v="0"/>
    <n v="5"/>
    <s v="L"/>
    <x v="2"/>
    <x v="5"/>
    <s v="Own"/>
    <n v="0"/>
    <n v="0"/>
    <n v="7690.1999999999989"/>
    <n v="5613.8459999999986"/>
    <n v="1613.8459999999986"/>
  </r>
  <r>
    <s v="TXN00009882"/>
    <s v="A00003724"/>
    <s v="PLC00009867"/>
    <d v="2011-03-02T00:00:00"/>
    <d v="2021-06-10T00:00:00"/>
    <d v="2021-06-15T00:00:00"/>
    <n v="5"/>
    <n v="100.89"/>
    <n v="1210.68"/>
    <n v="3000"/>
    <s v="A"/>
    <n v="3000"/>
    <n v="6.17"/>
    <s v="Major Loss"/>
    <n v="74"/>
    <n v="54"/>
    <n v="1"/>
    <n v="5"/>
    <s v="M"/>
    <x v="0"/>
    <x v="4"/>
    <s v="Own"/>
    <n v="0"/>
    <n v="1"/>
    <n v="7469.8956000000007"/>
    <n v="5453.0237880000004"/>
    <n v="2453.0237880000004"/>
  </r>
  <r>
    <s v="TXN00009883"/>
    <s v="A00008187"/>
    <s v="PLC00008352"/>
    <d v="2015-09-24T00:00:00"/>
    <d v="2021-06-10T00:00:00"/>
    <d v="2021-06-15T00:00:00"/>
    <n v="5"/>
    <n v="119.02"/>
    <n v="1428.24"/>
    <n v="4000"/>
    <s v="A"/>
    <n v="4000"/>
    <n v="4.58"/>
    <s v="Major Loss"/>
    <n v="55"/>
    <n v="61"/>
    <n v="1"/>
    <n v="7"/>
    <s v="L"/>
    <x v="0"/>
    <x v="1"/>
    <s v="Rent"/>
    <n v="1"/>
    <n v="1"/>
    <n v="6541.3392000000003"/>
    <n v="4775.1776159999999"/>
    <n v="775.17761599999994"/>
  </r>
  <r>
    <s v="TXN00009886"/>
    <s v="A00001914"/>
    <s v="PLC00004144"/>
    <d v="2016-04-29T00:00:00"/>
    <d v="2021-06-22T00:00:00"/>
    <d v="2021-06-23T00:00:00"/>
    <n v="1"/>
    <n v="80.44"/>
    <n v="965.28"/>
    <n v="3000"/>
    <s v="A"/>
    <n v="3000"/>
    <n v="7"/>
    <s v="Major Loss"/>
    <n v="84"/>
    <n v="32"/>
    <n v="1"/>
    <n v="6"/>
    <s v="L"/>
    <x v="0"/>
    <x v="1"/>
    <s v="Rent"/>
    <n v="1"/>
    <n v="1"/>
    <n v="6756.96"/>
    <n v="4932.5807999999997"/>
    <n v="1932.5807999999997"/>
  </r>
  <r>
    <s v="TXN00009899"/>
    <s v="A00003496"/>
    <s v="PLC00001925"/>
    <d v="2018-01-30T00:00:00"/>
    <d v="2021-06-15T00:00:00"/>
    <d v="2021-06-20T00:00:00"/>
    <n v="5"/>
    <n v="76.349999999999994"/>
    <n v="916.2"/>
    <n v="7000"/>
    <s v="A"/>
    <n v="7000"/>
    <n v="4.33"/>
    <s v="Major Loss"/>
    <n v="52"/>
    <n v="47"/>
    <n v="0"/>
    <n v="7"/>
    <s v="M"/>
    <x v="2"/>
    <x v="4"/>
    <s v="Mortgage"/>
    <n v="1"/>
    <n v="1"/>
    <n v="3967.1460000000002"/>
    <n v="2896.01658"/>
    <n v="-4103.9834200000005"/>
  </r>
  <r>
    <s v="TXN00009908"/>
    <s v="A00009496"/>
    <s v="PLC00005341"/>
    <d v="2011-03-21T00:00:00"/>
    <d v="2021-06-18T00:00:00"/>
    <d v="2021-06-21T00:00:00"/>
    <n v="3"/>
    <n v="120.12"/>
    <n v="1441.44"/>
    <n v="9000"/>
    <s v="A"/>
    <n v="9000"/>
    <n v="7.33"/>
    <s v="Minor Loss"/>
    <n v="88"/>
    <n v="52"/>
    <n v="0"/>
    <n v="5"/>
    <s v="L"/>
    <x v="0"/>
    <x v="1"/>
    <s v="Own"/>
    <n v="0"/>
    <n v="1"/>
    <n v="10565.7552"/>
    <n v="7713.0012959999995"/>
    <n v="-1286.9987040000005"/>
  </r>
  <r>
    <s v="TXN00009913"/>
    <s v="A00009938"/>
    <s v="PLC00003316"/>
    <d v="2015-10-31T00:00:00"/>
    <d v="2021-06-23T00:00:00"/>
    <d v="2021-06-24T00:00:00"/>
    <n v="1"/>
    <n v="91.42"/>
    <n v="1097.04"/>
    <n v="5000"/>
    <s v="A"/>
    <n v="5000"/>
    <n v="7.08"/>
    <s v="Total Loss"/>
    <n v="85"/>
    <n v="37"/>
    <n v="0"/>
    <n v="4"/>
    <s v="H"/>
    <x v="0"/>
    <x v="3"/>
    <s v="Mortgage"/>
    <n v="1"/>
    <n v="1"/>
    <n v="7767.0432000000001"/>
    <n v="5669.9415360000003"/>
    <n v="669.94153600000027"/>
  </r>
  <r>
    <s v="TXN00009942"/>
    <s v="A00003218"/>
    <s v="PLC00001055"/>
    <d v="2015-12-09T00:00:00"/>
    <d v="2021-06-24T00:00:00"/>
    <d v="2021-06-25T00:00:00"/>
    <n v="1"/>
    <n v="73.2"/>
    <n v="878.4"/>
    <n v="2000"/>
    <s v="A"/>
    <n v="2000"/>
    <n v="2.42"/>
    <s v="Major Loss"/>
    <n v="29"/>
    <n v="61"/>
    <n v="1"/>
    <n v="6"/>
    <s v="L"/>
    <x v="0"/>
    <x v="4"/>
    <s v="Rent"/>
    <n v="1"/>
    <n v="1"/>
    <n v="2125.7280000000001"/>
    <n v="1551.78144"/>
    <n v="-448.21856000000002"/>
  </r>
  <r>
    <s v="TXN00009944"/>
    <s v="A00003655"/>
    <s v="PLC00008554"/>
    <d v="2018-05-31T00:00:00"/>
    <d v="2021-06-09T00:00:00"/>
    <d v="2021-06-14T00:00:00"/>
    <n v="5"/>
    <n v="98.9"/>
    <n v="1186.8"/>
    <n v="1000"/>
    <s v="A"/>
    <n v="1000"/>
    <n v="7.33"/>
    <s v="Minor Loss"/>
    <n v="88"/>
    <n v="35"/>
    <n v="0"/>
    <n v="6"/>
    <s v="L"/>
    <x v="2"/>
    <x v="0"/>
    <s v="Mortgage"/>
    <n v="0"/>
    <n v="0"/>
    <n v="8699.2440000000006"/>
    <n v="6350.44812"/>
    <n v="5350.44812"/>
  </r>
  <r>
    <s v="TXN00009945"/>
    <s v="A00005908"/>
    <s v="PLC00007429"/>
    <d v="2013-11-28T00:00:00"/>
    <d v="2021-06-09T00:00:00"/>
    <d v="2021-06-14T00:00:00"/>
    <n v="5"/>
    <n v="72.87"/>
    <n v="874.44"/>
    <n v="8000"/>
    <s v="A"/>
    <n v="8000"/>
    <n v="9.92"/>
    <s v="Major Loss"/>
    <n v="119"/>
    <n v="59"/>
    <n v="0"/>
    <n v="4"/>
    <s v="L"/>
    <x v="1"/>
    <x v="3"/>
    <s v="Rent"/>
    <n v="1"/>
    <n v="1"/>
    <n v="8674.4448000000011"/>
    <n v="6332.344704000001"/>
    <n v="-1667.655295999999"/>
  </r>
  <r>
    <s v="TXN00009954"/>
    <s v="A00009163"/>
    <s v="PLC00006207"/>
    <d v="2015-09-29T00:00:00"/>
    <d v="2021-06-25T00:00:00"/>
    <d v="2021-06-26T00:00:00"/>
    <n v="1"/>
    <n v="111.97"/>
    <n v="1343.64"/>
    <n v="4000"/>
    <s v="A"/>
    <n v="4000"/>
    <n v="4"/>
    <s v="Total Loss"/>
    <n v="48"/>
    <n v="33"/>
    <n v="0"/>
    <n v="3"/>
    <s v="H"/>
    <x v="1"/>
    <x v="0"/>
    <s v="Own"/>
    <n v="1"/>
    <n v="1"/>
    <n v="5374.56"/>
    <n v="3923.4288000000001"/>
    <n v="-76.571199999999862"/>
  </r>
  <r>
    <s v="TXN00009956"/>
    <s v="A00000989"/>
    <s v="PLC00000433"/>
    <d v="2018-02-22T00:00:00"/>
    <d v="2021-06-10T00:00:00"/>
    <d v="2021-06-15T00:00:00"/>
    <n v="5"/>
    <n v="100.9"/>
    <n v="1210.8"/>
    <n v="2000"/>
    <s v="A"/>
    <n v="2000"/>
    <n v="9.58"/>
    <s v="Major Loss"/>
    <n v="115"/>
    <n v="41"/>
    <n v="1"/>
    <n v="3"/>
    <s v="M"/>
    <x v="0"/>
    <x v="0"/>
    <s v="Mortgage"/>
    <n v="0"/>
    <n v="1"/>
    <n v="11599.464"/>
    <n v="8467.6087200000002"/>
    <n v="6467.6087200000002"/>
  </r>
  <r>
    <s v="TXN00009962"/>
    <s v="A00002458"/>
    <s v="PLC00005073"/>
    <d v="2011-11-23T00:00:00"/>
    <d v="2021-06-19T00:00:00"/>
    <d v="2021-06-22T00:00:00"/>
    <n v="3"/>
    <n v="112.24"/>
    <n v="1346.88"/>
    <n v="3000"/>
    <s v="A"/>
    <n v="3000"/>
    <n v="4.42"/>
    <s v="Minor Loss"/>
    <n v="53"/>
    <n v="26"/>
    <n v="0"/>
    <n v="5"/>
    <s v="L"/>
    <x v="1"/>
    <x v="0"/>
    <s v="Mortgage"/>
    <n v="1"/>
    <n v="1"/>
    <n v="5953.2096000000001"/>
    <n v="4345.8430079999998"/>
    <n v="1345.8430079999998"/>
  </r>
  <r>
    <s v="TXN00009965"/>
    <s v="A00004219"/>
    <s v="PLC00002489"/>
    <d v="2016-01-09T00:00:00"/>
    <d v="2021-06-22T00:00:00"/>
    <d v="2021-06-24T00:00:00"/>
    <n v="2"/>
    <n v="112.77"/>
    <n v="1353.24"/>
    <n v="4000"/>
    <s v="A"/>
    <n v="4000"/>
    <n v="2.33"/>
    <s v="Total Loss"/>
    <n v="28"/>
    <n v="38"/>
    <n v="1"/>
    <n v="3"/>
    <s v="L"/>
    <x v="1"/>
    <x v="3"/>
    <s v="Rent"/>
    <n v="1"/>
    <n v="1"/>
    <n v="3153.0491999999999"/>
    <n v="2301.7259159999999"/>
    <n v="-1698.2740840000001"/>
  </r>
  <r>
    <s v="TXN00009966"/>
    <s v="A00007289"/>
    <s v="PLC00004434"/>
    <d v="2014-02-28T00:00:00"/>
    <d v="2021-06-10T00:00:00"/>
    <d v="2021-06-15T00:00:00"/>
    <n v="5"/>
    <n v="118.38"/>
    <n v="1420.56"/>
    <n v="7000"/>
    <s v="A"/>
    <n v="7000"/>
    <n v="4.08"/>
    <s v="Major Loss"/>
    <n v="49"/>
    <n v="43"/>
    <n v="1"/>
    <n v="3"/>
    <s v="L"/>
    <x v="0"/>
    <x v="0"/>
    <s v="Mortgage"/>
    <n v="1"/>
    <n v="1"/>
    <n v="5795.8847999999998"/>
    <n v="4230.9959039999994"/>
    <n v="-2769.0040960000006"/>
  </r>
  <r>
    <s v="TXN00009969"/>
    <s v="A00000660"/>
    <s v="PLC00005482"/>
    <d v="2018-09-11T00:00:00"/>
    <d v="2021-06-15T00:00:00"/>
    <d v="2021-06-20T00:00:00"/>
    <n v="5"/>
    <n v="72.959999999999994"/>
    <n v="875.52"/>
    <n v="7000"/>
    <s v="D"/>
    <n v="0"/>
    <n v="9"/>
    <s v="Total Loss"/>
    <n v="108"/>
    <n v="41"/>
    <n v="1"/>
    <n v="3"/>
    <s v="M"/>
    <x v="0"/>
    <x v="5"/>
    <s v="Own"/>
    <n v="1"/>
    <n v="1"/>
    <n v="7879.68"/>
    <n v="5752.1664000000001"/>
    <n v="5752.1664000000001"/>
  </r>
  <r>
    <s v="TXN00009975"/>
    <s v="A00006567"/>
    <s v="PLC00002837"/>
    <d v="2015-08-27T00:00:00"/>
    <d v="2021-06-23T00:00:00"/>
    <d v="2021-06-25T00:00:00"/>
    <n v="2"/>
    <n v="115.6"/>
    <n v="1387.2"/>
    <n v="10000"/>
    <s v="A"/>
    <n v="10000"/>
    <n v="9"/>
    <s v="Minor Loss"/>
    <n v="108"/>
    <n v="48"/>
    <n v="0"/>
    <n v="6"/>
    <s v="M"/>
    <x v="2"/>
    <x v="4"/>
    <s v="Rent"/>
    <n v="1"/>
    <n v="1"/>
    <n v="12484.800000000001"/>
    <n v="9113.9040000000005"/>
    <n v="-886.09599999999955"/>
  </r>
  <r>
    <s v="TXN00009976"/>
    <s v="A00002659"/>
    <s v="PLC00005667"/>
    <d v="2019-10-15T00:00:00"/>
    <d v="2021-06-24T00:00:00"/>
    <d v="2021-06-26T00:00:00"/>
    <n v="2"/>
    <n v="134.69"/>
    <n v="1616.28"/>
    <n v="4000"/>
    <s v="A"/>
    <n v="4000"/>
    <n v="5"/>
    <s v="Total Loss"/>
    <n v="60"/>
    <n v="34"/>
    <n v="1"/>
    <n v="3"/>
    <s v="L"/>
    <x v="0"/>
    <x v="5"/>
    <s v="Rent"/>
    <n v="1"/>
    <n v="1"/>
    <n v="8081.4"/>
    <n v="5899.4219999999996"/>
    <n v="1899.4219999999996"/>
  </r>
  <r>
    <s v="TXN00009981"/>
    <s v="A00002277"/>
    <s v="PLC00003903"/>
    <d v="2019-09-10T00:00:00"/>
    <d v="2021-06-11T00:00:00"/>
    <d v="2021-06-16T00:00:00"/>
    <n v="5"/>
    <n v="70.28"/>
    <n v="843.36"/>
    <n v="9000"/>
    <s v="A"/>
    <n v="9000"/>
    <n v="0.67"/>
    <s v="Minor Loss"/>
    <n v="8"/>
    <n v="28"/>
    <n v="1"/>
    <n v="7"/>
    <s v="H"/>
    <x v="0"/>
    <x v="1"/>
    <s v="Rent"/>
    <n v="1"/>
    <n v="0"/>
    <n v="565.05119999999999"/>
    <n v="412.48737599999998"/>
    <n v="-8587.5126240000009"/>
  </r>
  <r>
    <s v="TXN00009991"/>
    <s v="A00007116"/>
    <s v="PLC00009899"/>
    <d v="2019-07-07T00:00:00"/>
    <d v="2021-06-15T00:00:00"/>
    <d v="2021-06-20T00:00:00"/>
    <n v="5"/>
    <n v="121.84"/>
    <n v="1462.08"/>
    <n v="7000"/>
    <s v="A"/>
    <n v="7000"/>
    <n v="4.33"/>
    <s v="Minor Loss"/>
    <n v="52"/>
    <n v="46"/>
    <n v="0"/>
    <n v="6"/>
    <s v="H"/>
    <x v="1"/>
    <x v="1"/>
    <s v="Own"/>
    <n v="1"/>
    <n v="1"/>
    <n v="6330.8063999999995"/>
    <n v="4621.4886719999995"/>
    <n v="-2378.5113280000005"/>
  </r>
  <r>
    <s v="TXN00009996"/>
    <s v="A00006029"/>
    <s v="PLC00007245"/>
    <d v="2014-04-11T00:00:00"/>
    <d v="2021-06-25T00:00:00"/>
    <d v="2021-06-26T00:00:00"/>
    <n v="1"/>
    <n v="105.75"/>
    <n v="1269"/>
    <n v="1000"/>
    <s v="A"/>
    <n v="1000"/>
    <n v="8.17"/>
    <s v="Minor Loss"/>
    <n v="98"/>
    <n v="45"/>
    <n v="0"/>
    <n v="3"/>
    <s v="M"/>
    <x v="0"/>
    <x v="6"/>
    <s v="Own"/>
    <n v="1"/>
    <n v="1"/>
    <n v="10367.73"/>
    <n v="7568.4428999999991"/>
    <n v="6568.4428999999991"/>
  </r>
  <r>
    <s v="TXN00009999"/>
    <s v="A00006694"/>
    <s v="PLC00001781"/>
    <d v="2016-01-29T00:00:00"/>
    <d v="2021-06-16T00:00:00"/>
    <d v="2021-06-21T00:00:00"/>
    <n v="5"/>
    <n v="113.46"/>
    <n v="1361.52"/>
    <n v="2000"/>
    <s v="A"/>
    <n v="2000"/>
    <n v="3.67"/>
    <s v="Total Loss"/>
    <n v="44"/>
    <n v="61"/>
    <n v="1"/>
    <n v="7"/>
    <s v="M"/>
    <x v="0"/>
    <x v="1"/>
    <s v="Rent"/>
    <n v="0"/>
    <n v="1"/>
    <n v="4996.7784000000001"/>
    <n v="3647.648232"/>
    <n v="1647.648232"/>
  </r>
  <r>
    <m/>
    <m/>
    <m/>
    <m/>
    <m/>
    <m/>
    <m/>
    <m/>
    <m/>
    <m/>
    <m/>
    <m/>
    <m/>
    <m/>
    <m/>
    <m/>
    <m/>
    <m/>
    <m/>
    <x v="3"/>
    <x v="7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5CA23-A0AD-40E6-A0E5-81A2686054AA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6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lifetime_value" fld="2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E6035-FD85-4A7E-9650-CD18C0ECAB42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9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4"/>
        <item x="0"/>
        <item x="3"/>
        <item x="5"/>
        <item x="2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lifetime_value" fld="2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6ABB3-624F-4F57-96BC-7675C142BAA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lifetime_value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4FD5F-7FB9-4DA6-ACF1-49509EA3EEFC}" name="Table1" displayName="Table1" ref="A1:AA1575" totalsRowShown="0">
  <autoFilter ref="A1:AA1575" xr:uid="{B474FD5F-7FB9-4DA6-ACF1-49509EA3EEFC}"/>
  <tableColumns count="27">
    <tableColumn id="1" xr3:uid="{BE051935-387D-46C4-AF4A-8BDEB6223C1E}" name="transaction_id"/>
    <tableColumn id="2" xr3:uid="{92C9AB9C-E5E0-4F40-983D-E02C05D79C3F}" name="customer_id"/>
    <tableColumn id="3" xr3:uid="{4BBDD47E-284E-445A-9761-A54D00CF00FB}" name="policy_number"/>
    <tableColumn id="4" xr3:uid="{FBCAFF98-1832-49C0-B8FC-54B16729BEEC}" name="policy_eff_dt" dataDxfId="5"/>
    <tableColumn id="5" xr3:uid="{3FC86070-3685-4B65-B17D-80ED224B7B9C}" name="loss_dt" dataDxfId="4"/>
    <tableColumn id="6" xr3:uid="{FD9F194D-01C4-4150-BAF8-8F12F789BA06}" name="report_dt" dataDxfId="3"/>
    <tableColumn id="7" xr3:uid="{83E0FA68-4289-4212-9034-ACD741704DD5}" name="reporting_delay_days"/>
    <tableColumn id="8" xr3:uid="{6BF3DE95-B5E8-4398-9D96-843C54F6D75B}" name="premium_monthly"/>
    <tableColumn id="9" xr3:uid="{AA197F07-356F-42A3-BBEC-D60D1F563FBD}" name="premium_yearly"/>
    <tableColumn id="10" xr3:uid="{B558FEBE-EBB5-46CD-9B8A-892FD0295BAE}" name="claim_amount"/>
    <tableColumn id="11" xr3:uid="{76CDEA06-55AE-426B-B63A-43D16A643FA1}" name="claim_status"/>
    <tableColumn id="12" xr3:uid="{DE1DA99A-DC7E-4F4A-A351-47CA55595049}" name="claim_amount_paid"/>
    <tableColumn id="13" xr3:uid="{41B723AA-F823-43D4-B26B-3F729F502CC7}" name="tenure_years"/>
    <tableColumn id="14" xr3:uid="{303D3129-5A98-4A16-AA59-503E8942ACBE}" name="incident_severity"/>
    <tableColumn id="15" xr3:uid="{9E74A167-0ECB-48CA-BDF8-CC4AAB0370EC}" name="tenure_months"/>
    <tableColumn id="16" xr3:uid="{A51969AE-8775-4463-9D83-C87142C5942C}" name="age"/>
    <tableColumn id="17" xr3:uid="{E3C1BE4C-95C8-4BE0-B1EF-9324C17025AB}" name="marital_status"/>
    <tableColumn id="18" xr3:uid="{A14DE33B-5423-4DCD-96A5-E61BB3B0D3AE}" name="no_of_family_members"/>
    <tableColumn id="19" xr3:uid="{7369F313-586D-41B1-A804-787E80E00317}" name="risk_segmentation"/>
    <tableColumn id="20" xr3:uid="{9FC9CCCF-9BAC-414A-B51C-7602135FF583}" name="social_class"/>
    <tableColumn id="21" xr3:uid="{D4CB2DDC-9143-4AD8-8558-01790EA3CC9A}" name="customer_education_level"/>
    <tableColumn id="22" xr3:uid="{238741FE-DCAB-4669-884A-20E8664056A0}" name="house_type"/>
    <tableColumn id="23" xr3:uid="{974836C0-4C42-478C-9FF3-D375A62632CD}" name="any_injury"/>
    <tableColumn id="24" xr3:uid="{2BE17F77-2EF8-4CF5-9724-34EB450F7207}" name="police_report_available"/>
    <tableColumn id="25" xr3:uid="{FDC0071F-BB56-4C19-B49B-493FB6D92533}" name="total_collected_premiums" dataDxfId="2">
      <calculatedColumnFormula>Table1[[#This Row],[premium_yearly]]*Table1[[#This Row],[tenure_years]]</calculatedColumnFormula>
    </tableColumn>
    <tableColumn id="26" xr3:uid="{004E99CB-D152-4E32-AF13-61B8A900950B}" name="retained_premium" dataDxfId="1">
      <calculatedColumnFormula>Table1[[#This Row],[total_collected_premiums]]*(1-$AD$2)</calculatedColumnFormula>
    </tableColumn>
    <tableColumn id="27" xr3:uid="{6E380357-FCB4-41DA-AFA0-F046941D204F}" name="lifetime_value" dataDxfId="0">
      <calculatedColumnFormula>Table1[[#This Row],[retained_premium]]-Table1[[#This Row],[claim_amount_paid]]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D394-660B-476B-8A33-7D908030AFAA}">
  <dimension ref="A3:E26"/>
  <sheetViews>
    <sheetView tabSelected="1" zoomScale="80" workbookViewId="0">
      <selection activeCell="D6" sqref="D6"/>
    </sheetView>
  </sheetViews>
  <sheetFormatPr defaultRowHeight="14.5" x14ac:dyDescent="0.35"/>
  <cols>
    <col min="1" max="1" width="12.453125" bestFit="1" customWidth="1"/>
    <col min="2" max="2" width="21.90625" bestFit="1" customWidth="1"/>
  </cols>
  <sheetData>
    <row r="3" spans="1:5" x14ac:dyDescent="0.35">
      <c r="A3" s="5" t="s">
        <v>4788</v>
      </c>
      <c r="B3" t="s">
        <v>4791</v>
      </c>
      <c r="D3" t="s">
        <v>4793</v>
      </c>
    </row>
    <row r="4" spans="1:5" x14ac:dyDescent="0.35">
      <c r="A4" s="6" t="s">
        <v>37</v>
      </c>
      <c r="B4" s="7">
        <v>-549.10242196190484</v>
      </c>
      <c r="D4">
        <f>COUNTIF(Table1[risk_segmentation], "H")</f>
        <v>210</v>
      </c>
    </row>
    <row r="5" spans="1:5" x14ac:dyDescent="0.35">
      <c r="A5" s="6" t="s">
        <v>29</v>
      </c>
      <c r="B5" s="7">
        <v>-270.1470395251398</v>
      </c>
      <c r="D5">
        <f>COUNTIF(Table1[risk_segmentation], "l")</f>
        <v>716</v>
      </c>
    </row>
    <row r="6" spans="1:5" x14ac:dyDescent="0.35">
      <c r="A6" s="6" t="s">
        <v>65</v>
      </c>
      <c r="B6" s="7">
        <v>-531.59029433333399</v>
      </c>
      <c r="D6">
        <f>COUNTIF(Table1[risk_segmentation], "m")</f>
        <v>648</v>
      </c>
    </row>
    <row r="7" spans="1:5" x14ac:dyDescent="0.35">
      <c r="A7" s="6" t="s">
        <v>4789</v>
      </c>
      <c r="B7" s="7"/>
    </row>
    <row r="8" spans="1:5" x14ac:dyDescent="0.35">
      <c r="A8" s="6" t="s">
        <v>4790</v>
      </c>
      <c r="B8" s="7">
        <v>-414.99828439644233</v>
      </c>
    </row>
    <row r="10" spans="1:5" x14ac:dyDescent="0.35">
      <c r="A10" s="5" t="s">
        <v>4788</v>
      </c>
      <c r="B10" t="s">
        <v>4791</v>
      </c>
    </row>
    <row r="11" spans="1:5" x14ac:dyDescent="0.35">
      <c r="A11" s="6" t="s">
        <v>38</v>
      </c>
      <c r="B11" s="7">
        <v>-390.09984958490571</v>
      </c>
      <c r="D11">
        <f>COUNTIF(Table1[customer_education_level], "bachelor")</f>
        <v>636</v>
      </c>
    </row>
    <row r="12" spans="1:5" x14ac:dyDescent="0.35">
      <c r="A12" s="6" t="s">
        <v>66</v>
      </c>
      <c r="B12" s="7">
        <v>362.56283023899357</v>
      </c>
      <c r="D12">
        <f>COUNTIF(Table1[customer_education_level], "cOLLEGE")</f>
        <v>159</v>
      </c>
      <c r="E12" t="s">
        <v>4792</v>
      </c>
    </row>
    <row r="13" spans="1:5" x14ac:dyDescent="0.35">
      <c r="A13" s="6" t="s">
        <v>31</v>
      </c>
      <c r="B13" s="7">
        <v>-455.07240419565233</v>
      </c>
      <c r="D13">
        <f>COUNTIF(Table1[customer_education_level], "HIGH SCHool")</f>
        <v>368</v>
      </c>
    </row>
    <row r="14" spans="1:5" x14ac:dyDescent="0.35">
      <c r="A14" s="6" t="s">
        <v>58</v>
      </c>
      <c r="B14" s="7">
        <v>-613.3672701707319</v>
      </c>
      <c r="D14">
        <f>COUNTIF(Table1[customer_education_level], "MASTERS")</f>
        <v>164</v>
      </c>
    </row>
    <row r="15" spans="1:5" x14ac:dyDescent="0.35">
      <c r="A15" s="6" t="s">
        <v>88</v>
      </c>
      <c r="B15" s="7">
        <v>-783.61015260606052</v>
      </c>
      <c r="D15">
        <f>COUNTIF(Table1[customer_education_level], "MD")</f>
        <v>99</v>
      </c>
    </row>
    <row r="16" spans="1:5" x14ac:dyDescent="0.35">
      <c r="A16" s="6" t="s">
        <v>51</v>
      </c>
      <c r="B16" s="7">
        <v>-1074.7518821538458</v>
      </c>
      <c r="D16">
        <f>COUNTIF(Table1[customer_education_level], "NA")</f>
        <v>78</v>
      </c>
    </row>
    <row r="17" spans="1:4" x14ac:dyDescent="0.35">
      <c r="A17" s="6" t="s">
        <v>107</v>
      </c>
      <c r="B17" s="7">
        <v>-475.49080491428572</v>
      </c>
      <c r="D17">
        <f>COUNTIF(Table1[customer_education_level], "PHD")</f>
        <v>70</v>
      </c>
    </row>
    <row r="18" spans="1:4" x14ac:dyDescent="0.35">
      <c r="A18" s="6" t="s">
        <v>4789</v>
      </c>
      <c r="B18" s="7"/>
    </row>
    <row r="19" spans="1:4" x14ac:dyDescent="0.35">
      <c r="A19" s="6" t="s">
        <v>4790</v>
      </c>
      <c r="B19" s="7">
        <v>-414.99828439644239</v>
      </c>
    </row>
    <row r="21" spans="1:4" x14ac:dyDescent="0.35">
      <c r="A21" s="5" t="s">
        <v>4788</v>
      </c>
      <c r="B21" t="s">
        <v>4791</v>
      </c>
    </row>
    <row r="22" spans="1:4" x14ac:dyDescent="0.35">
      <c r="A22" s="6" t="s">
        <v>44</v>
      </c>
      <c r="B22" s="7">
        <v>-417.69274338227859</v>
      </c>
      <c r="D22">
        <f>COUNTIF(Table1[social_class], "HI")</f>
        <v>395</v>
      </c>
    </row>
    <row r="23" spans="1:4" x14ac:dyDescent="0.35">
      <c r="A23" s="6" t="s">
        <v>50</v>
      </c>
      <c r="B23" s="7">
        <v>-182.90421817745812</v>
      </c>
      <c r="D23">
        <f>COUNTIF(Table1[social_class], "LI")</f>
        <v>417</v>
      </c>
    </row>
    <row r="24" spans="1:4" x14ac:dyDescent="0.35">
      <c r="A24" s="6" t="s">
        <v>30</v>
      </c>
      <c r="B24" s="7">
        <v>-540.61365751181086</v>
      </c>
      <c r="D24">
        <f>COUNTIF(Table1[social_class], "MI")</f>
        <v>762</v>
      </c>
    </row>
    <row r="25" spans="1:4" x14ac:dyDescent="0.35">
      <c r="A25" s="6" t="s">
        <v>4789</v>
      </c>
      <c r="B25" s="7"/>
    </row>
    <row r="26" spans="1:4" x14ac:dyDescent="0.35">
      <c r="A26" s="6" t="s">
        <v>4790</v>
      </c>
      <c r="B26" s="7">
        <v>-414.99828439644301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603A-E43A-4C50-BBCE-0FB5A6B4E793}">
  <dimension ref="A1:AG1575"/>
  <sheetViews>
    <sheetView workbookViewId="0">
      <pane ySplit="1" topLeftCell="A2" activePane="bottomLeft" state="frozen"/>
      <selection pane="bottomLeft" activeCell="AA1" sqref="A1:AA1048576"/>
    </sheetView>
  </sheetViews>
  <sheetFormatPr defaultRowHeight="14.5" x14ac:dyDescent="0.35"/>
  <cols>
    <col min="1" max="1" width="14.81640625" customWidth="1"/>
    <col min="2" max="2" width="13.1796875" customWidth="1"/>
    <col min="3" max="3" width="15.26953125" customWidth="1"/>
    <col min="4" max="4" width="13.54296875" customWidth="1"/>
    <col min="5" max="5" width="10.08984375" bestFit="1" customWidth="1"/>
    <col min="6" max="6" width="10.36328125" customWidth="1"/>
    <col min="7" max="7" width="20.453125" customWidth="1"/>
    <col min="8" max="8" width="18.1796875" customWidth="1"/>
    <col min="9" max="9" width="16.26953125" customWidth="1"/>
    <col min="10" max="10" width="14.81640625" customWidth="1"/>
    <col min="11" max="11" width="13.54296875" customWidth="1"/>
    <col min="12" max="12" width="19.36328125" customWidth="1"/>
    <col min="13" max="13" width="13.54296875" customWidth="1"/>
    <col min="14" max="14" width="17.1796875" customWidth="1"/>
    <col min="15" max="15" width="15.453125" customWidth="1"/>
    <col min="16" max="16" width="5.7265625" customWidth="1"/>
    <col min="17" max="17" width="14.81640625" customWidth="1"/>
    <col min="18" max="18" width="22.1796875" customWidth="1"/>
    <col min="19" max="19" width="18.1796875" customWidth="1"/>
    <col min="20" max="20" width="13" customWidth="1"/>
    <col min="21" max="21" width="24.81640625" customWidth="1"/>
    <col min="22" max="22" width="12.36328125" customWidth="1"/>
    <col min="23" max="23" width="11.453125" customWidth="1"/>
    <col min="24" max="24" width="22.26953125" customWidth="1"/>
    <col min="25" max="25" width="25.1796875" style="2" bestFit="1" customWidth="1"/>
    <col min="26" max="26" width="15.1796875" bestFit="1" customWidth="1"/>
    <col min="27" max="27" width="16.4531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2" t="s">
        <v>4767</v>
      </c>
      <c r="Z1" t="s">
        <v>4771</v>
      </c>
      <c r="AA1" t="s">
        <v>4769</v>
      </c>
      <c r="AD1" t="s">
        <v>4770</v>
      </c>
    </row>
    <row r="2" spans="1:33" x14ac:dyDescent="0.35">
      <c r="A2" t="s">
        <v>24</v>
      </c>
      <c r="B2" t="s">
        <v>25</v>
      </c>
      <c r="C2" t="s">
        <v>26</v>
      </c>
      <c r="D2" s="1">
        <v>43464</v>
      </c>
      <c r="E2" s="1">
        <v>43965</v>
      </c>
      <c r="F2" s="1">
        <v>43970</v>
      </c>
      <c r="G2">
        <v>5</v>
      </c>
      <c r="H2">
        <v>83.77</v>
      </c>
      <c r="I2">
        <v>1005.24</v>
      </c>
      <c r="J2">
        <v>8000</v>
      </c>
      <c r="K2" t="s">
        <v>27</v>
      </c>
      <c r="L2">
        <v>8000</v>
      </c>
      <c r="M2">
        <v>8.08</v>
      </c>
      <c r="N2" t="s">
        <v>28</v>
      </c>
      <c r="O2">
        <v>97</v>
      </c>
      <c r="P2">
        <v>35</v>
      </c>
      <c r="Q2">
        <v>1</v>
      </c>
      <c r="R2">
        <v>3</v>
      </c>
      <c r="S2" t="s">
        <v>29</v>
      </c>
      <c r="T2" t="s">
        <v>30</v>
      </c>
      <c r="U2" t="s">
        <v>31</v>
      </c>
      <c r="V2" t="s">
        <v>32</v>
      </c>
      <c r="W2">
        <v>0</v>
      </c>
      <c r="X2">
        <v>1</v>
      </c>
      <c r="Y2" s="2">
        <f>Table1[[#This Row],[premium_yearly]]*Table1[[#This Row],[tenure_years]]</f>
        <v>8122.3392000000003</v>
      </c>
      <c r="Z2" s="2">
        <f>Table1[[#This Row],[total_collected_premiums]]*(1-$AD$2)</f>
        <v>5929.3076160000001</v>
      </c>
      <c r="AA2" s="2">
        <f>Table1[[#This Row],[retained_premium]]-Table1[[#This Row],[claim_amount_paid]]</f>
        <v>-2070.6923839999999</v>
      </c>
      <c r="AD2">
        <v>0.27</v>
      </c>
    </row>
    <row r="3" spans="1:33" x14ac:dyDescent="0.35">
      <c r="A3" t="s">
        <v>33</v>
      </c>
      <c r="B3" t="s">
        <v>34</v>
      </c>
      <c r="C3" t="s">
        <v>35</v>
      </c>
      <c r="D3" s="1">
        <v>43643</v>
      </c>
      <c r="E3" s="1">
        <v>43972</v>
      </c>
      <c r="F3" s="1">
        <v>43977</v>
      </c>
      <c r="G3">
        <v>5</v>
      </c>
      <c r="H3">
        <v>82.14</v>
      </c>
      <c r="I3">
        <v>985.68</v>
      </c>
      <c r="J3">
        <v>5000</v>
      </c>
      <c r="K3" t="s">
        <v>27</v>
      </c>
      <c r="L3">
        <v>5000</v>
      </c>
      <c r="M3">
        <v>9.83</v>
      </c>
      <c r="N3" t="s">
        <v>36</v>
      </c>
      <c r="O3">
        <v>118</v>
      </c>
      <c r="P3">
        <v>27</v>
      </c>
      <c r="Q3">
        <v>0</v>
      </c>
      <c r="R3">
        <v>4</v>
      </c>
      <c r="S3" t="s">
        <v>37</v>
      </c>
      <c r="T3" t="s">
        <v>30</v>
      </c>
      <c r="U3" t="s">
        <v>38</v>
      </c>
      <c r="V3" t="s">
        <v>39</v>
      </c>
      <c r="W3">
        <v>0</v>
      </c>
      <c r="X3">
        <v>1</v>
      </c>
      <c r="Y3" s="2">
        <f>Table1[[#This Row],[premium_yearly]]*Table1[[#This Row],[tenure_years]]</f>
        <v>9689.2343999999994</v>
      </c>
      <c r="Z3" s="2">
        <f>Table1[[#This Row],[total_collected_premiums]]*(1-$AD$2)</f>
        <v>7073.1411119999993</v>
      </c>
      <c r="AA3" s="2">
        <f>Table1[[#This Row],[retained_premium]]-Table1[[#This Row],[claim_amount_paid]]</f>
        <v>2073.1411119999993</v>
      </c>
    </row>
    <row r="4" spans="1:33" x14ac:dyDescent="0.35">
      <c r="A4" t="s">
        <v>40</v>
      </c>
      <c r="B4" t="s">
        <v>41</v>
      </c>
      <c r="C4" t="s">
        <v>42</v>
      </c>
      <c r="D4" s="1">
        <v>42573</v>
      </c>
      <c r="E4" s="1">
        <v>43972</v>
      </c>
      <c r="F4" s="1">
        <v>43977</v>
      </c>
      <c r="G4">
        <v>5</v>
      </c>
      <c r="H4">
        <v>101.15</v>
      </c>
      <c r="I4">
        <v>1213.8</v>
      </c>
      <c r="J4">
        <v>8000</v>
      </c>
      <c r="K4" t="s">
        <v>43</v>
      </c>
      <c r="L4">
        <v>0</v>
      </c>
      <c r="M4">
        <v>3.25</v>
      </c>
      <c r="N4" t="s">
        <v>36</v>
      </c>
      <c r="O4">
        <v>39</v>
      </c>
      <c r="P4">
        <v>42</v>
      </c>
      <c r="Q4">
        <v>1</v>
      </c>
      <c r="R4">
        <v>2</v>
      </c>
      <c r="S4" t="s">
        <v>37</v>
      </c>
      <c r="T4" t="s">
        <v>44</v>
      </c>
      <c r="U4" t="s">
        <v>31</v>
      </c>
      <c r="V4" t="s">
        <v>45</v>
      </c>
      <c r="W4">
        <v>1</v>
      </c>
      <c r="X4">
        <v>1</v>
      </c>
      <c r="Y4" s="2">
        <f>Table1[[#This Row],[premium_yearly]]*Table1[[#This Row],[tenure_years]]</f>
        <v>3944.85</v>
      </c>
      <c r="Z4" s="2">
        <f>Table1[[#This Row],[total_collected_premiums]]*(1-$AD$2)</f>
        <v>2879.7404999999999</v>
      </c>
      <c r="AA4" s="2">
        <f>Table1[[#This Row],[retained_premium]]-Table1[[#This Row],[claim_amount_paid]]</f>
        <v>2879.7404999999999</v>
      </c>
      <c r="AD4" t="s">
        <v>4768</v>
      </c>
    </row>
    <row r="5" spans="1:33" x14ac:dyDescent="0.35">
      <c r="A5" t="s">
        <v>46</v>
      </c>
      <c r="B5" t="s">
        <v>47</v>
      </c>
      <c r="C5" t="s">
        <v>48</v>
      </c>
      <c r="D5" s="1">
        <v>40568</v>
      </c>
      <c r="E5" s="1">
        <v>43963</v>
      </c>
      <c r="F5" s="1">
        <v>43968</v>
      </c>
      <c r="G5">
        <v>5</v>
      </c>
      <c r="H5">
        <v>128.72999999999999</v>
      </c>
      <c r="I5">
        <v>1544.76</v>
      </c>
      <c r="J5">
        <v>9000</v>
      </c>
      <c r="K5" t="s">
        <v>27</v>
      </c>
      <c r="L5">
        <v>9000</v>
      </c>
      <c r="M5">
        <v>4</v>
      </c>
      <c r="N5" t="s">
        <v>49</v>
      </c>
      <c r="O5">
        <v>48</v>
      </c>
      <c r="P5">
        <v>57</v>
      </c>
      <c r="Q5">
        <v>1</v>
      </c>
      <c r="R5">
        <v>2</v>
      </c>
      <c r="S5" t="s">
        <v>29</v>
      </c>
      <c r="T5" t="s">
        <v>50</v>
      </c>
      <c r="U5" t="s">
        <v>51</v>
      </c>
      <c r="V5" t="s">
        <v>32</v>
      </c>
      <c r="W5">
        <v>0</v>
      </c>
      <c r="X5">
        <v>1</v>
      </c>
      <c r="Y5" s="2">
        <f>Table1[[#This Row],[premium_yearly]]*Table1[[#This Row],[tenure_years]]</f>
        <v>6179.04</v>
      </c>
      <c r="Z5" s="2">
        <f>Table1[[#This Row],[total_collected_premiums]]*(1-$AD$2)</f>
        <v>4510.6992</v>
      </c>
      <c r="AA5" s="2">
        <f>Table1[[#This Row],[retained_premium]]-Table1[[#This Row],[claim_amount_paid]]</f>
        <v>-4489.3008</v>
      </c>
      <c r="AD5" t="s">
        <v>4772</v>
      </c>
    </row>
    <row r="6" spans="1:33" x14ac:dyDescent="0.35">
      <c r="A6" t="s">
        <v>52</v>
      </c>
      <c r="B6" t="s">
        <v>53</v>
      </c>
      <c r="C6" t="s">
        <v>54</v>
      </c>
      <c r="D6" s="1">
        <v>43042</v>
      </c>
      <c r="E6" s="1">
        <v>43978</v>
      </c>
      <c r="F6" s="1">
        <v>43979</v>
      </c>
      <c r="G6">
        <v>1</v>
      </c>
      <c r="H6">
        <v>116.55</v>
      </c>
      <c r="I6">
        <v>1398.6</v>
      </c>
      <c r="J6">
        <v>8000</v>
      </c>
      <c r="K6" t="s">
        <v>27</v>
      </c>
      <c r="L6">
        <v>8000</v>
      </c>
      <c r="M6">
        <v>5.75</v>
      </c>
      <c r="N6" t="s">
        <v>28</v>
      </c>
      <c r="O6">
        <v>69</v>
      </c>
      <c r="P6">
        <v>45</v>
      </c>
      <c r="Q6">
        <v>0</v>
      </c>
      <c r="R6">
        <v>4</v>
      </c>
      <c r="S6" t="s">
        <v>37</v>
      </c>
      <c r="T6" t="s">
        <v>30</v>
      </c>
      <c r="U6" t="s">
        <v>31</v>
      </c>
      <c r="V6" t="s">
        <v>39</v>
      </c>
      <c r="W6">
        <v>0</v>
      </c>
      <c r="X6">
        <v>1</v>
      </c>
      <c r="Y6" s="2">
        <f>Table1[[#This Row],[premium_yearly]]*Table1[[#This Row],[tenure_years]]</f>
        <v>8041.95</v>
      </c>
      <c r="Z6" s="2">
        <f>Table1[[#This Row],[total_collected_premiums]]*(1-$AD$2)</f>
        <v>5870.6234999999997</v>
      </c>
      <c r="AA6" s="2">
        <f>Table1[[#This Row],[retained_premium]]-Table1[[#This Row],[claim_amount_paid]]</f>
        <v>-2129.3765000000003</v>
      </c>
      <c r="AD6" t="s">
        <v>4773</v>
      </c>
    </row>
    <row r="7" spans="1:33" x14ac:dyDescent="0.35">
      <c r="A7" t="s">
        <v>55</v>
      </c>
      <c r="B7" t="s">
        <v>56</v>
      </c>
      <c r="C7" t="s">
        <v>57</v>
      </c>
      <c r="D7" s="1">
        <v>42191</v>
      </c>
      <c r="E7" s="1">
        <v>43971</v>
      </c>
      <c r="F7" s="1">
        <v>43976</v>
      </c>
      <c r="G7">
        <v>5</v>
      </c>
      <c r="H7">
        <v>89.11</v>
      </c>
      <c r="I7">
        <v>1069.32</v>
      </c>
      <c r="J7">
        <v>2000</v>
      </c>
      <c r="K7" t="s">
        <v>27</v>
      </c>
      <c r="L7">
        <v>2000</v>
      </c>
      <c r="M7">
        <v>5.5</v>
      </c>
      <c r="N7" t="s">
        <v>49</v>
      </c>
      <c r="O7">
        <v>66</v>
      </c>
      <c r="P7">
        <v>62</v>
      </c>
      <c r="Q7">
        <v>1</v>
      </c>
      <c r="R7">
        <v>4</v>
      </c>
      <c r="S7" t="s">
        <v>37</v>
      </c>
      <c r="T7" t="s">
        <v>44</v>
      </c>
      <c r="U7" t="s">
        <v>58</v>
      </c>
      <c r="V7" t="s">
        <v>45</v>
      </c>
      <c r="W7">
        <v>0</v>
      </c>
      <c r="X7">
        <v>1</v>
      </c>
      <c r="Y7" s="2">
        <f>Table1[[#This Row],[premium_yearly]]*Table1[[#This Row],[tenure_years]]</f>
        <v>5881.2599999999993</v>
      </c>
      <c r="Z7" s="2">
        <f>Table1[[#This Row],[total_collected_premiums]]*(1-$AD$2)</f>
        <v>4293.3197999999993</v>
      </c>
      <c r="AA7" s="2">
        <f>Table1[[#This Row],[retained_premium]]-Table1[[#This Row],[claim_amount_paid]]</f>
        <v>2293.3197999999993</v>
      </c>
    </row>
    <row r="8" spans="1:33" x14ac:dyDescent="0.35">
      <c r="A8" t="s">
        <v>59</v>
      </c>
      <c r="B8" t="s">
        <v>60</v>
      </c>
      <c r="C8" t="s">
        <v>61</v>
      </c>
      <c r="D8" s="1">
        <v>40521</v>
      </c>
      <c r="E8" s="1">
        <v>43977</v>
      </c>
      <c r="F8" s="1">
        <v>43979</v>
      </c>
      <c r="G8">
        <v>2</v>
      </c>
      <c r="H8">
        <v>117.72</v>
      </c>
      <c r="I8">
        <v>1412.64</v>
      </c>
      <c r="J8">
        <v>7000</v>
      </c>
      <c r="K8" t="s">
        <v>43</v>
      </c>
      <c r="L8">
        <v>0</v>
      </c>
      <c r="M8">
        <v>3.25</v>
      </c>
      <c r="N8" t="s">
        <v>36</v>
      </c>
      <c r="O8">
        <v>39</v>
      </c>
      <c r="P8">
        <v>31</v>
      </c>
      <c r="Q8">
        <v>0</v>
      </c>
      <c r="R8">
        <v>7</v>
      </c>
      <c r="S8" t="s">
        <v>29</v>
      </c>
      <c r="T8" t="s">
        <v>30</v>
      </c>
      <c r="U8" t="s">
        <v>31</v>
      </c>
      <c r="V8" t="s">
        <v>32</v>
      </c>
      <c r="W8">
        <v>0</v>
      </c>
      <c r="X8">
        <v>0</v>
      </c>
      <c r="Y8" s="2">
        <f>Table1[[#This Row],[premium_yearly]]*Table1[[#This Row],[tenure_years]]</f>
        <v>4591.08</v>
      </c>
      <c r="Z8" s="2">
        <f>Table1[[#This Row],[total_collected_premiums]]*(1-$AD$2)</f>
        <v>3351.4883999999997</v>
      </c>
      <c r="AA8" s="2">
        <f>Table1[[#This Row],[retained_premium]]-Table1[[#This Row],[claim_amount_paid]]</f>
        <v>3351.4883999999997</v>
      </c>
      <c r="AC8" t="s">
        <v>4774</v>
      </c>
      <c r="AD8">
        <f>AVERAGE(Table1[lifetime_value])</f>
        <v>-414.99828439644261</v>
      </c>
    </row>
    <row r="9" spans="1:33" x14ac:dyDescent="0.35">
      <c r="A9" t="s">
        <v>62</v>
      </c>
      <c r="B9" t="s">
        <v>63</v>
      </c>
      <c r="C9" t="s">
        <v>64</v>
      </c>
      <c r="D9" s="1">
        <v>42497</v>
      </c>
      <c r="E9" s="1">
        <v>43974</v>
      </c>
      <c r="F9" s="1">
        <v>43977</v>
      </c>
      <c r="G9">
        <v>3</v>
      </c>
      <c r="H9">
        <v>116.99</v>
      </c>
      <c r="I9">
        <v>1403.88</v>
      </c>
      <c r="J9">
        <v>10000</v>
      </c>
      <c r="K9" t="s">
        <v>27</v>
      </c>
      <c r="L9">
        <v>10000</v>
      </c>
      <c r="M9">
        <v>7.33</v>
      </c>
      <c r="N9" t="s">
        <v>49</v>
      </c>
      <c r="O9">
        <v>88</v>
      </c>
      <c r="P9">
        <v>51</v>
      </c>
      <c r="Q9">
        <v>0</v>
      </c>
      <c r="R9">
        <v>7</v>
      </c>
      <c r="S9" t="s">
        <v>65</v>
      </c>
      <c r="T9" t="s">
        <v>30</v>
      </c>
      <c r="U9" t="s">
        <v>66</v>
      </c>
      <c r="V9" t="s">
        <v>45</v>
      </c>
      <c r="W9">
        <v>0</v>
      </c>
      <c r="X9">
        <v>0</v>
      </c>
      <c r="Y9" s="2">
        <f>Table1[[#This Row],[premium_yearly]]*Table1[[#This Row],[tenure_years]]</f>
        <v>10290.440400000001</v>
      </c>
      <c r="Z9" s="2">
        <f>Table1[[#This Row],[total_collected_premiums]]*(1-$AD$2)</f>
        <v>7512.0214920000008</v>
      </c>
      <c r="AA9" s="2">
        <f>Table1[[#This Row],[retained_premium]]-Table1[[#This Row],[claim_amount_paid]]</f>
        <v>-2487.9785079999992</v>
      </c>
      <c r="AC9" t="s">
        <v>4775</v>
      </c>
      <c r="AD9">
        <f>MIN(Table1[lifetime_value])</f>
        <v>-9638.2996000000003</v>
      </c>
    </row>
    <row r="10" spans="1:33" x14ac:dyDescent="0.35">
      <c r="A10" t="s">
        <v>67</v>
      </c>
      <c r="B10" t="s">
        <v>68</v>
      </c>
      <c r="C10" t="s">
        <v>69</v>
      </c>
      <c r="D10" s="1">
        <v>41421</v>
      </c>
      <c r="E10" s="1">
        <v>43980</v>
      </c>
      <c r="F10" s="1">
        <v>43981</v>
      </c>
      <c r="G10">
        <v>1</v>
      </c>
      <c r="H10">
        <v>82.82</v>
      </c>
      <c r="I10">
        <v>993.84</v>
      </c>
      <c r="J10">
        <v>9000</v>
      </c>
      <c r="K10" t="s">
        <v>27</v>
      </c>
      <c r="L10">
        <v>9000</v>
      </c>
      <c r="M10">
        <v>2.83</v>
      </c>
      <c r="N10" t="s">
        <v>36</v>
      </c>
      <c r="O10">
        <v>34</v>
      </c>
      <c r="P10">
        <v>43</v>
      </c>
      <c r="Q10">
        <v>0</v>
      </c>
      <c r="R10">
        <v>7</v>
      </c>
      <c r="S10" t="s">
        <v>29</v>
      </c>
      <c r="T10" t="s">
        <v>30</v>
      </c>
      <c r="U10" t="s">
        <v>66</v>
      </c>
      <c r="V10" t="s">
        <v>39</v>
      </c>
      <c r="W10">
        <v>0</v>
      </c>
      <c r="X10">
        <v>0</v>
      </c>
      <c r="Y10" s="2">
        <f>Table1[[#This Row],[premium_yearly]]*Table1[[#This Row],[tenure_years]]</f>
        <v>2812.5672</v>
      </c>
      <c r="Z10" s="2">
        <f>Table1[[#This Row],[total_collected_premiums]]*(1-$AD$2)</f>
        <v>2053.1740559999998</v>
      </c>
      <c r="AA10" s="2">
        <f>Table1[[#This Row],[retained_premium]]-Table1[[#This Row],[claim_amount_paid]]</f>
        <v>-6946.8259440000002</v>
      </c>
      <c r="AC10" t="s">
        <v>4776</v>
      </c>
      <c r="AD10">
        <f>MAX(Table1[lifetime_value])</f>
        <v>10832.181056000001</v>
      </c>
    </row>
    <row r="11" spans="1:33" x14ac:dyDescent="0.35">
      <c r="A11" t="s">
        <v>70</v>
      </c>
      <c r="B11" t="s">
        <v>71</v>
      </c>
      <c r="C11" t="s">
        <v>72</v>
      </c>
      <c r="D11" s="1">
        <v>40361</v>
      </c>
      <c r="E11" s="1">
        <v>43970</v>
      </c>
      <c r="F11" s="1">
        <v>43975</v>
      </c>
      <c r="G11">
        <v>5</v>
      </c>
      <c r="H11">
        <v>92.71</v>
      </c>
      <c r="I11">
        <v>1112.52</v>
      </c>
      <c r="J11">
        <v>2000</v>
      </c>
      <c r="K11" t="s">
        <v>27</v>
      </c>
      <c r="L11">
        <v>2000</v>
      </c>
      <c r="M11">
        <v>8.5</v>
      </c>
      <c r="N11" t="s">
        <v>28</v>
      </c>
      <c r="O11">
        <v>102</v>
      </c>
      <c r="P11">
        <v>47</v>
      </c>
      <c r="Q11">
        <v>0</v>
      </c>
      <c r="R11">
        <v>2</v>
      </c>
      <c r="S11" t="s">
        <v>37</v>
      </c>
      <c r="T11" t="s">
        <v>30</v>
      </c>
      <c r="U11" t="s">
        <v>31</v>
      </c>
      <c r="V11" t="s">
        <v>39</v>
      </c>
      <c r="W11">
        <v>1</v>
      </c>
      <c r="X11">
        <v>1</v>
      </c>
      <c r="Y11" s="2">
        <f>Table1[[#This Row],[premium_yearly]]*Table1[[#This Row],[tenure_years]]</f>
        <v>9456.42</v>
      </c>
      <c r="Z11" s="2">
        <f>Table1[[#This Row],[total_collected_premiums]]*(1-$AD$2)</f>
        <v>6903.1866</v>
      </c>
      <c r="AA11" s="2">
        <f>Table1[[#This Row],[retained_premium]]-Table1[[#This Row],[claim_amount_paid]]</f>
        <v>4903.1866</v>
      </c>
      <c r="AC11" t="s">
        <v>4777</v>
      </c>
      <c r="AD11">
        <f>COUNTIF(Table1[lifetime_value],"&gt;0")</f>
        <v>710</v>
      </c>
      <c r="AE11" s="3" t="s">
        <v>4778</v>
      </c>
    </row>
    <row r="12" spans="1:33" x14ac:dyDescent="0.35">
      <c r="A12" t="s">
        <v>73</v>
      </c>
      <c r="B12" t="s">
        <v>74</v>
      </c>
      <c r="C12" t="s">
        <v>75</v>
      </c>
      <c r="D12" s="1">
        <v>41512</v>
      </c>
      <c r="E12" s="1">
        <v>43973</v>
      </c>
      <c r="F12" s="1">
        <v>43978</v>
      </c>
      <c r="G12">
        <v>5</v>
      </c>
      <c r="H12">
        <v>100.14</v>
      </c>
      <c r="I12">
        <v>1201.68</v>
      </c>
      <c r="J12">
        <v>7000</v>
      </c>
      <c r="K12" t="s">
        <v>27</v>
      </c>
      <c r="L12">
        <v>7000</v>
      </c>
      <c r="M12">
        <v>3</v>
      </c>
      <c r="N12" t="s">
        <v>36</v>
      </c>
      <c r="O12">
        <v>36</v>
      </c>
      <c r="P12">
        <v>33</v>
      </c>
      <c r="Q12">
        <v>1</v>
      </c>
      <c r="R12">
        <v>6</v>
      </c>
      <c r="S12" t="s">
        <v>29</v>
      </c>
      <c r="T12" t="s">
        <v>30</v>
      </c>
      <c r="U12" t="s">
        <v>31</v>
      </c>
      <c r="V12" t="s">
        <v>39</v>
      </c>
      <c r="W12">
        <v>1</v>
      </c>
      <c r="X12">
        <v>1</v>
      </c>
      <c r="Y12" s="2">
        <f>Table1[[#This Row],[premium_yearly]]*Table1[[#This Row],[tenure_years]]</f>
        <v>3605.04</v>
      </c>
      <c r="Z12" s="2">
        <f>Table1[[#This Row],[total_collected_premiums]]*(1-$AD$2)</f>
        <v>2631.6792</v>
      </c>
      <c r="AA12" s="2">
        <f>Table1[[#This Row],[retained_premium]]-Table1[[#This Row],[claim_amount_paid]]</f>
        <v>-4368.3207999999995</v>
      </c>
      <c r="AC12" t="s">
        <v>4780</v>
      </c>
      <c r="AD12">
        <f>COUNTIF(Table1[lifetime_value],"&lt;0")</f>
        <v>864</v>
      </c>
      <c r="AE12" s="4" t="s">
        <v>4779</v>
      </c>
    </row>
    <row r="13" spans="1:33" x14ac:dyDescent="0.35">
      <c r="A13" t="s">
        <v>76</v>
      </c>
      <c r="B13" t="s">
        <v>77</v>
      </c>
      <c r="C13" t="s">
        <v>78</v>
      </c>
      <c r="D13" s="1">
        <v>42699</v>
      </c>
      <c r="E13" s="1">
        <v>43965</v>
      </c>
      <c r="F13" s="1">
        <v>43970</v>
      </c>
      <c r="G13">
        <v>5</v>
      </c>
      <c r="H13">
        <v>109.33</v>
      </c>
      <c r="I13">
        <v>1311.96</v>
      </c>
      <c r="J13">
        <v>6000</v>
      </c>
      <c r="K13" t="s">
        <v>27</v>
      </c>
      <c r="L13">
        <v>6000</v>
      </c>
      <c r="M13">
        <v>5.75</v>
      </c>
      <c r="N13" t="s">
        <v>28</v>
      </c>
      <c r="O13">
        <v>69</v>
      </c>
      <c r="P13">
        <v>50</v>
      </c>
      <c r="Q13">
        <v>1</v>
      </c>
      <c r="R13">
        <v>6</v>
      </c>
      <c r="S13" t="s">
        <v>29</v>
      </c>
      <c r="T13" t="s">
        <v>44</v>
      </c>
      <c r="U13" t="s">
        <v>38</v>
      </c>
      <c r="V13" t="s">
        <v>32</v>
      </c>
      <c r="W13">
        <v>1</v>
      </c>
      <c r="X13">
        <v>1</v>
      </c>
      <c r="Y13" s="2">
        <f>Table1[[#This Row],[premium_yearly]]*Table1[[#This Row],[tenure_years]]</f>
        <v>7543.77</v>
      </c>
      <c r="Z13" s="2">
        <f>Table1[[#This Row],[total_collected_premiums]]*(1-$AD$2)</f>
        <v>5506.9521000000004</v>
      </c>
      <c r="AA13" s="2">
        <f>Table1[[#This Row],[retained_premium]]-Table1[[#This Row],[claim_amount_paid]]</f>
        <v>-493.04789999999957</v>
      </c>
    </row>
    <row r="14" spans="1:33" x14ac:dyDescent="0.35">
      <c r="A14" t="s">
        <v>79</v>
      </c>
      <c r="B14" t="s">
        <v>80</v>
      </c>
      <c r="C14" t="s">
        <v>81</v>
      </c>
      <c r="D14" s="1">
        <v>41833</v>
      </c>
      <c r="E14" s="1">
        <v>43979</v>
      </c>
      <c r="F14" s="1">
        <v>43981</v>
      </c>
      <c r="G14">
        <v>2</v>
      </c>
      <c r="H14">
        <v>126.63</v>
      </c>
      <c r="I14">
        <v>1519.56</v>
      </c>
      <c r="J14">
        <v>1000</v>
      </c>
      <c r="K14" t="s">
        <v>27</v>
      </c>
      <c r="L14">
        <v>1000</v>
      </c>
      <c r="M14">
        <v>2.92</v>
      </c>
      <c r="N14" t="s">
        <v>36</v>
      </c>
      <c r="O14">
        <v>35</v>
      </c>
      <c r="P14">
        <v>34</v>
      </c>
      <c r="Q14">
        <v>1</v>
      </c>
      <c r="R14">
        <v>4</v>
      </c>
      <c r="S14" t="s">
        <v>29</v>
      </c>
      <c r="T14" t="s">
        <v>44</v>
      </c>
      <c r="U14" t="s">
        <v>38</v>
      </c>
      <c r="V14" t="s">
        <v>39</v>
      </c>
      <c r="W14">
        <v>0</v>
      </c>
      <c r="X14">
        <v>1</v>
      </c>
      <c r="Y14" s="2">
        <f>Table1[[#This Row],[premium_yearly]]*Table1[[#This Row],[tenure_years]]</f>
        <v>4437.1152000000002</v>
      </c>
      <c r="Z14" s="2">
        <f>Table1[[#This Row],[total_collected_premiums]]*(1-$AD$2)</f>
        <v>3239.0940960000003</v>
      </c>
      <c r="AA14" s="2">
        <f>Table1[[#This Row],[retained_premium]]-Table1[[#This Row],[claim_amount_paid]]</f>
        <v>2239.0940960000003</v>
      </c>
      <c r="AD14" t="s">
        <v>4777</v>
      </c>
      <c r="AE14" t="s">
        <v>4780</v>
      </c>
      <c r="AG14" t="s">
        <v>4784</v>
      </c>
    </row>
    <row r="15" spans="1:33" x14ac:dyDescent="0.35">
      <c r="A15" t="s">
        <v>82</v>
      </c>
      <c r="B15" t="s">
        <v>83</v>
      </c>
      <c r="C15" t="s">
        <v>84</v>
      </c>
      <c r="D15" s="1">
        <v>40574</v>
      </c>
      <c r="E15" s="1">
        <v>43972</v>
      </c>
      <c r="F15" s="1">
        <v>43977</v>
      </c>
      <c r="G15">
        <v>5</v>
      </c>
      <c r="H15">
        <v>82</v>
      </c>
      <c r="I15">
        <v>984</v>
      </c>
      <c r="J15">
        <v>10000</v>
      </c>
      <c r="K15" t="s">
        <v>27</v>
      </c>
      <c r="L15">
        <v>10000</v>
      </c>
      <c r="M15">
        <v>1.75</v>
      </c>
      <c r="N15" t="s">
        <v>49</v>
      </c>
      <c r="O15">
        <v>21</v>
      </c>
      <c r="P15">
        <v>61</v>
      </c>
      <c r="Q15">
        <v>1</v>
      </c>
      <c r="R15">
        <v>5</v>
      </c>
      <c r="S15" t="s">
        <v>29</v>
      </c>
      <c r="T15" t="s">
        <v>30</v>
      </c>
      <c r="U15" t="s">
        <v>66</v>
      </c>
      <c r="V15" t="s">
        <v>45</v>
      </c>
      <c r="W15">
        <v>0</v>
      </c>
      <c r="X15">
        <v>1</v>
      </c>
      <c r="Y15" s="2">
        <f>Table1[[#This Row],[premium_yearly]]*Table1[[#This Row],[tenure_years]]</f>
        <v>1722</v>
      </c>
      <c r="Z15" s="2">
        <f>Table1[[#This Row],[total_collected_premiums]]*(1-$AD$2)</f>
        <v>1257.06</v>
      </c>
      <c r="AA15" s="2">
        <f>Table1[[#This Row],[retained_premium]]-Table1[[#This Row],[claim_amount_paid]]</f>
        <v>-8742.94</v>
      </c>
      <c r="AC15" t="s">
        <v>4781</v>
      </c>
      <c r="AD15">
        <f>AVERAGEIF(Table1[lifetime_value], "&gt;0", Table1[tenure_years])</f>
        <v>6.5251830985915493</v>
      </c>
      <c r="AE15">
        <f>AVERAGEIF(Table1[lifetime_value], "&lt;0", Table1[tenure_years])</f>
        <v>4.090162037037036</v>
      </c>
      <c r="AG15" t="s">
        <v>4786</v>
      </c>
    </row>
    <row r="16" spans="1:33" x14ac:dyDescent="0.35">
      <c r="A16" t="s">
        <v>85</v>
      </c>
      <c r="B16" t="s">
        <v>86</v>
      </c>
      <c r="C16" t="s">
        <v>87</v>
      </c>
      <c r="D16" s="1">
        <v>41821</v>
      </c>
      <c r="E16" s="1">
        <v>43977</v>
      </c>
      <c r="F16" s="1">
        <v>43980</v>
      </c>
      <c r="G16">
        <v>3</v>
      </c>
      <c r="H16">
        <v>116.8</v>
      </c>
      <c r="I16">
        <v>1401.6</v>
      </c>
      <c r="J16">
        <v>9000</v>
      </c>
      <c r="K16" t="s">
        <v>27</v>
      </c>
      <c r="L16">
        <v>9000</v>
      </c>
      <c r="M16">
        <v>5.33</v>
      </c>
      <c r="N16" t="s">
        <v>28</v>
      </c>
      <c r="O16">
        <v>64</v>
      </c>
      <c r="P16">
        <v>55</v>
      </c>
      <c r="Q16">
        <v>0</v>
      </c>
      <c r="R16">
        <v>5</v>
      </c>
      <c r="S16" t="s">
        <v>29</v>
      </c>
      <c r="T16" t="s">
        <v>44</v>
      </c>
      <c r="U16" t="s">
        <v>88</v>
      </c>
      <c r="V16" t="s">
        <v>32</v>
      </c>
      <c r="W16">
        <v>0</v>
      </c>
      <c r="X16">
        <v>1</v>
      </c>
      <c r="Y16" s="2">
        <f>Table1[[#This Row],[premium_yearly]]*Table1[[#This Row],[tenure_years]]</f>
        <v>7470.5279999999993</v>
      </c>
      <c r="Z16" s="2">
        <f>Table1[[#This Row],[total_collected_premiums]]*(1-$AD$2)</f>
        <v>5453.4854399999995</v>
      </c>
      <c r="AA16" s="2">
        <f>Table1[[#This Row],[retained_premium]]-Table1[[#This Row],[claim_amount_paid]]</f>
        <v>-3546.5145600000005</v>
      </c>
      <c r="AC16" t="s">
        <v>4782</v>
      </c>
      <c r="AD16">
        <f>AVERAGEIF(Table1[lifetime_value], "&gt;0", Table1[claim_amount_paid])</f>
        <v>2990.1408450704225</v>
      </c>
      <c r="AE16">
        <f>AVERAGEIF(Table1[lifetime_value], "&lt;0", Table1[claim_amount_paid])</f>
        <v>7010.416666666667</v>
      </c>
      <c r="AG16" t="s">
        <v>4785</v>
      </c>
    </row>
    <row r="17" spans="1:33" x14ac:dyDescent="0.35">
      <c r="A17" t="s">
        <v>89</v>
      </c>
      <c r="B17" t="s">
        <v>90</v>
      </c>
      <c r="C17" t="s">
        <v>91</v>
      </c>
      <c r="D17" s="1">
        <v>43531</v>
      </c>
      <c r="E17" s="1">
        <v>43966</v>
      </c>
      <c r="F17" s="1">
        <v>43971</v>
      </c>
      <c r="G17">
        <v>5</v>
      </c>
      <c r="H17">
        <v>136.47</v>
      </c>
      <c r="I17">
        <v>1637.64</v>
      </c>
      <c r="J17">
        <v>1000</v>
      </c>
      <c r="K17" t="s">
        <v>27</v>
      </c>
      <c r="L17">
        <v>1000</v>
      </c>
      <c r="M17">
        <v>9.5</v>
      </c>
      <c r="N17" t="s">
        <v>28</v>
      </c>
      <c r="O17">
        <v>114</v>
      </c>
      <c r="P17">
        <v>50</v>
      </c>
      <c r="Q17">
        <v>1</v>
      </c>
      <c r="R17">
        <v>3</v>
      </c>
      <c r="S17" t="s">
        <v>29</v>
      </c>
      <c r="T17" t="s">
        <v>30</v>
      </c>
      <c r="U17" t="s">
        <v>38</v>
      </c>
      <c r="V17" t="s">
        <v>39</v>
      </c>
      <c r="W17">
        <v>0</v>
      </c>
      <c r="X17">
        <v>1</v>
      </c>
      <c r="Y17" s="2">
        <f>Table1[[#This Row],[premium_yearly]]*Table1[[#This Row],[tenure_years]]</f>
        <v>15557.580000000002</v>
      </c>
      <c r="Z17" s="2">
        <f>Table1[[#This Row],[total_collected_premiums]]*(1-$AD$2)</f>
        <v>11357.0334</v>
      </c>
      <c r="AA17" s="2">
        <f>Table1[[#This Row],[retained_premium]]-Table1[[#This Row],[claim_amount_paid]]</f>
        <v>10357.0334</v>
      </c>
      <c r="AC17" t="s">
        <v>4783</v>
      </c>
      <c r="AD17">
        <f>AVERAGEIF(Table1[lifetime_value], "&gt;0", Table1[premium_yearly])</f>
        <v>1308.5558873239443</v>
      </c>
      <c r="AE17">
        <f>AVERAGEIF(Table1[lifetime_value], "&lt;0", Table1[premium_yearly])</f>
        <v>1221.792916666667</v>
      </c>
      <c r="AG17" t="s">
        <v>4787</v>
      </c>
    </row>
    <row r="18" spans="1:33" x14ac:dyDescent="0.35">
      <c r="A18" t="s">
        <v>92</v>
      </c>
      <c r="B18" t="s">
        <v>93</v>
      </c>
      <c r="C18" t="s">
        <v>94</v>
      </c>
      <c r="D18" s="1">
        <v>42663</v>
      </c>
      <c r="E18" s="1">
        <v>43967</v>
      </c>
      <c r="F18" s="1">
        <v>43972</v>
      </c>
      <c r="G18">
        <v>5</v>
      </c>
      <c r="H18">
        <v>127.87</v>
      </c>
      <c r="I18">
        <v>1534.44</v>
      </c>
      <c r="J18">
        <v>7000</v>
      </c>
      <c r="K18" t="s">
        <v>27</v>
      </c>
      <c r="L18">
        <v>7000</v>
      </c>
      <c r="M18">
        <v>6</v>
      </c>
      <c r="N18" t="s">
        <v>28</v>
      </c>
      <c r="O18">
        <v>72</v>
      </c>
      <c r="P18">
        <v>39</v>
      </c>
      <c r="Q18">
        <v>0</v>
      </c>
      <c r="R18">
        <v>5</v>
      </c>
      <c r="S18" t="s">
        <v>65</v>
      </c>
      <c r="T18" t="s">
        <v>30</v>
      </c>
      <c r="U18" t="s">
        <v>88</v>
      </c>
      <c r="V18" t="s">
        <v>45</v>
      </c>
      <c r="W18">
        <v>1</v>
      </c>
      <c r="X18">
        <v>1</v>
      </c>
      <c r="Y18" s="2">
        <f>Table1[[#This Row],[premium_yearly]]*Table1[[#This Row],[tenure_years]]</f>
        <v>9206.64</v>
      </c>
      <c r="Z18" s="2">
        <f>Table1[[#This Row],[total_collected_premiums]]*(1-$AD$2)</f>
        <v>6720.8471999999992</v>
      </c>
      <c r="AA18" s="2">
        <f>Table1[[#This Row],[retained_premium]]-Table1[[#This Row],[claim_amount_paid]]</f>
        <v>-279.15280000000075</v>
      </c>
    </row>
    <row r="19" spans="1:33" x14ac:dyDescent="0.35">
      <c r="A19" t="s">
        <v>95</v>
      </c>
      <c r="B19" t="s">
        <v>96</v>
      </c>
      <c r="C19" t="s">
        <v>97</v>
      </c>
      <c r="D19" s="1">
        <v>43632</v>
      </c>
      <c r="E19" s="1">
        <v>43971</v>
      </c>
      <c r="F19" s="1">
        <v>43976</v>
      </c>
      <c r="G19">
        <v>5</v>
      </c>
      <c r="H19">
        <v>134.55000000000001</v>
      </c>
      <c r="I19">
        <v>1614.6</v>
      </c>
      <c r="J19">
        <v>6000</v>
      </c>
      <c r="K19" t="s">
        <v>27</v>
      </c>
      <c r="L19">
        <v>6000</v>
      </c>
      <c r="M19">
        <v>4.25</v>
      </c>
      <c r="N19" t="s">
        <v>36</v>
      </c>
      <c r="O19">
        <v>51</v>
      </c>
      <c r="P19">
        <v>57</v>
      </c>
      <c r="Q19">
        <v>1</v>
      </c>
      <c r="R19">
        <v>5</v>
      </c>
      <c r="S19" t="s">
        <v>29</v>
      </c>
      <c r="T19" t="s">
        <v>44</v>
      </c>
      <c r="U19" t="s">
        <v>31</v>
      </c>
      <c r="V19" t="s">
        <v>39</v>
      </c>
      <c r="W19">
        <v>1</v>
      </c>
      <c r="X19">
        <v>1</v>
      </c>
      <c r="Y19" s="2">
        <f>Table1[[#This Row],[premium_yearly]]*Table1[[#This Row],[tenure_years]]</f>
        <v>6862.0499999999993</v>
      </c>
      <c r="Z19" s="2">
        <f>Table1[[#This Row],[total_collected_premiums]]*(1-$AD$2)</f>
        <v>5009.2964999999995</v>
      </c>
      <c r="AA19" s="2">
        <f>Table1[[#This Row],[retained_premium]]-Table1[[#This Row],[claim_amount_paid]]</f>
        <v>-990.70350000000053</v>
      </c>
    </row>
    <row r="20" spans="1:33" x14ac:dyDescent="0.35">
      <c r="A20" t="s">
        <v>98</v>
      </c>
      <c r="B20" t="s">
        <v>99</v>
      </c>
      <c r="C20" t="s">
        <v>100</v>
      </c>
      <c r="D20" s="1">
        <v>42850</v>
      </c>
      <c r="E20" s="1">
        <v>43967</v>
      </c>
      <c r="F20" s="1">
        <v>43972</v>
      </c>
      <c r="G20">
        <v>5</v>
      </c>
      <c r="H20">
        <v>107.72</v>
      </c>
      <c r="I20">
        <v>1292.6400000000001</v>
      </c>
      <c r="J20">
        <v>3000</v>
      </c>
      <c r="K20" t="s">
        <v>27</v>
      </c>
      <c r="L20">
        <v>3000</v>
      </c>
      <c r="M20">
        <v>2.25</v>
      </c>
      <c r="N20" t="s">
        <v>28</v>
      </c>
      <c r="O20">
        <v>27</v>
      </c>
      <c r="P20">
        <v>62</v>
      </c>
      <c r="Q20">
        <v>0</v>
      </c>
      <c r="R20">
        <v>4</v>
      </c>
      <c r="S20" t="s">
        <v>29</v>
      </c>
      <c r="T20" t="s">
        <v>44</v>
      </c>
      <c r="U20" t="s">
        <v>58</v>
      </c>
      <c r="V20" t="s">
        <v>45</v>
      </c>
      <c r="W20">
        <v>0</v>
      </c>
      <c r="X20">
        <v>1</v>
      </c>
      <c r="Y20" s="2">
        <f>Table1[[#This Row],[premium_yearly]]*Table1[[#This Row],[tenure_years]]</f>
        <v>2908.44</v>
      </c>
      <c r="Z20" s="2">
        <f>Table1[[#This Row],[total_collected_premiums]]*(1-$AD$2)</f>
        <v>2123.1612</v>
      </c>
      <c r="AA20" s="2">
        <f>Table1[[#This Row],[retained_premium]]-Table1[[#This Row],[claim_amount_paid]]</f>
        <v>-876.83879999999999</v>
      </c>
    </row>
    <row r="21" spans="1:33" x14ac:dyDescent="0.35">
      <c r="A21" t="s">
        <v>101</v>
      </c>
      <c r="B21" t="s">
        <v>102</v>
      </c>
      <c r="C21" t="s">
        <v>103</v>
      </c>
      <c r="D21" s="1">
        <v>42687</v>
      </c>
      <c r="E21" s="1">
        <v>43977</v>
      </c>
      <c r="F21" s="1">
        <v>43980</v>
      </c>
      <c r="G21">
        <v>3</v>
      </c>
      <c r="H21">
        <v>111.08</v>
      </c>
      <c r="I21">
        <v>1332.96</v>
      </c>
      <c r="J21">
        <v>5000</v>
      </c>
      <c r="K21" t="s">
        <v>27</v>
      </c>
      <c r="L21">
        <v>5000</v>
      </c>
      <c r="M21">
        <v>9.92</v>
      </c>
      <c r="N21" t="s">
        <v>49</v>
      </c>
      <c r="O21">
        <v>119</v>
      </c>
      <c r="P21">
        <v>41</v>
      </c>
      <c r="Q21">
        <v>1</v>
      </c>
      <c r="R21">
        <v>6</v>
      </c>
      <c r="S21" t="s">
        <v>29</v>
      </c>
      <c r="T21" t="s">
        <v>50</v>
      </c>
      <c r="U21" t="s">
        <v>38</v>
      </c>
      <c r="V21" t="s">
        <v>39</v>
      </c>
      <c r="W21">
        <v>0</v>
      </c>
      <c r="X21">
        <v>0</v>
      </c>
      <c r="Y21" s="2">
        <f>Table1[[#This Row],[premium_yearly]]*Table1[[#This Row],[tenure_years]]</f>
        <v>13222.9632</v>
      </c>
      <c r="Z21" s="2">
        <f>Table1[[#This Row],[total_collected_premiums]]*(1-$AD$2)</f>
        <v>9652.7631359999996</v>
      </c>
      <c r="AA21" s="2">
        <f>Table1[[#This Row],[retained_premium]]-Table1[[#This Row],[claim_amount_paid]]</f>
        <v>4652.7631359999996</v>
      </c>
    </row>
    <row r="22" spans="1:33" x14ac:dyDescent="0.35">
      <c r="A22" t="s">
        <v>104</v>
      </c>
      <c r="B22" t="s">
        <v>105</v>
      </c>
      <c r="C22" t="s">
        <v>106</v>
      </c>
      <c r="D22" s="1">
        <v>40767</v>
      </c>
      <c r="E22" s="1">
        <v>43969</v>
      </c>
      <c r="F22" s="1">
        <v>43974</v>
      </c>
      <c r="G22">
        <v>5</v>
      </c>
      <c r="H22">
        <v>91.56</v>
      </c>
      <c r="I22">
        <v>1098.72</v>
      </c>
      <c r="J22">
        <v>5000</v>
      </c>
      <c r="K22" t="s">
        <v>27</v>
      </c>
      <c r="L22">
        <v>5000</v>
      </c>
      <c r="M22">
        <v>3.42</v>
      </c>
      <c r="N22" t="s">
        <v>49</v>
      </c>
      <c r="O22">
        <v>41</v>
      </c>
      <c r="P22">
        <v>30</v>
      </c>
      <c r="Q22">
        <v>1</v>
      </c>
      <c r="R22">
        <v>7</v>
      </c>
      <c r="S22" t="s">
        <v>29</v>
      </c>
      <c r="T22" t="s">
        <v>30</v>
      </c>
      <c r="U22" t="s">
        <v>107</v>
      </c>
      <c r="V22" t="s">
        <v>32</v>
      </c>
      <c r="W22">
        <v>1</v>
      </c>
      <c r="X22">
        <v>1</v>
      </c>
      <c r="Y22" s="2">
        <f>Table1[[#This Row],[premium_yearly]]*Table1[[#This Row],[tenure_years]]</f>
        <v>3757.6224000000002</v>
      </c>
      <c r="Z22" s="2">
        <f>Table1[[#This Row],[total_collected_premiums]]*(1-$AD$2)</f>
        <v>2743.0643519999999</v>
      </c>
      <c r="AA22" s="2">
        <f>Table1[[#This Row],[retained_premium]]-Table1[[#This Row],[claim_amount_paid]]</f>
        <v>-2256.9356480000001</v>
      </c>
    </row>
    <row r="23" spans="1:33" x14ac:dyDescent="0.35">
      <c r="A23" t="s">
        <v>108</v>
      </c>
      <c r="B23" t="s">
        <v>109</v>
      </c>
      <c r="C23" t="s">
        <v>110</v>
      </c>
      <c r="D23" s="1">
        <v>41493</v>
      </c>
      <c r="E23" s="1">
        <v>43982</v>
      </c>
      <c r="F23" s="1">
        <v>43983</v>
      </c>
      <c r="G23">
        <v>1</v>
      </c>
      <c r="H23">
        <v>129.58000000000001</v>
      </c>
      <c r="I23">
        <v>1554.96</v>
      </c>
      <c r="J23">
        <v>4000</v>
      </c>
      <c r="K23" t="s">
        <v>27</v>
      </c>
      <c r="L23">
        <v>4000</v>
      </c>
      <c r="M23">
        <v>7.75</v>
      </c>
      <c r="N23" t="s">
        <v>49</v>
      </c>
      <c r="O23">
        <v>93</v>
      </c>
      <c r="P23">
        <v>39</v>
      </c>
      <c r="Q23">
        <v>1</v>
      </c>
      <c r="R23">
        <v>2</v>
      </c>
      <c r="S23" t="s">
        <v>29</v>
      </c>
      <c r="T23" t="s">
        <v>30</v>
      </c>
      <c r="U23" t="s">
        <v>31</v>
      </c>
      <c r="V23" t="s">
        <v>39</v>
      </c>
      <c r="W23">
        <v>1</v>
      </c>
      <c r="X23">
        <v>1</v>
      </c>
      <c r="Y23" s="2">
        <f>Table1[[#This Row],[premium_yearly]]*Table1[[#This Row],[tenure_years]]</f>
        <v>12050.94</v>
      </c>
      <c r="Z23" s="2">
        <f>Table1[[#This Row],[total_collected_premiums]]*(1-$AD$2)</f>
        <v>8797.1862000000001</v>
      </c>
      <c r="AA23" s="2">
        <f>Table1[[#This Row],[retained_premium]]-Table1[[#This Row],[claim_amount_paid]]</f>
        <v>4797.1862000000001</v>
      </c>
    </row>
    <row r="24" spans="1:33" x14ac:dyDescent="0.35">
      <c r="A24" t="s">
        <v>111</v>
      </c>
      <c r="B24" t="s">
        <v>112</v>
      </c>
      <c r="C24" t="s">
        <v>113</v>
      </c>
      <c r="D24" s="1">
        <v>41236</v>
      </c>
      <c r="E24" s="1">
        <v>43987</v>
      </c>
      <c r="F24" s="1">
        <v>43987</v>
      </c>
      <c r="G24">
        <v>0</v>
      </c>
      <c r="H24">
        <v>80.73</v>
      </c>
      <c r="I24">
        <v>968.76</v>
      </c>
      <c r="J24">
        <v>4000</v>
      </c>
      <c r="K24" t="s">
        <v>27</v>
      </c>
      <c r="L24">
        <v>4000</v>
      </c>
      <c r="M24">
        <v>0.75</v>
      </c>
      <c r="N24" t="s">
        <v>49</v>
      </c>
      <c r="O24">
        <v>9</v>
      </c>
      <c r="P24">
        <v>49</v>
      </c>
      <c r="Q24">
        <v>1</v>
      </c>
      <c r="R24">
        <v>4</v>
      </c>
      <c r="S24" t="s">
        <v>29</v>
      </c>
      <c r="T24" t="s">
        <v>50</v>
      </c>
      <c r="U24" t="s">
        <v>38</v>
      </c>
      <c r="V24" t="s">
        <v>39</v>
      </c>
      <c r="W24">
        <v>0</v>
      </c>
      <c r="X24">
        <v>1</v>
      </c>
      <c r="Y24" s="2">
        <f>Table1[[#This Row],[premium_yearly]]*Table1[[#This Row],[tenure_years]]</f>
        <v>726.56999999999994</v>
      </c>
      <c r="Z24" s="2">
        <f>Table1[[#This Row],[total_collected_premiums]]*(1-$AD$2)</f>
        <v>530.39609999999993</v>
      </c>
      <c r="AA24" s="2">
        <f>Table1[[#This Row],[retained_premium]]-Table1[[#This Row],[claim_amount_paid]]</f>
        <v>-3469.6039000000001</v>
      </c>
    </row>
    <row r="25" spans="1:33" x14ac:dyDescent="0.35">
      <c r="A25" t="s">
        <v>114</v>
      </c>
      <c r="B25" t="s">
        <v>115</v>
      </c>
      <c r="C25" t="s">
        <v>116</v>
      </c>
      <c r="D25" s="1">
        <v>42361</v>
      </c>
      <c r="E25" s="1">
        <v>43974</v>
      </c>
      <c r="F25" s="1">
        <v>43979</v>
      </c>
      <c r="G25">
        <v>5</v>
      </c>
      <c r="H25">
        <v>110.4</v>
      </c>
      <c r="I25">
        <v>1324.8</v>
      </c>
      <c r="J25">
        <v>1000</v>
      </c>
      <c r="K25" t="s">
        <v>27</v>
      </c>
      <c r="L25">
        <v>1000</v>
      </c>
      <c r="M25">
        <v>7.33</v>
      </c>
      <c r="N25" t="s">
        <v>49</v>
      </c>
      <c r="O25">
        <v>88</v>
      </c>
      <c r="P25">
        <v>35</v>
      </c>
      <c r="Q25">
        <v>0</v>
      </c>
      <c r="R25">
        <v>5</v>
      </c>
      <c r="S25" t="s">
        <v>29</v>
      </c>
      <c r="T25" t="s">
        <v>44</v>
      </c>
      <c r="U25" t="s">
        <v>38</v>
      </c>
      <c r="V25" t="s">
        <v>45</v>
      </c>
      <c r="W25">
        <v>0</v>
      </c>
      <c r="X25">
        <v>1</v>
      </c>
      <c r="Y25" s="2">
        <f>Table1[[#This Row],[premium_yearly]]*Table1[[#This Row],[tenure_years]]</f>
        <v>9710.7839999999997</v>
      </c>
      <c r="Z25" s="2">
        <f>Table1[[#This Row],[total_collected_premiums]]*(1-$AD$2)</f>
        <v>7088.8723199999995</v>
      </c>
      <c r="AA25" s="2">
        <f>Table1[[#This Row],[retained_premium]]-Table1[[#This Row],[claim_amount_paid]]</f>
        <v>6088.8723199999995</v>
      </c>
    </row>
    <row r="26" spans="1:33" x14ac:dyDescent="0.35">
      <c r="A26" t="s">
        <v>117</v>
      </c>
      <c r="B26" t="s">
        <v>118</v>
      </c>
      <c r="C26" t="s">
        <v>119</v>
      </c>
      <c r="D26" s="1">
        <v>43491</v>
      </c>
      <c r="E26" s="1">
        <v>43987</v>
      </c>
      <c r="F26" s="1">
        <v>43987</v>
      </c>
      <c r="G26">
        <v>0</v>
      </c>
      <c r="H26">
        <v>112.42</v>
      </c>
      <c r="I26">
        <v>1349.04</v>
      </c>
      <c r="J26">
        <v>4000</v>
      </c>
      <c r="K26" t="s">
        <v>27</v>
      </c>
      <c r="L26">
        <v>4000</v>
      </c>
      <c r="M26">
        <v>1.17</v>
      </c>
      <c r="N26" t="s">
        <v>28</v>
      </c>
      <c r="O26">
        <v>14</v>
      </c>
      <c r="P26">
        <v>33</v>
      </c>
      <c r="Q26">
        <v>1</v>
      </c>
      <c r="R26">
        <v>4</v>
      </c>
      <c r="S26" t="s">
        <v>65</v>
      </c>
      <c r="T26" t="s">
        <v>50</v>
      </c>
      <c r="U26" t="s">
        <v>51</v>
      </c>
      <c r="V26" t="s">
        <v>32</v>
      </c>
      <c r="W26">
        <v>0</v>
      </c>
      <c r="X26">
        <v>1</v>
      </c>
      <c r="Y26" s="2">
        <f>Table1[[#This Row],[premium_yearly]]*Table1[[#This Row],[tenure_years]]</f>
        <v>1578.3767999999998</v>
      </c>
      <c r="Z26" s="2">
        <f>Table1[[#This Row],[total_collected_premiums]]*(1-$AD$2)</f>
        <v>1152.2150639999998</v>
      </c>
      <c r="AA26" s="2">
        <f>Table1[[#This Row],[retained_premium]]-Table1[[#This Row],[claim_amount_paid]]</f>
        <v>-2847.784936</v>
      </c>
    </row>
    <row r="27" spans="1:33" x14ac:dyDescent="0.35">
      <c r="A27" t="s">
        <v>120</v>
      </c>
      <c r="B27" t="s">
        <v>121</v>
      </c>
      <c r="C27" t="s">
        <v>122</v>
      </c>
      <c r="D27" s="1">
        <v>41785</v>
      </c>
      <c r="E27" s="1">
        <v>43983</v>
      </c>
      <c r="F27" s="1">
        <v>43985</v>
      </c>
      <c r="G27">
        <v>2</v>
      </c>
      <c r="H27">
        <v>71.180000000000007</v>
      </c>
      <c r="I27">
        <v>854.16</v>
      </c>
      <c r="J27">
        <v>7000</v>
      </c>
      <c r="K27" t="s">
        <v>27</v>
      </c>
      <c r="L27">
        <v>7000</v>
      </c>
      <c r="M27">
        <v>1.75</v>
      </c>
      <c r="N27" t="s">
        <v>49</v>
      </c>
      <c r="O27">
        <v>21</v>
      </c>
      <c r="P27">
        <v>27</v>
      </c>
      <c r="Q27">
        <v>1</v>
      </c>
      <c r="R27">
        <v>2</v>
      </c>
      <c r="S27" t="s">
        <v>29</v>
      </c>
      <c r="T27" t="s">
        <v>50</v>
      </c>
      <c r="U27" t="s">
        <v>51</v>
      </c>
      <c r="V27" t="s">
        <v>45</v>
      </c>
      <c r="W27">
        <v>1</v>
      </c>
      <c r="X27">
        <v>0</v>
      </c>
      <c r="Y27" s="2">
        <f>Table1[[#This Row],[premium_yearly]]*Table1[[#This Row],[tenure_years]]</f>
        <v>1494.78</v>
      </c>
      <c r="Z27" s="2">
        <f>Table1[[#This Row],[total_collected_premiums]]*(1-$AD$2)</f>
        <v>1091.1894</v>
      </c>
      <c r="AA27" s="2">
        <f>Table1[[#This Row],[retained_premium]]-Table1[[#This Row],[claim_amount_paid]]</f>
        <v>-5908.8105999999998</v>
      </c>
    </row>
    <row r="28" spans="1:33" x14ac:dyDescent="0.35">
      <c r="A28" t="s">
        <v>123</v>
      </c>
      <c r="B28" t="s">
        <v>124</v>
      </c>
      <c r="C28" t="s">
        <v>125</v>
      </c>
      <c r="D28" s="1">
        <v>41342</v>
      </c>
      <c r="E28" s="1">
        <v>43989</v>
      </c>
      <c r="F28" s="1">
        <v>43989</v>
      </c>
      <c r="G28">
        <v>0</v>
      </c>
      <c r="H28">
        <v>78.650000000000006</v>
      </c>
      <c r="I28">
        <v>943.8</v>
      </c>
      <c r="J28">
        <v>3000</v>
      </c>
      <c r="K28" t="s">
        <v>27</v>
      </c>
      <c r="L28">
        <v>3000</v>
      </c>
      <c r="M28">
        <v>1.17</v>
      </c>
      <c r="N28" t="s">
        <v>28</v>
      </c>
      <c r="O28">
        <v>14</v>
      </c>
      <c r="P28">
        <v>41</v>
      </c>
      <c r="Q28">
        <v>0</v>
      </c>
      <c r="R28">
        <v>2</v>
      </c>
      <c r="S28" t="s">
        <v>65</v>
      </c>
      <c r="T28" t="s">
        <v>50</v>
      </c>
      <c r="U28" t="s">
        <v>38</v>
      </c>
      <c r="V28" t="s">
        <v>32</v>
      </c>
      <c r="W28">
        <v>1</v>
      </c>
      <c r="X28">
        <v>0</v>
      </c>
      <c r="Y28" s="2">
        <f>Table1[[#This Row],[premium_yearly]]*Table1[[#This Row],[tenure_years]]</f>
        <v>1104.2459999999999</v>
      </c>
      <c r="Z28" s="2">
        <f>Table1[[#This Row],[total_collected_premiums]]*(1-$AD$2)</f>
        <v>806.09957999999983</v>
      </c>
      <c r="AA28" s="2">
        <f>Table1[[#This Row],[retained_premium]]-Table1[[#This Row],[claim_amount_paid]]</f>
        <v>-2193.9004199999999</v>
      </c>
    </row>
    <row r="29" spans="1:33" x14ac:dyDescent="0.35">
      <c r="A29" t="s">
        <v>126</v>
      </c>
      <c r="B29" t="s">
        <v>127</v>
      </c>
      <c r="C29" t="s">
        <v>128</v>
      </c>
      <c r="D29" s="1">
        <v>42164</v>
      </c>
      <c r="E29" s="1">
        <v>43977</v>
      </c>
      <c r="F29" s="1">
        <v>43982</v>
      </c>
      <c r="G29">
        <v>5</v>
      </c>
      <c r="H29">
        <v>95.58</v>
      </c>
      <c r="I29">
        <v>1146.96</v>
      </c>
      <c r="J29">
        <v>5000</v>
      </c>
      <c r="K29" t="s">
        <v>27</v>
      </c>
      <c r="L29">
        <v>5000</v>
      </c>
      <c r="M29">
        <v>6.42</v>
      </c>
      <c r="N29" t="s">
        <v>36</v>
      </c>
      <c r="O29">
        <v>77</v>
      </c>
      <c r="P29">
        <v>59</v>
      </c>
      <c r="Q29">
        <v>1</v>
      </c>
      <c r="R29">
        <v>4</v>
      </c>
      <c r="S29" t="s">
        <v>65</v>
      </c>
      <c r="T29" t="s">
        <v>44</v>
      </c>
      <c r="U29" t="s">
        <v>88</v>
      </c>
      <c r="V29" t="s">
        <v>39</v>
      </c>
      <c r="W29">
        <v>0</v>
      </c>
      <c r="X29">
        <v>0</v>
      </c>
      <c r="Y29" s="2">
        <f>Table1[[#This Row],[premium_yearly]]*Table1[[#This Row],[tenure_years]]</f>
        <v>7363.4832000000006</v>
      </c>
      <c r="Z29" s="2">
        <f>Table1[[#This Row],[total_collected_premiums]]*(1-$AD$2)</f>
        <v>5375.3427360000005</v>
      </c>
      <c r="AA29" s="2">
        <f>Table1[[#This Row],[retained_premium]]-Table1[[#This Row],[claim_amount_paid]]</f>
        <v>375.34273600000051</v>
      </c>
    </row>
    <row r="30" spans="1:33" x14ac:dyDescent="0.35">
      <c r="A30" t="s">
        <v>129</v>
      </c>
      <c r="B30" t="s">
        <v>130</v>
      </c>
      <c r="C30" t="s">
        <v>131</v>
      </c>
      <c r="D30" s="1">
        <v>43500</v>
      </c>
      <c r="E30" s="1">
        <v>43975</v>
      </c>
      <c r="F30" s="1">
        <v>43980</v>
      </c>
      <c r="G30">
        <v>5</v>
      </c>
      <c r="H30">
        <v>92.14</v>
      </c>
      <c r="I30">
        <v>1105.68</v>
      </c>
      <c r="J30">
        <v>1000</v>
      </c>
      <c r="K30" t="s">
        <v>27</v>
      </c>
      <c r="L30">
        <v>1000</v>
      </c>
      <c r="M30">
        <v>1.83</v>
      </c>
      <c r="N30" t="s">
        <v>36</v>
      </c>
      <c r="O30">
        <v>22</v>
      </c>
      <c r="P30">
        <v>32</v>
      </c>
      <c r="Q30">
        <v>1</v>
      </c>
      <c r="R30">
        <v>6</v>
      </c>
      <c r="S30" t="s">
        <v>65</v>
      </c>
      <c r="T30" t="s">
        <v>50</v>
      </c>
      <c r="U30" t="s">
        <v>88</v>
      </c>
      <c r="V30" t="s">
        <v>39</v>
      </c>
      <c r="W30">
        <v>1</v>
      </c>
      <c r="X30">
        <v>1</v>
      </c>
      <c r="Y30" s="2">
        <f>Table1[[#This Row],[premium_yearly]]*Table1[[#This Row],[tenure_years]]</f>
        <v>2023.3944000000001</v>
      </c>
      <c r="Z30" s="2">
        <f>Table1[[#This Row],[total_collected_premiums]]*(1-$AD$2)</f>
        <v>1477.077912</v>
      </c>
      <c r="AA30" s="2">
        <f>Table1[[#This Row],[retained_premium]]-Table1[[#This Row],[claim_amount_paid]]</f>
        <v>477.07791199999997</v>
      </c>
    </row>
    <row r="31" spans="1:33" x14ac:dyDescent="0.35">
      <c r="A31" t="s">
        <v>132</v>
      </c>
      <c r="B31" t="s">
        <v>133</v>
      </c>
      <c r="C31" t="s">
        <v>134</v>
      </c>
      <c r="D31" s="1">
        <v>42891</v>
      </c>
      <c r="E31" s="1">
        <v>43972</v>
      </c>
      <c r="F31" s="1">
        <v>43977</v>
      </c>
      <c r="G31">
        <v>5</v>
      </c>
      <c r="H31">
        <v>136.01</v>
      </c>
      <c r="I31">
        <v>1632.12</v>
      </c>
      <c r="J31">
        <v>5000</v>
      </c>
      <c r="K31" t="s">
        <v>27</v>
      </c>
      <c r="L31">
        <v>5000</v>
      </c>
      <c r="M31">
        <v>7.33</v>
      </c>
      <c r="N31" t="s">
        <v>36</v>
      </c>
      <c r="O31">
        <v>88</v>
      </c>
      <c r="P31">
        <v>37</v>
      </c>
      <c r="Q31">
        <v>0</v>
      </c>
      <c r="R31">
        <v>6</v>
      </c>
      <c r="S31" t="s">
        <v>29</v>
      </c>
      <c r="T31" t="s">
        <v>30</v>
      </c>
      <c r="U31" t="s">
        <v>107</v>
      </c>
      <c r="V31" t="s">
        <v>39</v>
      </c>
      <c r="W31">
        <v>0</v>
      </c>
      <c r="X31">
        <v>1</v>
      </c>
      <c r="Y31" s="2">
        <f>Table1[[#This Row],[premium_yearly]]*Table1[[#This Row],[tenure_years]]</f>
        <v>11963.4396</v>
      </c>
      <c r="Z31" s="2">
        <f>Table1[[#This Row],[total_collected_premiums]]*(1-$AD$2)</f>
        <v>8733.3109079999995</v>
      </c>
      <c r="AA31" s="2">
        <f>Table1[[#This Row],[retained_premium]]-Table1[[#This Row],[claim_amount_paid]]</f>
        <v>3733.3109079999995</v>
      </c>
    </row>
    <row r="32" spans="1:33" x14ac:dyDescent="0.35">
      <c r="A32" t="s">
        <v>135</v>
      </c>
      <c r="B32" t="s">
        <v>136</v>
      </c>
      <c r="C32" t="s">
        <v>137</v>
      </c>
      <c r="D32" s="1">
        <v>43848</v>
      </c>
      <c r="E32" s="1">
        <v>43971</v>
      </c>
      <c r="F32" s="1">
        <v>43976</v>
      </c>
      <c r="G32">
        <v>5</v>
      </c>
      <c r="H32">
        <v>123.3</v>
      </c>
      <c r="I32">
        <v>1479.6</v>
      </c>
      <c r="J32">
        <v>1000</v>
      </c>
      <c r="K32" t="s">
        <v>27</v>
      </c>
      <c r="L32">
        <v>1000</v>
      </c>
      <c r="M32">
        <v>2.58</v>
      </c>
      <c r="N32" t="s">
        <v>28</v>
      </c>
      <c r="O32">
        <v>31</v>
      </c>
      <c r="P32">
        <v>54</v>
      </c>
      <c r="Q32">
        <v>0</v>
      </c>
      <c r="R32">
        <v>7</v>
      </c>
      <c r="S32" t="s">
        <v>29</v>
      </c>
      <c r="T32" t="s">
        <v>50</v>
      </c>
      <c r="U32" t="s">
        <v>38</v>
      </c>
      <c r="V32" t="s">
        <v>32</v>
      </c>
      <c r="W32">
        <v>0</v>
      </c>
      <c r="X32">
        <v>1</v>
      </c>
      <c r="Y32" s="2">
        <f>Table1[[#This Row],[premium_yearly]]*Table1[[#This Row],[tenure_years]]</f>
        <v>3817.3679999999999</v>
      </c>
      <c r="Z32" s="2">
        <f>Table1[[#This Row],[total_collected_premiums]]*(1-$AD$2)</f>
        <v>2786.6786400000001</v>
      </c>
      <c r="AA32" s="2">
        <f>Table1[[#This Row],[retained_premium]]-Table1[[#This Row],[claim_amount_paid]]</f>
        <v>1786.6786400000001</v>
      </c>
    </row>
    <row r="33" spans="1:27" x14ac:dyDescent="0.35">
      <c r="A33" t="s">
        <v>138</v>
      </c>
      <c r="B33" t="s">
        <v>139</v>
      </c>
      <c r="C33" t="s">
        <v>140</v>
      </c>
      <c r="D33" s="1">
        <v>41055</v>
      </c>
      <c r="E33" s="1">
        <v>43985</v>
      </c>
      <c r="F33" s="1">
        <v>43987</v>
      </c>
      <c r="G33">
        <v>2</v>
      </c>
      <c r="H33">
        <v>90.32</v>
      </c>
      <c r="I33">
        <v>1083.8399999999999</v>
      </c>
      <c r="J33">
        <v>5000</v>
      </c>
      <c r="K33" t="s">
        <v>27</v>
      </c>
      <c r="L33">
        <v>5000</v>
      </c>
      <c r="M33">
        <v>8.83</v>
      </c>
      <c r="N33" t="s">
        <v>28</v>
      </c>
      <c r="O33">
        <v>106</v>
      </c>
      <c r="P33">
        <v>26</v>
      </c>
      <c r="Q33">
        <v>1</v>
      </c>
      <c r="R33">
        <v>6</v>
      </c>
      <c r="S33" t="s">
        <v>65</v>
      </c>
      <c r="T33" t="s">
        <v>44</v>
      </c>
      <c r="U33" t="s">
        <v>38</v>
      </c>
      <c r="V33" t="s">
        <v>39</v>
      </c>
      <c r="W33">
        <v>1</v>
      </c>
      <c r="X33">
        <v>1</v>
      </c>
      <c r="Y33" s="2">
        <f>Table1[[#This Row],[premium_yearly]]*Table1[[#This Row],[tenure_years]]</f>
        <v>9570.3071999999993</v>
      </c>
      <c r="Z33" s="2">
        <f>Table1[[#This Row],[total_collected_premiums]]*(1-$AD$2)</f>
        <v>6986.324255999999</v>
      </c>
      <c r="AA33" s="2">
        <f>Table1[[#This Row],[retained_premium]]-Table1[[#This Row],[claim_amount_paid]]</f>
        <v>1986.324255999999</v>
      </c>
    </row>
    <row r="34" spans="1:27" x14ac:dyDescent="0.35">
      <c r="A34" t="s">
        <v>141</v>
      </c>
      <c r="B34" t="s">
        <v>142</v>
      </c>
      <c r="C34" t="s">
        <v>143</v>
      </c>
      <c r="D34" s="1">
        <v>41678</v>
      </c>
      <c r="E34" s="1">
        <v>43990</v>
      </c>
      <c r="F34" s="1">
        <v>43990</v>
      </c>
      <c r="G34">
        <v>0</v>
      </c>
      <c r="H34">
        <v>74.819999999999993</v>
      </c>
      <c r="I34">
        <v>897.84</v>
      </c>
      <c r="J34">
        <v>6000</v>
      </c>
      <c r="K34" t="s">
        <v>43</v>
      </c>
      <c r="L34">
        <v>0</v>
      </c>
      <c r="M34">
        <v>4.17</v>
      </c>
      <c r="N34" t="s">
        <v>49</v>
      </c>
      <c r="O34">
        <v>50</v>
      </c>
      <c r="P34">
        <v>35</v>
      </c>
      <c r="Q34">
        <v>0</v>
      </c>
      <c r="R34">
        <v>5</v>
      </c>
      <c r="S34" t="s">
        <v>65</v>
      </c>
      <c r="T34" t="s">
        <v>30</v>
      </c>
      <c r="U34" t="s">
        <v>38</v>
      </c>
      <c r="V34" t="s">
        <v>39</v>
      </c>
      <c r="W34">
        <v>0</v>
      </c>
      <c r="X34">
        <v>1</v>
      </c>
      <c r="Y34" s="2">
        <f>Table1[[#This Row],[premium_yearly]]*Table1[[#This Row],[tenure_years]]</f>
        <v>3743.9928</v>
      </c>
      <c r="Z34" s="2">
        <f>Table1[[#This Row],[total_collected_premiums]]*(1-$AD$2)</f>
        <v>2733.114744</v>
      </c>
      <c r="AA34" s="2">
        <f>Table1[[#This Row],[retained_premium]]-Table1[[#This Row],[claim_amount_paid]]</f>
        <v>2733.114744</v>
      </c>
    </row>
    <row r="35" spans="1:27" x14ac:dyDescent="0.35">
      <c r="A35" t="s">
        <v>144</v>
      </c>
      <c r="B35" t="s">
        <v>145</v>
      </c>
      <c r="C35" t="s">
        <v>146</v>
      </c>
      <c r="D35" s="1">
        <v>43371</v>
      </c>
      <c r="E35" s="1">
        <v>43979</v>
      </c>
      <c r="F35" s="1">
        <v>43984</v>
      </c>
      <c r="G35">
        <v>5</v>
      </c>
      <c r="H35">
        <v>70.94</v>
      </c>
      <c r="I35">
        <v>851.28</v>
      </c>
      <c r="J35">
        <v>4000</v>
      </c>
      <c r="K35" t="s">
        <v>27</v>
      </c>
      <c r="L35">
        <v>4000</v>
      </c>
      <c r="M35">
        <v>7.92</v>
      </c>
      <c r="N35" t="s">
        <v>28</v>
      </c>
      <c r="O35">
        <v>95</v>
      </c>
      <c r="P35">
        <v>50</v>
      </c>
      <c r="Q35">
        <v>1</v>
      </c>
      <c r="R35">
        <v>4</v>
      </c>
      <c r="S35" t="s">
        <v>65</v>
      </c>
      <c r="T35" t="s">
        <v>50</v>
      </c>
      <c r="U35" t="s">
        <v>107</v>
      </c>
      <c r="V35" t="s">
        <v>32</v>
      </c>
      <c r="W35">
        <v>0</v>
      </c>
      <c r="X35">
        <v>1</v>
      </c>
      <c r="Y35" s="2">
        <f>Table1[[#This Row],[premium_yearly]]*Table1[[#This Row],[tenure_years]]</f>
        <v>6742.1376</v>
      </c>
      <c r="Z35" s="2">
        <f>Table1[[#This Row],[total_collected_premiums]]*(1-$AD$2)</f>
        <v>4921.760448</v>
      </c>
      <c r="AA35" s="2">
        <f>Table1[[#This Row],[retained_premium]]-Table1[[#This Row],[claim_amount_paid]]</f>
        <v>921.760448</v>
      </c>
    </row>
    <row r="36" spans="1:27" x14ac:dyDescent="0.35">
      <c r="A36" t="s">
        <v>147</v>
      </c>
      <c r="B36" t="s">
        <v>148</v>
      </c>
      <c r="C36" t="s">
        <v>149</v>
      </c>
      <c r="D36" s="1">
        <v>43498</v>
      </c>
      <c r="E36" s="1">
        <v>43984</v>
      </c>
      <c r="F36" s="1">
        <v>43987</v>
      </c>
      <c r="G36">
        <v>3</v>
      </c>
      <c r="H36">
        <v>106.17</v>
      </c>
      <c r="I36">
        <v>1274.04</v>
      </c>
      <c r="J36">
        <v>2000</v>
      </c>
      <c r="K36" t="s">
        <v>27</v>
      </c>
      <c r="L36">
        <v>2000</v>
      </c>
      <c r="M36">
        <v>2.5</v>
      </c>
      <c r="N36" t="s">
        <v>49</v>
      </c>
      <c r="O36">
        <v>30</v>
      </c>
      <c r="P36">
        <v>29</v>
      </c>
      <c r="Q36">
        <v>1</v>
      </c>
      <c r="R36">
        <v>5</v>
      </c>
      <c r="S36" t="s">
        <v>65</v>
      </c>
      <c r="T36" t="s">
        <v>50</v>
      </c>
      <c r="U36" t="s">
        <v>31</v>
      </c>
      <c r="V36" t="s">
        <v>32</v>
      </c>
      <c r="W36">
        <v>1</v>
      </c>
      <c r="X36">
        <v>1</v>
      </c>
      <c r="Y36" s="2">
        <f>Table1[[#This Row],[premium_yearly]]*Table1[[#This Row],[tenure_years]]</f>
        <v>3185.1</v>
      </c>
      <c r="Z36" s="2">
        <f>Table1[[#This Row],[total_collected_premiums]]*(1-$AD$2)</f>
        <v>2325.123</v>
      </c>
      <c r="AA36" s="2">
        <f>Table1[[#This Row],[retained_premium]]-Table1[[#This Row],[claim_amount_paid]]</f>
        <v>325.12300000000005</v>
      </c>
    </row>
    <row r="37" spans="1:27" x14ac:dyDescent="0.35">
      <c r="A37" t="s">
        <v>150</v>
      </c>
      <c r="B37" t="s">
        <v>151</v>
      </c>
      <c r="C37" t="s">
        <v>152</v>
      </c>
      <c r="D37" s="1">
        <v>42502</v>
      </c>
      <c r="E37" s="1">
        <v>43987</v>
      </c>
      <c r="F37" s="1">
        <v>43988</v>
      </c>
      <c r="G37">
        <v>1</v>
      </c>
      <c r="H37">
        <v>73.44</v>
      </c>
      <c r="I37">
        <v>881.28</v>
      </c>
      <c r="J37">
        <v>1000</v>
      </c>
      <c r="K37" t="s">
        <v>27</v>
      </c>
      <c r="L37">
        <v>1000</v>
      </c>
      <c r="M37">
        <v>7.92</v>
      </c>
      <c r="N37" t="s">
        <v>36</v>
      </c>
      <c r="O37">
        <v>95</v>
      </c>
      <c r="P37">
        <v>57</v>
      </c>
      <c r="Q37">
        <v>1</v>
      </c>
      <c r="R37">
        <v>2</v>
      </c>
      <c r="S37" t="s">
        <v>29</v>
      </c>
      <c r="T37" t="s">
        <v>44</v>
      </c>
      <c r="U37" t="s">
        <v>38</v>
      </c>
      <c r="V37" t="s">
        <v>39</v>
      </c>
      <c r="W37">
        <v>1</v>
      </c>
      <c r="X37">
        <v>1</v>
      </c>
      <c r="Y37" s="2">
        <f>Table1[[#This Row],[premium_yearly]]*Table1[[#This Row],[tenure_years]]</f>
        <v>6979.7375999999995</v>
      </c>
      <c r="Z37" s="2">
        <f>Table1[[#This Row],[total_collected_premiums]]*(1-$AD$2)</f>
        <v>5095.2084479999994</v>
      </c>
      <c r="AA37" s="2">
        <f>Table1[[#This Row],[retained_premium]]-Table1[[#This Row],[claim_amount_paid]]</f>
        <v>4095.2084479999994</v>
      </c>
    </row>
    <row r="38" spans="1:27" x14ac:dyDescent="0.35">
      <c r="A38" t="s">
        <v>153</v>
      </c>
      <c r="B38" t="s">
        <v>154</v>
      </c>
      <c r="C38" t="s">
        <v>155</v>
      </c>
      <c r="D38" s="1">
        <v>41970</v>
      </c>
      <c r="E38" s="1">
        <v>43984</v>
      </c>
      <c r="F38" s="1">
        <v>43987</v>
      </c>
      <c r="G38">
        <v>3</v>
      </c>
      <c r="H38">
        <v>129.97</v>
      </c>
      <c r="I38">
        <v>1559.64</v>
      </c>
      <c r="J38">
        <v>4000</v>
      </c>
      <c r="K38" t="s">
        <v>43</v>
      </c>
      <c r="L38">
        <v>0</v>
      </c>
      <c r="M38">
        <v>1.42</v>
      </c>
      <c r="N38" t="s">
        <v>36</v>
      </c>
      <c r="O38">
        <v>17</v>
      </c>
      <c r="P38">
        <v>39</v>
      </c>
      <c r="Q38">
        <v>0</v>
      </c>
      <c r="R38">
        <v>7</v>
      </c>
      <c r="S38" t="s">
        <v>65</v>
      </c>
      <c r="T38" t="s">
        <v>44</v>
      </c>
      <c r="U38" t="s">
        <v>31</v>
      </c>
      <c r="V38" t="s">
        <v>45</v>
      </c>
      <c r="W38">
        <v>0</v>
      </c>
      <c r="X38">
        <v>1</v>
      </c>
      <c r="Y38" s="2">
        <f>Table1[[#This Row],[premium_yearly]]*Table1[[#This Row],[tenure_years]]</f>
        <v>2214.6887999999999</v>
      </c>
      <c r="Z38" s="2">
        <f>Table1[[#This Row],[total_collected_premiums]]*(1-$AD$2)</f>
        <v>1616.7228239999999</v>
      </c>
      <c r="AA38" s="2">
        <f>Table1[[#This Row],[retained_premium]]-Table1[[#This Row],[claim_amount_paid]]</f>
        <v>1616.7228239999999</v>
      </c>
    </row>
    <row r="39" spans="1:27" x14ac:dyDescent="0.35">
      <c r="A39" t="s">
        <v>156</v>
      </c>
      <c r="B39" t="s">
        <v>157</v>
      </c>
      <c r="C39" t="s">
        <v>158</v>
      </c>
      <c r="D39" s="1">
        <v>41661</v>
      </c>
      <c r="E39" s="1">
        <v>43976</v>
      </c>
      <c r="F39" s="1">
        <v>43981</v>
      </c>
      <c r="G39">
        <v>5</v>
      </c>
      <c r="H39">
        <v>134.18</v>
      </c>
      <c r="I39">
        <v>1610.16</v>
      </c>
      <c r="J39">
        <v>4000</v>
      </c>
      <c r="K39" t="s">
        <v>27</v>
      </c>
      <c r="L39">
        <v>4000</v>
      </c>
      <c r="M39">
        <v>0.57999999999999996</v>
      </c>
      <c r="N39" t="s">
        <v>49</v>
      </c>
      <c r="O39">
        <v>7</v>
      </c>
      <c r="P39">
        <v>31</v>
      </c>
      <c r="Q39">
        <v>1</v>
      </c>
      <c r="R39">
        <v>6</v>
      </c>
      <c r="S39" t="s">
        <v>29</v>
      </c>
      <c r="T39" t="s">
        <v>44</v>
      </c>
      <c r="U39" t="s">
        <v>88</v>
      </c>
      <c r="V39" t="s">
        <v>39</v>
      </c>
      <c r="W39">
        <v>1</v>
      </c>
      <c r="X39">
        <v>1</v>
      </c>
      <c r="Y39" s="2">
        <f>Table1[[#This Row],[premium_yearly]]*Table1[[#This Row],[tenure_years]]</f>
        <v>933.89279999999997</v>
      </c>
      <c r="Z39" s="2">
        <f>Table1[[#This Row],[total_collected_premiums]]*(1-$AD$2)</f>
        <v>681.74174399999993</v>
      </c>
      <c r="AA39" s="2">
        <f>Table1[[#This Row],[retained_premium]]-Table1[[#This Row],[claim_amount_paid]]</f>
        <v>-3318.2582560000001</v>
      </c>
    </row>
    <row r="40" spans="1:27" x14ac:dyDescent="0.35">
      <c r="A40" t="s">
        <v>159</v>
      </c>
      <c r="B40" t="s">
        <v>160</v>
      </c>
      <c r="C40" t="s">
        <v>161</v>
      </c>
      <c r="D40" s="1">
        <v>41862</v>
      </c>
      <c r="E40" s="1">
        <v>43989</v>
      </c>
      <c r="F40" s="1">
        <v>43989</v>
      </c>
      <c r="G40">
        <v>0</v>
      </c>
      <c r="H40">
        <v>134.54</v>
      </c>
      <c r="I40">
        <v>1614.48</v>
      </c>
      <c r="J40">
        <v>6000</v>
      </c>
      <c r="K40" t="s">
        <v>27</v>
      </c>
      <c r="L40">
        <v>6000</v>
      </c>
      <c r="M40">
        <v>3.17</v>
      </c>
      <c r="N40" t="s">
        <v>28</v>
      </c>
      <c r="O40">
        <v>38</v>
      </c>
      <c r="P40">
        <v>36</v>
      </c>
      <c r="Q40">
        <v>0</v>
      </c>
      <c r="R40">
        <v>2</v>
      </c>
      <c r="S40" t="s">
        <v>29</v>
      </c>
      <c r="T40" t="s">
        <v>30</v>
      </c>
      <c r="U40" t="s">
        <v>31</v>
      </c>
      <c r="V40" t="s">
        <v>32</v>
      </c>
      <c r="W40">
        <v>1</v>
      </c>
      <c r="X40">
        <v>0</v>
      </c>
      <c r="Y40" s="2">
        <f>Table1[[#This Row],[premium_yearly]]*Table1[[#This Row],[tenure_years]]</f>
        <v>5117.9016000000001</v>
      </c>
      <c r="Z40" s="2">
        <f>Table1[[#This Row],[total_collected_premiums]]*(1-$AD$2)</f>
        <v>3736.0681679999998</v>
      </c>
      <c r="AA40" s="2">
        <f>Table1[[#This Row],[retained_premium]]-Table1[[#This Row],[claim_amount_paid]]</f>
        <v>-2263.9318320000002</v>
      </c>
    </row>
    <row r="41" spans="1:27" x14ac:dyDescent="0.35">
      <c r="A41" t="s">
        <v>162</v>
      </c>
      <c r="B41" t="s">
        <v>163</v>
      </c>
      <c r="C41" t="s">
        <v>164</v>
      </c>
      <c r="D41" s="1">
        <v>42976</v>
      </c>
      <c r="E41" s="1">
        <v>43984</v>
      </c>
      <c r="F41" s="1">
        <v>43987</v>
      </c>
      <c r="G41">
        <v>3</v>
      </c>
      <c r="H41">
        <v>93.9</v>
      </c>
      <c r="I41">
        <v>1126.8</v>
      </c>
      <c r="J41">
        <v>2000</v>
      </c>
      <c r="K41" t="s">
        <v>27</v>
      </c>
      <c r="L41">
        <v>2000</v>
      </c>
      <c r="M41">
        <v>9.75</v>
      </c>
      <c r="N41" t="s">
        <v>36</v>
      </c>
      <c r="O41">
        <v>117</v>
      </c>
      <c r="P41">
        <v>64</v>
      </c>
      <c r="Q41">
        <v>0</v>
      </c>
      <c r="R41">
        <v>5</v>
      </c>
      <c r="S41" t="s">
        <v>29</v>
      </c>
      <c r="T41" t="s">
        <v>30</v>
      </c>
      <c r="U41" t="s">
        <v>31</v>
      </c>
      <c r="V41" t="s">
        <v>32</v>
      </c>
      <c r="W41">
        <v>0</v>
      </c>
      <c r="X41">
        <v>1</v>
      </c>
      <c r="Y41" s="2">
        <f>Table1[[#This Row],[premium_yearly]]*Table1[[#This Row],[tenure_years]]</f>
        <v>10986.3</v>
      </c>
      <c r="Z41" s="2">
        <f>Table1[[#This Row],[total_collected_premiums]]*(1-$AD$2)</f>
        <v>8019.9989999999989</v>
      </c>
      <c r="AA41" s="2">
        <f>Table1[[#This Row],[retained_premium]]-Table1[[#This Row],[claim_amount_paid]]</f>
        <v>6019.9989999999989</v>
      </c>
    </row>
    <row r="42" spans="1:27" x14ac:dyDescent="0.35">
      <c r="A42" t="s">
        <v>165</v>
      </c>
      <c r="B42" t="s">
        <v>166</v>
      </c>
      <c r="C42" t="s">
        <v>167</v>
      </c>
      <c r="D42" s="1">
        <v>40990</v>
      </c>
      <c r="E42" s="1">
        <v>43990</v>
      </c>
      <c r="F42" s="1">
        <v>43990</v>
      </c>
      <c r="G42">
        <v>0</v>
      </c>
      <c r="H42">
        <v>115.54</v>
      </c>
      <c r="I42">
        <v>1386.48</v>
      </c>
      <c r="J42">
        <v>5000</v>
      </c>
      <c r="K42" t="s">
        <v>27</v>
      </c>
      <c r="L42">
        <v>5000</v>
      </c>
      <c r="M42">
        <v>9.75</v>
      </c>
      <c r="N42" t="s">
        <v>28</v>
      </c>
      <c r="O42">
        <v>117</v>
      </c>
      <c r="P42">
        <v>29</v>
      </c>
      <c r="Q42">
        <v>1</v>
      </c>
      <c r="R42">
        <v>5</v>
      </c>
      <c r="S42" t="s">
        <v>37</v>
      </c>
      <c r="T42" t="s">
        <v>44</v>
      </c>
      <c r="U42" t="s">
        <v>58</v>
      </c>
      <c r="V42" t="s">
        <v>45</v>
      </c>
      <c r="W42">
        <v>1</v>
      </c>
      <c r="X42">
        <v>0</v>
      </c>
      <c r="Y42" s="2">
        <f>Table1[[#This Row],[premium_yearly]]*Table1[[#This Row],[tenure_years]]</f>
        <v>13518.18</v>
      </c>
      <c r="Z42" s="2">
        <f>Table1[[#This Row],[total_collected_premiums]]*(1-$AD$2)</f>
        <v>9868.2713999999996</v>
      </c>
      <c r="AA42" s="2">
        <f>Table1[[#This Row],[retained_premium]]-Table1[[#This Row],[claim_amount_paid]]</f>
        <v>4868.2713999999996</v>
      </c>
    </row>
    <row r="43" spans="1:27" x14ac:dyDescent="0.35">
      <c r="A43" t="s">
        <v>168</v>
      </c>
      <c r="B43" t="s">
        <v>169</v>
      </c>
      <c r="C43" t="s">
        <v>170</v>
      </c>
      <c r="D43" s="1">
        <v>42221</v>
      </c>
      <c r="E43" s="1">
        <v>43988</v>
      </c>
      <c r="F43" s="1">
        <v>43990</v>
      </c>
      <c r="G43">
        <v>2</v>
      </c>
      <c r="H43">
        <v>103.16</v>
      </c>
      <c r="I43">
        <v>1237.92</v>
      </c>
      <c r="J43">
        <v>3000</v>
      </c>
      <c r="K43" t="s">
        <v>27</v>
      </c>
      <c r="L43">
        <v>3000</v>
      </c>
      <c r="M43">
        <v>9.58</v>
      </c>
      <c r="N43" t="s">
        <v>49</v>
      </c>
      <c r="O43">
        <v>115</v>
      </c>
      <c r="P43">
        <v>62</v>
      </c>
      <c r="Q43">
        <v>1</v>
      </c>
      <c r="R43">
        <v>7</v>
      </c>
      <c r="S43" t="s">
        <v>65</v>
      </c>
      <c r="T43" t="s">
        <v>50</v>
      </c>
      <c r="U43" t="s">
        <v>31</v>
      </c>
      <c r="V43" t="s">
        <v>45</v>
      </c>
      <c r="W43">
        <v>0</v>
      </c>
      <c r="X43">
        <v>0</v>
      </c>
      <c r="Y43" s="2">
        <f>Table1[[#This Row],[premium_yearly]]*Table1[[#This Row],[tenure_years]]</f>
        <v>11859.2736</v>
      </c>
      <c r="Z43" s="2">
        <f>Table1[[#This Row],[total_collected_premiums]]*(1-$AD$2)</f>
        <v>8657.2697279999993</v>
      </c>
      <c r="AA43" s="2">
        <f>Table1[[#This Row],[retained_premium]]-Table1[[#This Row],[claim_amount_paid]]</f>
        <v>5657.2697279999993</v>
      </c>
    </row>
    <row r="44" spans="1:27" x14ac:dyDescent="0.35">
      <c r="A44" t="s">
        <v>171</v>
      </c>
      <c r="B44" t="s">
        <v>172</v>
      </c>
      <c r="C44" t="s">
        <v>173</v>
      </c>
      <c r="D44" s="1">
        <v>40946</v>
      </c>
      <c r="E44" s="1">
        <v>43974</v>
      </c>
      <c r="F44" s="1">
        <v>43979</v>
      </c>
      <c r="G44">
        <v>5</v>
      </c>
      <c r="H44">
        <v>124.6</v>
      </c>
      <c r="I44">
        <v>1495.2</v>
      </c>
      <c r="J44">
        <v>5000</v>
      </c>
      <c r="K44" t="s">
        <v>27</v>
      </c>
      <c r="L44">
        <v>5000</v>
      </c>
      <c r="M44">
        <v>1.83</v>
      </c>
      <c r="N44" t="s">
        <v>28</v>
      </c>
      <c r="O44">
        <v>22</v>
      </c>
      <c r="P44">
        <v>28</v>
      </c>
      <c r="Q44">
        <v>1</v>
      </c>
      <c r="R44">
        <v>7</v>
      </c>
      <c r="S44" t="s">
        <v>65</v>
      </c>
      <c r="T44" t="s">
        <v>30</v>
      </c>
      <c r="U44" t="s">
        <v>38</v>
      </c>
      <c r="V44" t="s">
        <v>45</v>
      </c>
      <c r="W44">
        <v>0</v>
      </c>
      <c r="X44">
        <v>1</v>
      </c>
      <c r="Y44" s="2">
        <f>Table1[[#This Row],[premium_yearly]]*Table1[[#This Row],[tenure_years]]</f>
        <v>2736.2160000000003</v>
      </c>
      <c r="Z44" s="2">
        <f>Table1[[#This Row],[total_collected_premiums]]*(1-$AD$2)</f>
        <v>1997.4376800000002</v>
      </c>
      <c r="AA44" s="2">
        <f>Table1[[#This Row],[retained_premium]]-Table1[[#This Row],[claim_amount_paid]]</f>
        <v>-3002.56232</v>
      </c>
    </row>
    <row r="45" spans="1:27" x14ac:dyDescent="0.35">
      <c r="A45" t="s">
        <v>174</v>
      </c>
      <c r="B45" t="s">
        <v>175</v>
      </c>
      <c r="C45" t="s">
        <v>176</v>
      </c>
      <c r="D45" s="1">
        <v>41971</v>
      </c>
      <c r="E45" s="1">
        <v>43986</v>
      </c>
      <c r="F45" s="1">
        <v>43989</v>
      </c>
      <c r="G45">
        <v>3</v>
      </c>
      <c r="H45">
        <v>106.34</v>
      </c>
      <c r="I45">
        <v>1276.08</v>
      </c>
      <c r="J45">
        <v>8000</v>
      </c>
      <c r="K45" t="s">
        <v>43</v>
      </c>
      <c r="L45">
        <v>0</v>
      </c>
      <c r="M45">
        <v>6.17</v>
      </c>
      <c r="N45" t="s">
        <v>49</v>
      </c>
      <c r="O45">
        <v>74</v>
      </c>
      <c r="P45">
        <v>37</v>
      </c>
      <c r="Q45">
        <v>1</v>
      </c>
      <c r="R45">
        <v>6</v>
      </c>
      <c r="S45" t="s">
        <v>65</v>
      </c>
      <c r="T45" t="s">
        <v>30</v>
      </c>
      <c r="U45" t="s">
        <v>38</v>
      </c>
      <c r="V45" t="s">
        <v>45</v>
      </c>
      <c r="W45">
        <v>0</v>
      </c>
      <c r="X45">
        <v>1</v>
      </c>
      <c r="Y45" s="2">
        <f>Table1[[#This Row],[premium_yearly]]*Table1[[#This Row],[tenure_years]]</f>
        <v>7873.4135999999999</v>
      </c>
      <c r="Z45" s="2">
        <f>Table1[[#This Row],[total_collected_premiums]]*(1-$AD$2)</f>
        <v>5747.5919279999998</v>
      </c>
      <c r="AA45" s="2">
        <f>Table1[[#This Row],[retained_premium]]-Table1[[#This Row],[claim_amount_paid]]</f>
        <v>5747.5919279999998</v>
      </c>
    </row>
    <row r="46" spans="1:27" x14ac:dyDescent="0.35">
      <c r="A46" t="s">
        <v>177</v>
      </c>
      <c r="B46" t="s">
        <v>178</v>
      </c>
      <c r="C46" t="s">
        <v>179</v>
      </c>
      <c r="D46" s="1">
        <v>42683</v>
      </c>
      <c r="E46" s="1">
        <v>43981</v>
      </c>
      <c r="F46" s="1">
        <v>43986</v>
      </c>
      <c r="G46">
        <v>5</v>
      </c>
      <c r="H46">
        <v>96.1</v>
      </c>
      <c r="I46">
        <v>1153.2</v>
      </c>
      <c r="J46">
        <v>6000</v>
      </c>
      <c r="K46" t="s">
        <v>27</v>
      </c>
      <c r="L46">
        <v>6000</v>
      </c>
      <c r="M46">
        <v>6.67</v>
      </c>
      <c r="N46" t="s">
        <v>49</v>
      </c>
      <c r="O46">
        <v>80</v>
      </c>
      <c r="P46">
        <v>28</v>
      </c>
      <c r="Q46">
        <v>1</v>
      </c>
      <c r="R46">
        <v>7</v>
      </c>
      <c r="S46" t="s">
        <v>65</v>
      </c>
      <c r="T46" t="s">
        <v>50</v>
      </c>
      <c r="U46" t="s">
        <v>31</v>
      </c>
      <c r="V46" t="s">
        <v>45</v>
      </c>
      <c r="W46">
        <v>1</v>
      </c>
      <c r="X46">
        <v>0</v>
      </c>
      <c r="Y46" s="2">
        <f>Table1[[#This Row],[premium_yearly]]*Table1[[#This Row],[tenure_years]]</f>
        <v>7691.8440000000001</v>
      </c>
      <c r="Z46" s="2">
        <f>Table1[[#This Row],[total_collected_premiums]]*(1-$AD$2)</f>
        <v>5615.04612</v>
      </c>
      <c r="AA46" s="2">
        <f>Table1[[#This Row],[retained_premium]]-Table1[[#This Row],[claim_amount_paid]]</f>
        <v>-384.95388000000003</v>
      </c>
    </row>
    <row r="47" spans="1:27" x14ac:dyDescent="0.35">
      <c r="A47" t="s">
        <v>180</v>
      </c>
      <c r="B47" t="s">
        <v>181</v>
      </c>
      <c r="C47" t="s">
        <v>182</v>
      </c>
      <c r="D47" s="1">
        <v>43594</v>
      </c>
      <c r="E47" s="1">
        <v>43990</v>
      </c>
      <c r="F47" s="1">
        <v>43991</v>
      </c>
      <c r="G47">
        <v>1</v>
      </c>
      <c r="H47">
        <v>110.44</v>
      </c>
      <c r="I47">
        <v>1325.28</v>
      </c>
      <c r="J47">
        <v>3000</v>
      </c>
      <c r="K47" t="s">
        <v>27</v>
      </c>
      <c r="L47">
        <v>3000</v>
      </c>
      <c r="M47">
        <v>5.58</v>
      </c>
      <c r="N47" t="s">
        <v>28</v>
      </c>
      <c r="O47">
        <v>67</v>
      </c>
      <c r="P47">
        <v>42</v>
      </c>
      <c r="Q47">
        <v>1</v>
      </c>
      <c r="R47">
        <v>7</v>
      </c>
      <c r="S47" t="s">
        <v>65</v>
      </c>
      <c r="T47" t="s">
        <v>44</v>
      </c>
      <c r="U47" t="s">
        <v>38</v>
      </c>
      <c r="V47" t="s">
        <v>39</v>
      </c>
      <c r="W47">
        <v>1</v>
      </c>
      <c r="X47">
        <v>1</v>
      </c>
      <c r="Y47" s="2">
        <f>Table1[[#This Row],[premium_yearly]]*Table1[[#This Row],[tenure_years]]</f>
        <v>7395.0623999999998</v>
      </c>
      <c r="Z47" s="2">
        <f>Table1[[#This Row],[total_collected_premiums]]*(1-$AD$2)</f>
        <v>5398.395552</v>
      </c>
      <c r="AA47" s="2">
        <f>Table1[[#This Row],[retained_premium]]-Table1[[#This Row],[claim_amount_paid]]</f>
        <v>2398.395552</v>
      </c>
    </row>
    <row r="48" spans="1:27" x14ac:dyDescent="0.35">
      <c r="A48" t="s">
        <v>183</v>
      </c>
      <c r="B48" t="s">
        <v>184</v>
      </c>
      <c r="C48" t="s">
        <v>185</v>
      </c>
      <c r="D48" s="1">
        <v>43452</v>
      </c>
      <c r="E48" s="1">
        <v>43983</v>
      </c>
      <c r="F48" s="1">
        <v>43988</v>
      </c>
      <c r="G48">
        <v>5</v>
      </c>
      <c r="H48">
        <v>121.7</v>
      </c>
      <c r="I48">
        <v>1460.4</v>
      </c>
      <c r="J48">
        <v>4000</v>
      </c>
      <c r="K48" t="s">
        <v>27</v>
      </c>
      <c r="L48">
        <v>4000</v>
      </c>
      <c r="M48">
        <v>8.42</v>
      </c>
      <c r="N48" t="s">
        <v>36</v>
      </c>
      <c r="O48">
        <v>101</v>
      </c>
      <c r="P48">
        <v>46</v>
      </c>
      <c r="Q48">
        <v>0</v>
      </c>
      <c r="R48">
        <v>4</v>
      </c>
      <c r="S48" t="s">
        <v>37</v>
      </c>
      <c r="T48" t="s">
        <v>30</v>
      </c>
      <c r="U48" t="s">
        <v>38</v>
      </c>
      <c r="V48" t="s">
        <v>39</v>
      </c>
      <c r="W48">
        <v>0</v>
      </c>
      <c r="X48">
        <v>0</v>
      </c>
      <c r="Y48" s="2">
        <f>Table1[[#This Row],[premium_yearly]]*Table1[[#This Row],[tenure_years]]</f>
        <v>12296.568000000001</v>
      </c>
      <c r="Z48" s="2">
        <f>Table1[[#This Row],[total_collected_premiums]]*(1-$AD$2)</f>
        <v>8976.4946400000008</v>
      </c>
      <c r="AA48" s="2">
        <f>Table1[[#This Row],[retained_premium]]-Table1[[#This Row],[claim_amount_paid]]</f>
        <v>4976.4946400000008</v>
      </c>
    </row>
    <row r="49" spans="1:27" x14ac:dyDescent="0.35">
      <c r="A49" t="s">
        <v>186</v>
      </c>
      <c r="B49" t="s">
        <v>187</v>
      </c>
      <c r="C49" t="s">
        <v>188</v>
      </c>
      <c r="D49" s="1">
        <v>41324</v>
      </c>
      <c r="E49" s="1">
        <v>43975</v>
      </c>
      <c r="F49" s="1">
        <v>43980</v>
      </c>
      <c r="G49">
        <v>5</v>
      </c>
      <c r="H49">
        <v>114.12</v>
      </c>
      <c r="I49">
        <v>1369.44</v>
      </c>
      <c r="J49">
        <v>5000</v>
      </c>
      <c r="K49" t="s">
        <v>27</v>
      </c>
      <c r="L49">
        <v>5000</v>
      </c>
      <c r="M49">
        <v>6.25</v>
      </c>
      <c r="N49" t="s">
        <v>28</v>
      </c>
      <c r="O49">
        <v>75</v>
      </c>
      <c r="P49">
        <v>61</v>
      </c>
      <c r="Q49">
        <v>0</v>
      </c>
      <c r="R49">
        <v>5</v>
      </c>
      <c r="S49" t="s">
        <v>37</v>
      </c>
      <c r="T49" t="s">
        <v>44</v>
      </c>
      <c r="U49" t="s">
        <v>31</v>
      </c>
      <c r="V49" t="s">
        <v>32</v>
      </c>
      <c r="W49">
        <v>1</v>
      </c>
      <c r="X49">
        <v>0</v>
      </c>
      <c r="Y49" s="2">
        <f>Table1[[#This Row],[premium_yearly]]*Table1[[#This Row],[tenure_years]]</f>
        <v>8559</v>
      </c>
      <c r="Z49" s="2">
        <f>Table1[[#This Row],[total_collected_premiums]]*(1-$AD$2)</f>
        <v>6248.07</v>
      </c>
      <c r="AA49" s="2">
        <f>Table1[[#This Row],[retained_premium]]-Table1[[#This Row],[claim_amount_paid]]</f>
        <v>1248.0699999999997</v>
      </c>
    </row>
    <row r="50" spans="1:27" x14ac:dyDescent="0.35">
      <c r="A50" t="s">
        <v>189</v>
      </c>
      <c r="B50" t="s">
        <v>190</v>
      </c>
      <c r="C50" t="s">
        <v>191</v>
      </c>
      <c r="D50" s="1">
        <v>42709</v>
      </c>
      <c r="E50" s="1">
        <v>43986</v>
      </c>
      <c r="F50" s="1">
        <v>43989</v>
      </c>
      <c r="G50">
        <v>3</v>
      </c>
      <c r="H50">
        <v>104.64</v>
      </c>
      <c r="I50">
        <v>1255.68</v>
      </c>
      <c r="J50">
        <v>8000</v>
      </c>
      <c r="K50" t="s">
        <v>27</v>
      </c>
      <c r="L50">
        <v>8000</v>
      </c>
      <c r="M50">
        <v>1.92</v>
      </c>
      <c r="N50" t="s">
        <v>28</v>
      </c>
      <c r="O50">
        <v>23</v>
      </c>
      <c r="P50">
        <v>56</v>
      </c>
      <c r="Q50">
        <v>1</v>
      </c>
      <c r="R50">
        <v>6</v>
      </c>
      <c r="S50" t="s">
        <v>29</v>
      </c>
      <c r="T50" t="s">
        <v>30</v>
      </c>
      <c r="U50" t="s">
        <v>107</v>
      </c>
      <c r="V50" t="s">
        <v>45</v>
      </c>
      <c r="W50">
        <v>0</v>
      </c>
      <c r="X50">
        <v>0</v>
      </c>
      <c r="Y50" s="2">
        <f>Table1[[#This Row],[premium_yearly]]*Table1[[#This Row],[tenure_years]]</f>
        <v>2410.9056</v>
      </c>
      <c r="Z50" s="2">
        <f>Table1[[#This Row],[total_collected_premiums]]*(1-$AD$2)</f>
        <v>1759.961088</v>
      </c>
      <c r="AA50" s="2">
        <f>Table1[[#This Row],[retained_premium]]-Table1[[#This Row],[claim_amount_paid]]</f>
        <v>-6240.038912</v>
      </c>
    </row>
    <row r="51" spans="1:27" x14ac:dyDescent="0.35">
      <c r="A51" t="s">
        <v>192</v>
      </c>
      <c r="B51" t="s">
        <v>193</v>
      </c>
      <c r="C51" t="s">
        <v>194</v>
      </c>
      <c r="D51" s="1">
        <v>40949</v>
      </c>
      <c r="E51" s="1">
        <v>43978</v>
      </c>
      <c r="F51" s="1">
        <v>43983</v>
      </c>
      <c r="G51">
        <v>5</v>
      </c>
      <c r="H51">
        <v>97.13</v>
      </c>
      <c r="I51">
        <v>1165.56</v>
      </c>
      <c r="J51">
        <v>6000</v>
      </c>
      <c r="K51" t="s">
        <v>27</v>
      </c>
      <c r="L51">
        <v>6000</v>
      </c>
      <c r="M51">
        <v>4.17</v>
      </c>
      <c r="N51" t="s">
        <v>36</v>
      </c>
      <c r="O51">
        <v>50</v>
      </c>
      <c r="P51">
        <v>51</v>
      </c>
      <c r="Q51">
        <v>1</v>
      </c>
      <c r="R51">
        <v>2</v>
      </c>
      <c r="S51" t="s">
        <v>29</v>
      </c>
      <c r="T51" t="s">
        <v>50</v>
      </c>
      <c r="U51" t="s">
        <v>38</v>
      </c>
      <c r="V51" t="s">
        <v>39</v>
      </c>
      <c r="W51">
        <v>0</v>
      </c>
      <c r="X51">
        <v>0</v>
      </c>
      <c r="Y51" s="2">
        <f>Table1[[#This Row],[premium_yearly]]*Table1[[#This Row],[tenure_years]]</f>
        <v>4860.3851999999997</v>
      </c>
      <c r="Z51" s="2">
        <f>Table1[[#This Row],[total_collected_premiums]]*(1-$AD$2)</f>
        <v>3548.0811959999996</v>
      </c>
      <c r="AA51" s="2">
        <f>Table1[[#This Row],[retained_premium]]-Table1[[#This Row],[claim_amount_paid]]</f>
        <v>-2451.9188040000004</v>
      </c>
    </row>
    <row r="52" spans="1:27" x14ac:dyDescent="0.35">
      <c r="A52" t="s">
        <v>195</v>
      </c>
      <c r="B52" t="s">
        <v>196</v>
      </c>
      <c r="C52" t="s">
        <v>197</v>
      </c>
      <c r="D52" s="1">
        <v>42004</v>
      </c>
      <c r="E52" s="1">
        <v>43986</v>
      </c>
      <c r="F52" s="1">
        <v>43989</v>
      </c>
      <c r="G52">
        <v>3</v>
      </c>
      <c r="H52">
        <v>81.75</v>
      </c>
      <c r="I52">
        <v>981</v>
      </c>
      <c r="J52">
        <v>1000</v>
      </c>
      <c r="K52" t="s">
        <v>27</v>
      </c>
      <c r="L52">
        <v>1000</v>
      </c>
      <c r="M52">
        <v>6</v>
      </c>
      <c r="N52" t="s">
        <v>36</v>
      </c>
      <c r="O52">
        <v>72</v>
      </c>
      <c r="P52">
        <v>33</v>
      </c>
      <c r="Q52">
        <v>1</v>
      </c>
      <c r="R52">
        <v>5</v>
      </c>
      <c r="S52" t="s">
        <v>29</v>
      </c>
      <c r="T52" t="s">
        <v>44</v>
      </c>
      <c r="U52" t="s">
        <v>38</v>
      </c>
      <c r="V52" t="s">
        <v>32</v>
      </c>
      <c r="W52">
        <v>1</v>
      </c>
      <c r="X52">
        <v>0</v>
      </c>
      <c r="Y52" s="2">
        <f>Table1[[#This Row],[premium_yearly]]*Table1[[#This Row],[tenure_years]]</f>
        <v>5886</v>
      </c>
      <c r="Z52" s="2">
        <f>Table1[[#This Row],[total_collected_premiums]]*(1-$AD$2)</f>
        <v>4296.78</v>
      </c>
      <c r="AA52" s="2">
        <f>Table1[[#This Row],[retained_premium]]-Table1[[#This Row],[claim_amount_paid]]</f>
        <v>3296.7799999999997</v>
      </c>
    </row>
    <row r="53" spans="1:27" x14ac:dyDescent="0.35">
      <c r="A53" t="s">
        <v>198</v>
      </c>
      <c r="B53" t="s">
        <v>199</v>
      </c>
      <c r="C53" t="s">
        <v>200</v>
      </c>
      <c r="D53" s="1">
        <v>40481</v>
      </c>
      <c r="E53" s="1">
        <v>43986</v>
      </c>
      <c r="F53" s="1">
        <v>43989</v>
      </c>
      <c r="G53">
        <v>3</v>
      </c>
      <c r="H53">
        <v>90.83</v>
      </c>
      <c r="I53">
        <v>1089.96</v>
      </c>
      <c r="J53">
        <v>4000</v>
      </c>
      <c r="K53" t="s">
        <v>27</v>
      </c>
      <c r="L53">
        <v>4000</v>
      </c>
      <c r="M53">
        <v>9.25</v>
      </c>
      <c r="N53" t="s">
        <v>36</v>
      </c>
      <c r="O53">
        <v>111</v>
      </c>
      <c r="P53">
        <v>44</v>
      </c>
      <c r="Q53">
        <v>1</v>
      </c>
      <c r="R53">
        <v>5</v>
      </c>
      <c r="S53" t="s">
        <v>37</v>
      </c>
      <c r="T53" t="s">
        <v>44</v>
      </c>
      <c r="U53" t="s">
        <v>58</v>
      </c>
      <c r="V53" t="s">
        <v>32</v>
      </c>
      <c r="W53">
        <v>1</v>
      </c>
      <c r="X53">
        <v>0</v>
      </c>
      <c r="Y53" s="2">
        <f>Table1[[#This Row],[premium_yearly]]*Table1[[#This Row],[tenure_years]]</f>
        <v>10082.130000000001</v>
      </c>
      <c r="Z53" s="2">
        <f>Table1[[#This Row],[total_collected_premiums]]*(1-$AD$2)</f>
        <v>7359.9549000000006</v>
      </c>
      <c r="AA53" s="2">
        <f>Table1[[#This Row],[retained_premium]]-Table1[[#This Row],[claim_amount_paid]]</f>
        <v>3359.9549000000006</v>
      </c>
    </row>
    <row r="54" spans="1:27" x14ac:dyDescent="0.35">
      <c r="A54" t="s">
        <v>201</v>
      </c>
      <c r="B54" t="s">
        <v>202</v>
      </c>
      <c r="C54" t="s">
        <v>203</v>
      </c>
      <c r="D54" s="1">
        <v>41600</v>
      </c>
      <c r="E54" s="1">
        <v>43992</v>
      </c>
      <c r="F54" s="1">
        <v>43993</v>
      </c>
      <c r="G54">
        <v>1</v>
      </c>
      <c r="H54">
        <v>137.71</v>
      </c>
      <c r="I54">
        <v>1652.52</v>
      </c>
      <c r="J54">
        <v>8000</v>
      </c>
      <c r="K54" t="s">
        <v>27</v>
      </c>
      <c r="L54">
        <v>8000</v>
      </c>
      <c r="M54">
        <v>5.33</v>
      </c>
      <c r="N54" t="s">
        <v>36</v>
      </c>
      <c r="O54">
        <v>64</v>
      </c>
      <c r="P54">
        <v>63</v>
      </c>
      <c r="Q54">
        <v>1</v>
      </c>
      <c r="R54">
        <v>7</v>
      </c>
      <c r="S54" t="s">
        <v>29</v>
      </c>
      <c r="T54" t="s">
        <v>30</v>
      </c>
      <c r="U54" t="s">
        <v>51</v>
      </c>
      <c r="V54" t="s">
        <v>45</v>
      </c>
      <c r="W54">
        <v>1</v>
      </c>
      <c r="X54">
        <v>0</v>
      </c>
      <c r="Y54" s="2">
        <f>Table1[[#This Row],[premium_yearly]]*Table1[[#This Row],[tenure_years]]</f>
        <v>8807.9315999999999</v>
      </c>
      <c r="Z54" s="2">
        <f>Table1[[#This Row],[total_collected_premiums]]*(1-$AD$2)</f>
        <v>6429.7900679999993</v>
      </c>
      <c r="AA54" s="2">
        <f>Table1[[#This Row],[retained_premium]]-Table1[[#This Row],[claim_amount_paid]]</f>
        <v>-1570.2099320000007</v>
      </c>
    </row>
    <row r="55" spans="1:27" x14ac:dyDescent="0.35">
      <c r="A55" t="s">
        <v>204</v>
      </c>
      <c r="B55" t="s">
        <v>205</v>
      </c>
      <c r="C55" t="s">
        <v>206</v>
      </c>
      <c r="D55" s="1">
        <v>40884</v>
      </c>
      <c r="E55" s="1">
        <v>43990</v>
      </c>
      <c r="F55" s="1">
        <v>43992</v>
      </c>
      <c r="G55">
        <v>2</v>
      </c>
      <c r="H55">
        <v>87.64</v>
      </c>
      <c r="I55">
        <v>1051.68</v>
      </c>
      <c r="J55">
        <v>10000</v>
      </c>
      <c r="K55" t="s">
        <v>27</v>
      </c>
      <c r="L55">
        <v>10000</v>
      </c>
      <c r="M55">
        <v>8.08</v>
      </c>
      <c r="N55" t="s">
        <v>28</v>
      </c>
      <c r="O55">
        <v>97</v>
      </c>
      <c r="P55">
        <v>53</v>
      </c>
      <c r="Q55">
        <v>1</v>
      </c>
      <c r="R55">
        <v>7</v>
      </c>
      <c r="S55" t="s">
        <v>65</v>
      </c>
      <c r="T55" t="s">
        <v>44</v>
      </c>
      <c r="U55" t="s">
        <v>38</v>
      </c>
      <c r="V55" t="s">
        <v>39</v>
      </c>
      <c r="W55">
        <v>0</v>
      </c>
      <c r="X55">
        <v>1</v>
      </c>
      <c r="Y55" s="2">
        <f>Table1[[#This Row],[premium_yearly]]*Table1[[#This Row],[tenure_years]]</f>
        <v>8497.5744000000013</v>
      </c>
      <c r="Z55" s="2">
        <f>Table1[[#This Row],[total_collected_premiums]]*(1-$AD$2)</f>
        <v>6203.2293120000004</v>
      </c>
      <c r="AA55" s="2">
        <f>Table1[[#This Row],[retained_premium]]-Table1[[#This Row],[claim_amount_paid]]</f>
        <v>-3796.7706879999996</v>
      </c>
    </row>
    <row r="56" spans="1:27" x14ac:dyDescent="0.35">
      <c r="A56" t="s">
        <v>207</v>
      </c>
      <c r="B56" t="s">
        <v>208</v>
      </c>
      <c r="C56" t="s">
        <v>209</v>
      </c>
      <c r="D56" s="1">
        <v>40528</v>
      </c>
      <c r="E56" s="1">
        <v>43995</v>
      </c>
      <c r="F56" s="1">
        <v>43995</v>
      </c>
      <c r="G56">
        <v>0</v>
      </c>
      <c r="H56">
        <v>108.84</v>
      </c>
      <c r="I56">
        <v>1306.08</v>
      </c>
      <c r="J56">
        <v>4000</v>
      </c>
      <c r="K56" t="s">
        <v>27</v>
      </c>
      <c r="L56">
        <v>4000</v>
      </c>
      <c r="M56">
        <v>4.67</v>
      </c>
      <c r="N56" t="s">
        <v>49</v>
      </c>
      <c r="O56">
        <v>56</v>
      </c>
      <c r="P56">
        <v>57</v>
      </c>
      <c r="Q56">
        <v>1</v>
      </c>
      <c r="R56">
        <v>6</v>
      </c>
      <c r="S56" t="s">
        <v>65</v>
      </c>
      <c r="T56" t="s">
        <v>30</v>
      </c>
      <c r="U56" t="s">
        <v>88</v>
      </c>
      <c r="V56" t="s">
        <v>45</v>
      </c>
      <c r="W56">
        <v>0</v>
      </c>
      <c r="X56">
        <v>1</v>
      </c>
      <c r="Y56" s="2">
        <f>Table1[[#This Row],[premium_yearly]]*Table1[[#This Row],[tenure_years]]</f>
        <v>6099.3935999999994</v>
      </c>
      <c r="Z56" s="2">
        <f>Table1[[#This Row],[total_collected_premiums]]*(1-$AD$2)</f>
        <v>4452.5573279999999</v>
      </c>
      <c r="AA56" s="2">
        <f>Table1[[#This Row],[retained_premium]]-Table1[[#This Row],[claim_amount_paid]]</f>
        <v>452.55732799999987</v>
      </c>
    </row>
    <row r="57" spans="1:27" x14ac:dyDescent="0.35">
      <c r="A57" t="s">
        <v>210</v>
      </c>
      <c r="B57" t="s">
        <v>211</v>
      </c>
      <c r="C57" t="s">
        <v>212</v>
      </c>
      <c r="D57" s="1">
        <v>42899</v>
      </c>
      <c r="E57" s="1">
        <v>43993</v>
      </c>
      <c r="F57" s="1">
        <v>43993</v>
      </c>
      <c r="G57">
        <v>0</v>
      </c>
      <c r="H57">
        <v>104.97</v>
      </c>
      <c r="I57">
        <v>1259.6400000000001</v>
      </c>
      <c r="J57">
        <v>1000</v>
      </c>
      <c r="K57" t="s">
        <v>27</v>
      </c>
      <c r="L57">
        <v>1000</v>
      </c>
      <c r="M57">
        <v>6.08</v>
      </c>
      <c r="N57" t="s">
        <v>49</v>
      </c>
      <c r="O57">
        <v>73</v>
      </c>
      <c r="P57">
        <v>55</v>
      </c>
      <c r="Q57">
        <v>0</v>
      </c>
      <c r="R57">
        <v>6</v>
      </c>
      <c r="S57" t="s">
        <v>65</v>
      </c>
      <c r="T57" t="s">
        <v>44</v>
      </c>
      <c r="U57" t="s">
        <v>58</v>
      </c>
      <c r="V57" t="s">
        <v>39</v>
      </c>
      <c r="W57">
        <v>1</v>
      </c>
      <c r="X57">
        <v>1</v>
      </c>
      <c r="Y57" s="2">
        <f>Table1[[#This Row],[premium_yearly]]*Table1[[#This Row],[tenure_years]]</f>
        <v>7658.6112000000003</v>
      </c>
      <c r="Z57" s="2">
        <f>Table1[[#This Row],[total_collected_premiums]]*(1-$AD$2)</f>
        <v>5590.7861760000005</v>
      </c>
      <c r="AA57" s="2">
        <f>Table1[[#This Row],[retained_premium]]-Table1[[#This Row],[claim_amount_paid]]</f>
        <v>4590.7861760000005</v>
      </c>
    </row>
    <row r="58" spans="1:27" x14ac:dyDescent="0.35">
      <c r="A58" t="s">
        <v>213</v>
      </c>
      <c r="B58" t="s">
        <v>214</v>
      </c>
      <c r="C58" t="s">
        <v>215</v>
      </c>
      <c r="D58" s="1">
        <v>42494</v>
      </c>
      <c r="E58" s="1">
        <v>43991</v>
      </c>
      <c r="F58" s="1">
        <v>43992</v>
      </c>
      <c r="G58">
        <v>1</v>
      </c>
      <c r="H58">
        <v>101.29</v>
      </c>
      <c r="I58">
        <v>1215.48</v>
      </c>
      <c r="J58">
        <v>4000</v>
      </c>
      <c r="K58" t="s">
        <v>27</v>
      </c>
      <c r="L58">
        <v>4000</v>
      </c>
      <c r="M58">
        <v>2.67</v>
      </c>
      <c r="N58" t="s">
        <v>36</v>
      </c>
      <c r="O58">
        <v>32</v>
      </c>
      <c r="P58">
        <v>40</v>
      </c>
      <c r="Q58">
        <v>0</v>
      </c>
      <c r="R58">
        <v>4</v>
      </c>
      <c r="S58" t="s">
        <v>37</v>
      </c>
      <c r="T58" t="s">
        <v>30</v>
      </c>
      <c r="U58" t="s">
        <v>31</v>
      </c>
      <c r="V58" t="s">
        <v>45</v>
      </c>
      <c r="W58">
        <v>1</v>
      </c>
      <c r="X58">
        <v>1</v>
      </c>
      <c r="Y58" s="2">
        <f>Table1[[#This Row],[premium_yearly]]*Table1[[#This Row],[tenure_years]]</f>
        <v>3245.3316</v>
      </c>
      <c r="Z58" s="2">
        <f>Table1[[#This Row],[total_collected_premiums]]*(1-$AD$2)</f>
        <v>2369.0920679999999</v>
      </c>
      <c r="AA58" s="2">
        <f>Table1[[#This Row],[retained_premium]]-Table1[[#This Row],[claim_amount_paid]]</f>
        <v>-1630.9079320000001</v>
      </c>
    </row>
    <row r="59" spans="1:27" x14ac:dyDescent="0.35">
      <c r="A59" t="s">
        <v>216</v>
      </c>
      <c r="B59" t="s">
        <v>217</v>
      </c>
      <c r="C59" t="s">
        <v>218</v>
      </c>
      <c r="D59" s="1">
        <v>41239</v>
      </c>
      <c r="E59" s="1">
        <v>43977</v>
      </c>
      <c r="F59" s="1">
        <v>43982</v>
      </c>
      <c r="G59">
        <v>5</v>
      </c>
      <c r="H59">
        <v>121.21</v>
      </c>
      <c r="I59">
        <v>1454.52</v>
      </c>
      <c r="J59">
        <v>7000</v>
      </c>
      <c r="K59" t="s">
        <v>27</v>
      </c>
      <c r="L59">
        <v>7000</v>
      </c>
      <c r="M59">
        <v>5.92</v>
      </c>
      <c r="N59" t="s">
        <v>49</v>
      </c>
      <c r="O59">
        <v>71</v>
      </c>
      <c r="P59">
        <v>29</v>
      </c>
      <c r="Q59">
        <v>1</v>
      </c>
      <c r="R59">
        <v>3</v>
      </c>
      <c r="S59" t="s">
        <v>29</v>
      </c>
      <c r="T59" t="s">
        <v>30</v>
      </c>
      <c r="U59" t="s">
        <v>58</v>
      </c>
      <c r="V59" t="s">
        <v>32</v>
      </c>
      <c r="W59">
        <v>1</v>
      </c>
      <c r="X59">
        <v>1</v>
      </c>
      <c r="Y59" s="2">
        <f>Table1[[#This Row],[premium_yearly]]*Table1[[#This Row],[tenure_years]]</f>
        <v>8610.7584000000006</v>
      </c>
      <c r="Z59" s="2">
        <f>Table1[[#This Row],[total_collected_premiums]]*(1-$AD$2)</f>
        <v>6285.8536320000003</v>
      </c>
      <c r="AA59" s="2">
        <f>Table1[[#This Row],[retained_premium]]-Table1[[#This Row],[claim_amount_paid]]</f>
        <v>-714.14636799999971</v>
      </c>
    </row>
    <row r="60" spans="1:27" x14ac:dyDescent="0.35">
      <c r="A60" t="s">
        <v>219</v>
      </c>
      <c r="B60" t="s">
        <v>220</v>
      </c>
      <c r="C60" t="s">
        <v>221</v>
      </c>
      <c r="D60" s="1">
        <v>41462</v>
      </c>
      <c r="E60" s="1">
        <v>43993</v>
      </c>
      <c r="F60" s="1">
        <v>43993</v>
      </c>
      <c r="G60">
        <v>0</v>
      </c>
      <c r="H60">
        <v>126.97</v>
      </c>
      <c r="I60">
        <v>1523.64</v>
      </c>
      <c r="J60">
        <v>5000</v>
      </c>
      <c r="K60" t="s">
        <v>27</v>
      </c>
      <c r="L60">
        <v>5000</v>
      </c>
      <c r="M60">
        <v>3.42</v>
      </c>
      <c r="N60" t="s">
        <v>36</v>
      </c>
      <c r="O60">
        <v>41</v>
      </c>
      <c r="P60">
        <v>47</v>
      </c>
      <c r="Q60">
        <v>1</v>
      </c>
      <c r="R60">
        <v>6</v>
      </c>
      <c r="S60" t="s">
        <v>37</v>
      </c>
      <c r="T60" t="s">
        <v>44</v>
      </c>
      <c r="U60" t="s">
        <v>58</v>
      </c>
      <c r="V60" t="s">
        <v>39</v>
      </c>
      <c r="W60">
        <v>1</v>
      </c>
      <c r="X60">
        <v>0</v>
      </c>
      <c r="Y60" s="2">
        <f>Table1[[#This Row],[premium_yearly]]*Table1[[#This Row],[tenure_years]]</f>
        <v>5210.8488000000007</v>
      </c>
      <c r="Z60" s="2">
        <f>Table1[[#This Row],[total_collected_premiums]]*(1-$AD$2)</f>
        <v>3803.9196240000006</v>
      </c>
      <c r="AA60" s="2">
        <f>Table1[[#This Row],[retained_premium]]-Table1[[#This Row],[claim_amount_paid]]</f>
        <v>-1196.0803759999994</v>
      </c>
    </row>
    <row r="61" spans="1:27" x14ac:dyDescent="0.35">
      <c r="A61" t="s">
        <v>222</v>
      </c>
      <c r="B61" t="s">
        <v>223</v>
      </c>
      <c r="C61" t="s">
        <v>224</v>
      </c>
      <c r="D61" s="1">
        <v>41136</v>
      </c>
      <c r="E61" s="1">
        <v>43992</v>
      </c>
      <c r="F61" s="1">
        <v>43993</v>
      </c>
      <c r="G61">
        <v>1</v>
      </c>
      <c r="H61">
        <v>104.23</v>
      </c>
      <c r="I61">
        <v>1250.76</v>
      </c>
      <c r="J61">
        <v>1000</v>
      </c>
      <c r="K61" t="s">
        <v>27</v>
      </c>
      <c r="L61">
        <v>1000</v>
      </c>
      <c r="M61">
        <v>8.08</v>
      </c>
      <c r="N61" t="s">
        <v>28</v>
      </c>
      <c r="O61">
        <v>97</v>
      </c>
      <c r="P61">
        <v>61</v>
      </c>
      <c r="Q61">
        <v>0</v>
      </c>
      <c r="R61">
        <v>2</v>
      </c>
      <c r="S61" t="s">
        <v>29</v>
      </c>
      <c r="T61" t="s">
        <v>30</v>
      </c>
      <c r="U61" t="s">
        <v>58</v>
      </c>
      <c r="V61" t="s">
        <v>39</v>
      </c>
      <c r="W61">
        <v>1</v>
      </c>
      <c r="X61">
        <v>1</v>
      </c>
      <c r="Y61" s="2">
        <f>Table1[[#This Row],[premium_yearly]]*Table1[[#This Row],[tenure_years]]</f>
        <v>10106.140799999999</v>
      </c>
      <c r="Z61" s="2">
        <f>Table1[[#This Row],[total_collected_premiums]]*(1-$AD$2)</f>
        <v>7377.4827839999989</v>
      </c>
      <c r="AA61" s="2">
        <f>Table1[[#This Row],[retained_premium]]-Table1[[#This Row],[claim_amount_paid]]</f>
        <v>6377.4827839999989</v>
      </c>
    </row>
    <row r="62" spans="1:27" x14ac:dyDescent="0.35">
      <c r="A62" t="s">
        <v>225</v>
      </c>
      <c r="B62" t="s">
        <v>226</v>
      </c>
      <c r="C62" t="s">
        <v>227</v>
      </c>
      <c r="D62" s="1">
        <v>41944</v>
      </c>
      <c r="E62" s="1">
        <v>43995</v>
      </c>
      <c r="F62" s="1">
        <v>43995</v>
      </c>
      <c r="G62">
        <v>0</v>
      </c>
      <c r="H62">
        <v>104.1</v>
      </c>
      <c r="I62">
        <v>1249.2</v>
      </c>
      <c r="J62">
        <v>6000</v>
      </c>
      <c r="K62" t="s">
        <v>27</v>
      </c>
      <c r="L62">
        <v>6000</v>
      </c>
      <c r="M62">
        <v>8.42</v>
      </c>
      <c r="N62" t="s">
        <v>49</v>
      </c>
      <c r="O62">
        <v>101</v>
      </c>
      <c r="P62">
        <v>47</v>
      </c>
      <c r="Q62">
        <v>1</v>
      </c>
      <c r="R62">
        <v>4</v>
      </c>
      <c r="S62" t="s">
        <v>29</v>
      </c>
      <c r="T62" t="s">
        <v>50</v>
      </c>
      <c r="U62" t="s">
        <v>58</v>
      </c>
      <c r="V62" t="s">
        <v>45</v>
      </c>
      <c r="W62">
        <v>0</v>
      </c>
      <c r="X62">
        <v>1</v>
      </c>
      <c r="Y62" s="2">
        <f>Table1[[#This Row],[premium_yearly]]*Table1[[#This Row],[tenure_years]]</f>
        <v>10518.264000000001</v>
      </c>
      <c r="Z62" s="2">
        <f>Table1[[#This Row],[total_collected_premiums]]*(1-$AD$2)</f>
        <v>7678.3327200000003</v>
      </c>
      <c r="AA62" s="2">
        <f>Table1[[#This Row],[retained_premium]]-Table1[[#This Row],[claim_amount_paid]]</f>
        <v>1678.3327200000003</v>
      </c>
    </row>
    <row r="63" spans="1:27" x14ac:dyDescent="0.35">
      <c r="A63" t="s">
        <v>228</v>
      </c>
      <c r="B63" t="s">
        <v>229</v>
      </c>
      <c r="C63" t="s">
        <v>230</v>
      </c>
      <c r="D63" s="1">
        <v>41837</v>
      </c>
      <c r="E63" s="1">
        <v>43982</v>
      </c>
      <c r="F63" s="1">
        <v>43987</v>
      </c>
      <c r="G63">
        <v>5</v>
      </c>
      <c r="H63">
        <v>139.24</v>
      </c>
      <c r="I63">
        <v>1670.88</v>
      </c>
      <c r="J63">
        <v>4000</v>
      </c>
      <c r="K63" t="s">
        <v>27</v>
      </c>
      <c r="L63">
        <v>4000</v>
      </c>
      <c r="M63">
        <v>3.25</v>
      </c>
      <c r="N63" t="s">
        <v>49</v>
      </c>
      <c r="O63">
        <v>39</v>
      </c>
      <c r="P63">
        <v>47</v>
      </c>
      <c r="Q63">
        <v>0</v>
      </c>
      <c r="R63">
        <v>3</v>
      </c>
      <c r="S63" t="s">
        <v>29</v>
      </c>
      <c r="T63" t="s">
        <v>30</v>
      </c>
      <c r="U63" t="s">
        <v>38</v>
      </c>
      <c r="V63" t="s">
        <v>45</v>
      </c>
      <c r="W63">
        <v>1</v>
      </c>
      <c r="X63">
        <v>1</v>
      </c>
      <c r="Y63" s="2">
        <f>Table1[[#This Row],[premium_yearly]]*Table1[[#This Row],[tenure_years]]</f>
        <v>5430.3600000000006</v>
      </c>
      <c r="Z63" s="2">
        <f>Table1[[#This Row],[total_collected_premiums]]*(1-$AD$2)</f>
        <v>3964.1628000000005</v>
      </c>
      <c r="AA63" s="2">
        <f>Table1[[#This Row],[retained_premium]]-Table1[[#This Row],[claim_amount_paid]]</f>
        <v>-35.837199999999484</v>
      </c>
    </row>
    <row r="64" spans="1:27" x14ac:dyDescent="0.35">
      <c r="A64" t="s">
        <v>231</v>
      </c>
      <c r="B64" t="s">
        <v>232</v>
      </c>
      <c r="C64" t="s">
        <v>233</v>
      </c>
      <c r="D64" s="1">
        <v>43552</v>
      </c>
      <c r="E64" s="1">
        <v>43979</v>
      </c>
      <c r="F64" s="1">
        <v>43984</v>
      </c>
      <c r="G64">
        <v>5</v>
      </c>
      <c r="H64">
        <v>112.53</v>
      </c>
      <c r="I64">
        <v>1350.36</v>
      </c>
      <c r="J64">
        <v>8000</v>
      </c>
      <c r="K64" t="s">
        <v>27</v>
      </c>
      <c r="L64">
        <v>8000</v>
      </c>
      <c r="M64">
        <v>1.42</v>
      </c>
      <c r="N64" t="s">
        <v>28</v>
      </c>
      <c r="O64">
        <v>17</v>
      </c>
      <c r="P64">
        <v>28</v>
      </c>
      <c r="Q64">
        <v>1</v>
      </c>
      <c r="R64">
        <v>3</v>
      </c>
      <c r="S64" t="s">
        <v>29</v>
      </c>
      <c r="T64" t="s">
        <v>44</v>
      </c>
      <c r="U64" t="s">
        <v>31</v>
      </c>
      <c r="V64" t="s">
        <v>32</v>
      </c>
      <c r="W64">
        <v>1</v>
      </c>
      <c r="X64">
        <v>0</v>
      </c>
      <c r="Y64" s="2">
        <f>Table1[[#This Row],[premium_yearly]]*Table1[[#This Row],[tenure_years]]</f>
        <v>1917.5111999999997</v>
      </c>
      <c r="Z64" s="2">
        <f>Table1[[#This Row],[total_collected_premiums]]*(1-$AD$2)</f>
        <v>1399.7831759999997</v>
      </c>
      <c r="AA64" s="2">
        <f>Table1[[#This Row],[retained_premium]]-Table1[[#This Row],[claim_amount_paid]]</f>
        <v>-6600.2168240000001</v>
      </c>
    </row>
    <row r="65" spans="1:27" x14ac:dyDescent="0.35">
      <c r="A65" t="s">
        <v>234</v>
      </c>
      <c r="B65" t="s">
        <v>235</v>
      </c>
      <c r="C65" t="s">
        <v>236</v>
      </c>
      <c r="D65" s="1">
        <v>42273</v>
      </c>
      <c r="E65" s="1">
        <v>43991</v>
      </c>
      <c r="F65" s="1">
        <v>43993</v>
      </c>
      <c r="G65">
        <v>2</v>
      </c>
      <c r="H65">
        <v>113.33</v>
      </c>
      <c r="I65">
        <v>1359.96</v>
      </c>
      <c r="J65">
        <v>2000</v>
      </c>
      <c r="K65" t="s">
        <v>27</v>
      </c>
      <c r="L65">
        <v>2000</v>
      </c>
      <c r="M65">
        <v>0.5</v>
      </c>
      <c r="N65" t="s">
        <v>36</v>
      </c>
      <c r="O65">
        <v>6</v>
      </c>
      <c r="P65">
        <v>58</v>
      </c>
      <c r="Q65">
        <v>0</v>
      </c>
      <c r="R65">
        <v>5</v>
      </c>
      <c r="S65" t="s">
        <v>29</v>
      </c>
      <c r="T65" t="s">
        <v>30</v>
      </c>
      <c r="U65" t="s">
        <v>31</v>
      </c>
      <c r="V65" t="s">
        <v>39</v>
      </c>
      <c r="W65">
        <v>1</v>
      </c>
      <c r="X65">
        <v>1</v>
      </c>
      <c r="Y65" s="2">
        <f>Table1[[#This Row],[premium_yearly]]*Table1[[#This Row],[tenure_years]]</f>
        <v>679.98</v>
      </c>
      <c r="Z65" s="2">
        <f>Table1[[#This Row],[total_collected_premiums]]*(1-$AD$2)</f>
        <v>496.3854</v>
      </c>
      <c r="AA65" s="2">
        <f>Table1[[#This Row],[retained_premium]]-Table1[[#This Row],[claim_amount_paid]]</f>
        <v>-1503.6145999999999</v>
      </c>
    </row>
    <row r="66" spans="1:27" x14ac:dyDescent="0.35">
      <c r="A66" t="s">
        <v>237</v>
      </c>
      <c r="B66" t="s">
        <v>238</v>
      </c>
      <c r="C66" t="s">
        <v>239</v>
      </c>
      <c r="D66" s="1">
        <v>42135</v>
      </c>
      <c r="E66" s="1">
        <v>43995</v>
      </c>
      <c r="F66" s="1">
        <v>43995</v>
      </c>
      <c r="G66">
        <v>0</v>
      </c>
      <c r="H66">
        <v>78.64</v>
      </c>
      <c r="I66">
        <v>943.68</v>
      </c>
      <c r="J66">
        <v>9000</v>
      </c>
      <c r="K66" t="s">
        <v>27</v>
      </c>
      <c r="L66">
        <v>9000</v>
      </c>
      <c r="M66">
        <v>1.92</v>
      </c>
      <c r="N66" t="s">
        <v>36</v>
      </c>
      <c r="O66">
        <v>23</v>
      </c>
      <c r="P66">
        <v>46</v>
      </c>
      <c r="Q66">
        <v>1</v>
      </c>
      <c r="R66">
        <v>4</v>
      </c>
      <c r="S66" t="s">
        <v>65</v>
      </c>
      <c r="T66" t="s">
        <v>30</v>
      </c>
      <c r="U66" t="s">
        <v>38</v>
      </c>
      <c r="V66" t="s">
        <v>39</v>
      </c>
      <c r="W66">
        <v>1</v>
      </c>
      <c r="X66">
        <v>0</v>
      </c>
      <c r="Y66" s="2">
        <f>Table1[[#This Row],[premium_yearly]]*Table1[[#This Row],[tenure_years]]</f>
        <v>1811.8655999999999</v>
      </c>
      <c r="Z66" s="2">
        <f>Table1[[#This Row],[total_collected_premiums]]*(1-$AD$2)</f>
        <v>1322.6618879999999</v>
      </c>
      <c r="AA66" s="2">
        <f>Table1[[#This Row],[retained_premium]]-Table1[[#This Row],[claim_amount_paid]]</f>
        <v>-7677.3381120000004</v>
      </c>
    </row>
    <row r="67" spans="1:27" x14ac:dyDescent="0.35">
      <c r="A67" t="s">
        <v>240</v>
      </c>
      <c r="B67" t="s">
        <v>241</v>
      </c>
      <c r="C67" t="s">
        <v>242</v>
      </c>
      <c r="D67" s="1">
        <v>40434</v>
      </c>
      <c r="E67" s="1">
        <v>43989</v>
      </c>
      <c r="F67" s="1">
        <v>43992</v>
      </c>
      <c r="G67">
        <v>3</v>
      </c>
      <c r="H67">
        <v>91.97</v>
      </c>
      <c r="I67">
        <v>1103.6400000000001</v>
      </c>
      <c r="J67">
        <v>2000</v>
      </c>
      <c r="K67" t="s">
        <v>27</v>
      </c>
      <c r="L67">
        <v>2000</v>
      </c>
      <c r="M67">
        <v>3.17</v>
      </c>
      <c r="N67" t="s">
        <v>28</v>
      </c>
      <c r="O67">
        <v>38</v>
      </c>
      <c r="P67">
        <v>61</v>
      </c>
      <c r="Q67">
        <v>0</v>
      </c>
      <c r="R67">
        <v>3</v>
      </c>
      <c r="S67" t="s">
        <v>65</v>
      </c>
      <c r="T67" t="s">
        <v>30</v>
      </c>
      <c r="U67" t="s">
        <v>38</v>
      </c>
      <c r="V67" t="s">
        <v>45</v>
      </c>
      <c r="W67">
        <v>0</v>
      </c>
      <c r="X67">
        <v>1</v>
      </c>
      <c r="Y67" s="2">
        <f>Table1[[#This Row],[premium_yearly]]*Table1[[#This Row],[tenure_years]]</f>
        <v>3498.5388000000003</v>
      </c>
      <c r="Z67" s="2">
        <f>Table1[[#This Row],[total_collected_premiums]]*(1-$AD$2)</f>
        <v>2553.9333240000001</v>
      </c>
      <c r="AA67" s="2">
        <f>Table1[[#This Row],[retained_premium]]-Table1[[#This Row],[claim_amount_paid]]</f>
        <v>553.93332400000008</v>
      </c>
    </row>
    <row r="68" spans="1:27" x14ac:dyDescent="0.35">
      <c r="A68" t="s">
        <v>243</v>
      </c>
      <c r="B68" t="s">
        <v>244</v>
      </c>
      <c r="C68" t="s">
        <v>245</v>
      </c>
      <c r="D68" s="1">
        <v>43785</v>
      </c>
      <c r="E68" s="1">
        <v>43997</v>
      </c>
      <c r="F68" s="1">
        <v>43997</v>
      </c>
      <c r="G68">
        <v>0</v>
      </c>
      <c r="H68">
        <v>133.72</v>
      </c>
      <c r="I68">
        <v>1604.64</v>
      </c>
      <c r="J68">
        <v>9000</v>
      </c>
      <c r="K68" t="s">
        <v>27</v>
      </c>
      <c r="L68">
        <v>9000</v>
      </c>
      <c r="M68">
        <v>7.42</v>
      </c>
      <c r="N68" t="s">
        <v>36</v>
      </c>
      <c r="O68">
        <v>89</v>
      </c>
      <c r="P68">
        <v>54</v>
      </c>
      <c r="Q68">
        <v>0</v>
      </c>
      <c r="R68">
        <v>6</v>
      </c>
      <c r="S68" t="s">
        <v>65</v>
      </c>
      <c r="T68" t="s">
        <v>30</v>
      </c>
      <c r="U68" t="s">
        <v>31</v>
      </c>
      <c r="V68" t="s">
        <v>39</v>
      </c>
      <c r="W68">
        <v>1</v>
      </c>
      <c r="X68">
        <v>1</v>
      </c>
      <c r="Y68" s="2">
        <f>Table1[[#This Row],[premium_yearly]]*Table1[[#This Row],[tenure_years]]</f>
        <v>11906.428800000002</v>
      </c>
      <c r="Z68" s="2">
        <f>Table1[[#This Row],[total_collected_premiums]]*(1-$AD$2)</f>
        <v>8691.6930240000002</v>
      </c>
      <c r="AA68" s="2">
        <f>Table1[[#This Row],[retained_premium]]-Table1[[#This Row],[claim_amount_paid]]</f>
        <v>-308.30697599999985</v>
      </c>
    </row>
    <row r="69" spans="1:27" x14ac:dyDescent="0.35">
      <c r="A69" t="s">
        <v>246</v>
      </c>
      <c r="B69" t="s">
        <v>247</v>
      </c>
      <c r="C69" t="s">
        <v>248</v>
      </c>
      <c r="D69" s="1">
        <v>41157</v>
      </c>
      <c r="E69" s="1">
        <v>43981</v>
      </c>
      <c r="F69" s="1">
        <v>43986</v>
      </c>
      <c r="G69">
        <v>5</v>
      </c>
      <c r="H69">
        <v>91.89</v>
      </c>
      <c r="I69">
        <v>1102.68</v>
      </c>
      <c r="J69">
        <v>6000</v>
      </c>
      <c r="K69" t="s">
        <v>27</v>
      </c>
      <c r="L69">
        <v>6000</v>
      </c>
      <c r="M69">
        <v>9.83</v>
      </c>
      <c r="N69" t="s">
        <v>28</v>
      </c>
      <c r="O69">
        <v>118</v>
      </c>
      <c r="P69">
        <v>33</v>
      </c>
      <c r="Q69">
        <v>0</v>
      </c>
      <c r="R69">
        <v>7</v>
      </c>
      <c r="S69" t="s">
        <v>65</v>
      </c>
      <c r="T69" t="s">
        <v>30</v>
      </c>
      <c r="U69" t="s">
        <v>38</v>
      </c>
      <c r="V69" t="s">
        <v>39</v>
      </c>
      <c r="W69">
        <v>0</v>
      </c>
      <c r="X69">
        <v>1</v>
      </c>
      <c r="Y69" s="2">
        <f>Table1[[#This Row],[premium_yearly]]*Table1[[#This Row],[tenure_years]]</f>
        <v>10839.3444</v>
      </c>
      <c r="Z69" s="2">
        <f>Table1[[#This Row],[total_collected_premiums]]*(1-$AD$2)</f>
        <v>7912.7214119999999</v>
      </c>
      <c r="AA69" s="2">
        <f>Table1[[#This Row],[retained_premium]]-Table1[[#This Row],[claim_amount_paid]]</f>
        <v>1912.7214119999999</v>
      </c>
    </row>
    <row r="70" spans="1:27" x14ac:dyDescent="0.35">
      <c r="A70" t="s">
        <v>249</v>
      </c>
      <c r="B70" t="s">
        <v>250</v>
      </c>
      <c r="C70" t="s">
        <v>251</v>
      </c>
      <c r="D70" s="1">
        <v>42997</v>
      </c>
      <c r="E70" s="1">
        <v>43989</v>
      </c>
      <c r="F70" s="1">
        <v>43992</v>
      </c>
      <c r="G70">
        <v>3</v>
      </c>
      <c r="H70">
        <v>116.49</v>
      </c>
      <c r="I70">
        <v>1397.88</v>
      </c>
      <c r="J70">
        <v>8000</v>
      </c>
      <c r="K70" t="s">
        <v>27</v>
      </c>
      <c r="L70">
        <v>8000</v>
      </c>
      <c r="M70">
        <v>3.08</v>
      </c>
      <c r="N70" t="s">
        <v>36</v>
      </c>
      <c r="O70">
        <v>37</v>
      </c>
      <c r="P70">
        <v>54</v>
      </c>
      <c r="Q70">
        <v>1</v>
      </c>
      <c r="R70">
        <v>2</v>
      </c>
      <c r="S70" t="s">
        <v>65</v>
      </c>
      <c r="T70" t="s">
        <v>50</v>
      </c>
      <c r="U70" t="s">
        <v>38</v>
      </c>
      <c r="V70" t="s">
        <v>45</v>
      </c>
      <c r="W70">
        <v>1</v>
      </c>
      <c r="X70">
        <v>1</v>
      </c>
      <c r="Y70" s="2">
        <f>Table1[[#This Row],[premium_yearly]]*Table1[[#This Row],[tenure_years]]</f>
        <v>4305.4704000000002</v>
      </c>
      <c r="Z70" s="2">
        <f>Table1[[#This Row],[total_collected_premiums]]*(1-$AD$2)</f>
        <v>3142.9933919999999</v>
      </c>
      <c r="AA70" s="2">
        <f>Table1[[#This Row],[retained_premium]]-Table1[[#This Row],[claim_amount_paid]]</f>
        <v>-4857.0066079999997</v>
      </c>
    </row>
    <row r="71" spans="1:27" x14ac:dyDescent="0.35">
      <c r="A71" t="s">
        <v>252</v>
      </c>
      <c r="B71" t="s">
        <v>253</v>
      </c>
      <c r="C71" t="s">
        <v>254</v>
      </c>
      <c r="D71" s="1">
        <v>41822</v>
      </c>
      <c r="E71" s="1">
        <v>43998</v>
      </c>
      <c r="F71" s="1">
        <v>43998</v>
      </c>
      <c r="G71">
        <v>0</v>
      </c>
      <c r="H71">
        <v>77.08</v>
      </c>
      <c r="I71">
        <v>924.96</v>
      </c>
      <c r="J71">
        <v>7000</v>
      </c>
      <c r="K71" t="s">
        <v>27</v>
      </c>
      <c r="L71">
        <v>7000</v>
      </c>
      <c r="M71">
        <v>4.33</v>
      </c>
      <c r="N71" t="s">
        <v>49</v>
      </c>
      <c r="O71">
        <v>52</v>
      </c>
      <c r="P71">
        <v>58</v>
      </c>
      <c r="Q71">
        <v>0</v>
      </c>
      <c r="R71">
        <v>2</v>
      </c>
      <c r="S71" t="s">
        <v>65</v>
      </c>
      <c r="T71" t="s">
        <v>44</v>
      </c>
      <c r="U71" t="s">
        <v>38</v>
      </c>
      <c r="V71" t="s">
        <v>32</v>
      </c>
      <c r="W71">
        <v>1</v>
      </c>
      <c r="X71">
        <v>1</v>
      </c>
      <c r="Y71" s="2">
        <f>Table1[[#This Row],[premium_yearly]]*Table1[[#This Row],[tenure_years]]</f>
        <v>4005.0768000000003</v>
      </c>
      <c r="Z71" s="2">
        <f>Table1[[#This Row],[total_collected_premiums]]*(1-$AD$2)</f>
        <v>2923.706064</v>
      </c>
      <c r="AA71" s="2">
        <f>Table1[[#This Row],[retained_premium]]-Table1[[#This Row],[claim_amount_paid]]</f>
        <v>-4076.293936</v>
      </c>
    </row>
    <row r="72" spans="1:27" x14ac:dyDescent="0.35">
      <c r="A72" t="s">
        <v>255</v>
      </c>
      <c r="B72" t="s">
        <v>256</v>
      </c>
      <c r="C72" t="s">
        <v>257</v>
      </c>
      <c r="D72" s="1">
        <v>43550</v>
      </c>
      <c r="E72" s="1">
        <v>43979</v>
      </c>
      <c r="F72" s="1">
        <v>43984</v>
      </c>
      <c r="G72">
        <v>5</v>
      </c>
      <c r="H72">
        <v>130.07</v>
      </c>
      <c r="I72">
        <v>1560.84</v>
      </c>
      <c r="J72">
        <v>5000</v>
      </c>
      <c r="K72" t="s">
        <v>27</v>
      </c>
      <c r="L72">
        <v>5000</v>
      </c>
      <c r="M72">
        <v>4.17</v>
      </c>
      <c r="N72" t="s">
        <v>49</v>
      </c>
      <c r="O72">
        <v>50</v>
      </c>
      <c r="P72">
        <v>54</v>
      </c>
      <c r="Q72">
        <v>1</v>
      </c>
      <c r="R72">
        <v>3</v>
      </c>
      <c r="S72" t="s">
        <v>29</v>
      </c>
      <c r="T72" t="s">
        <v>30</v>
      </c>
      <c r="U72" t="s">
        <v>58</v>
      </c>
      <c r="V72" t="s">
        <v>39</v>
      </c>
      <c r="W72">
        <v>1</v>
      </c>
      <c r="X72">
        <v>0</v>
      </c>
      <c r="Y72" s="2">
        <f>Table1[[#This Row],[premium_yearly]]*Table1[[#This Row],[tenure_years]]</f>
        <v>6508.7027999999991</v>
      </c>
      <c r="Z72" s="2">
        <f>Table1[[#This Row],[total_collected_premiums]]*(1-$AD$2)</f>
        <v>4751.3530439999995</v>
      </c>
      <c r="AA72" s="2">
        <f>Table1[[#This Row],[retained_premium]]-Table1[[#This Row],[claim_amount_paid]]</f>
        <v>-248.6469560000005</v>
      </c>
    </row>
    <row r="73" spans="1:27" x14ac:dyDescent="0.35">
      <c r="A73" t="s">
        <v>258</v>
      </c>
      <c r="B73" t="s">
        <v>259</v>
      </c>
      <c r="C73" t="s">
        <v>260</v>
      </c>
      <c r="D73" s="1">
        <v>42345</v>
      </c>
      <c r="E73" s="1">
        <v>43985</v>
      </c>
      <c r="F73" s="1">
        <v>43990</v>
      </c>
      <c r="G73">
        <v>5</v>
      </c>
      <c r="H73">
        <v>99.6</v>
      </c>
      <c r="I73">
        <v>1195.2</v>
      </c>
      <c r="J73">
        <v>4000</v>
      </c>
      <c r="K73" t="s">
        <v>43</v>
      </c>
      <c r="L73">
        <v>0</v>
      </c>
      <c r="M73">
        <v>3</v>
      </c>
      <c r="N73" t="s">
        <v>28</v>
      </c>
      <c r="O73">
        <v>36</v>
      </c>
      <c r="P73">
        <v>35</v>
      </c>
      <c r="Q73">
        <v>0</v>
      </c>
      <c r="R73">
        <v>2</v>
      </c>
      <c r="S73" t="s">
        <v>29</v>
      </c>
      <c r="T73" t="s">
        <v>30</v>
      </c>
      <c r="U73" t="s">
        <v>38</v>
      </c>
      <c r="V73" t="s">
        <v>45</v>
      </c>
      <c r="W73">
        <v>0</v>
      </c>
      <c r="X73">
        <v>0</v>
      </c>
      <c r="Y73" s="2">
        <f>Table1[[#This Row],[premium_yearly]]*Table1[[#This Row],[tenure_years]]</f>
        <v>3585.6000000000004</v>
      </c>
      <c r="Z73" s="2">
        <f>Table1[[#This Row],[total_collected_premiums]]*(1-$AD$2)</f>
        <v>2617.4880000000003</v>
      </c>
      <c r="AA73" s="2">
        <f>Table1[[#This Row],[retained_premium]]-Table1[[#This Row],[claim_amount_paid]]</f>
        <v>2617.4880000000003</v>
      </c>
    </row>
    <row r="74" spans="1:27" x14ac:dyDescent="0.35">
      <c r="A74" t="s">
        <v>261</v>
      </c>
      <c r="B74" t="s">
        <v>262</v>
      </c>
      <c r="C74" t="s">
        <v>263</v>
      </c>
      <c r="D74" s="1">
        <v>41070</v>
      </c>
      <c r="E74" s="1">
        <v>43980</v>
      </c>
      <c r="F74" s="1">
        <v>43985</v>
      </c>
      <c r="G74">
        <v>5</v>
      </c>
      <c r="H74">
        <v>120.59</v>
      </c>
      <c r="I74">
        <v>1447.08</v>
      </c>
      <c r="J74">
        <v>8000</v>
      </c>
      <c r="K74" t="s">
        <v>27</v>
      </c>
      <c r="L74">
        <v>8000</v>
      </c>
      <c r="M74">
        <v>5.5</v>
      </c>
      <c r="N74" t="s">
        <v>28</v>
      </c>
      <c r="O74">
        <v>66</v>
      </c>
      <c r="P74">
        <v>62</v>
      </c>
      <c r="Q74">
        <v>1</v>
      </c>
      <c r="R74">
        <v>2</v>
      </c>
      <c r="S74" t="s">
        <v>29</v>
      </c>
      <c r="T74" t="s">
        <v>44</v>
      </c>
      <c r="U74" t="s">
        <v>38</v>
      </c>
      <c r="V74" t="s">
        <v>39</v>
      </c>
      <c r="W74">
        <v>1</v>
      </c>
      <c r="X74">
        <v>1</v>
      </c>
      <c r="Y74" s="2">
        <f>Table1[[#This Row],[premium_yearly]]*Table1[[#This Row],[tenure_years]]</f>
        <v>7958.94</v>
      </c>
      <c r="Z74" s="2">
        <f>Table1[[#This Row],[total_collected_premiums]]*(1-$AD$2)</f>
        <v>5810.0261999999993</v>
      </c>
      <c r="AA74" s="2">
        <f>Table1[[#This Row],[retained_premium]]-Table1[[#This Row],[claim_amount_paid]]</f>
        <v>-2189.9738000000007</v>
      </c>
    </row>
    <row r="75" spans="1:27" x14ac:dyDescent="0.35">
      <c r="A75" t="s">
        <v>264</v>
      </c>
      <c r="B75" t="s">
        <v>265</v>
      </c>
      <c r="C75" t="s">
        <v>266</v>
      </c>
      <c r="D75" s="1">
        <v>43114</v>
      </c>
      <c r="E75" s="1">
        <v>43993</v>
      </c>
      <c r="F75" s="1">
        <v>43995</v>
      </c>
      <c r="G75">
        <v>2</v>
      </c>
      <c r="H75">
        <v>135.75</v>
      </c>
      <c r="I75">
        <v>1629</v>
      </c>
      <c r="J75">
        <v>8000</v>
      </c>
      <c r="K75" t="s">
        <v>27</v>
      </c>
      <c r="L75">
        <v>8000</v>
      </c>
      <c r="M75">
        <v>6.58</v>
      </c>
      <c r="N75" t="s">
        <v>36</v>
      </c>
      <c r="O75">
        <v>79</v>
      </c>
      <c r="P75">
        <v>61</v>
      </c>
      <c r="Q75">
        <v>1</v>
      </c>
      <c r="R75">
        <v>2</v>
      </c>
      <c r="S75" t="s">
        <v>65</v>
      </c>
      <c r="T75" t="s">
        <v>30</v>
      </c>
      <c r="U75" t="s">
        <v>38</v>
      </c>
      <c r="V75" t="s">
        <v>45</v>
      </c>
      <c r="W75">
        <v>1</v>
      </c>
      <c r="X75">
        <v>1</v>
      </c>
      <c r="Y75" s="2">
        <f>Table1[[#This Row],[premium_yearly]]*Table1[[#This Row],[tenure_years]]</f>
        <v>10718.82</v>
      </c>
      <c r="Z75" s="2">
        <f>Table1[[#This Row],[total_collected_premiums]]*(1-$AD$2)</f>
        <v>7824.7385999999997</v>
      </c>
      <c r="AA75" s="2">
        <f>Table1[[#This Row],[retained_premium]]-Table1[[#This Row],[claim_amount_paid]]</f>
        <v>-175.26140000000032</v>
      </c>
    </row>
    <row r="76" spans="1:27" x14ac:dyDescent="0.35">
      <c r="A76" t="s">
        <v>267</v>
      </c>
      <c r="B76" t="s">
        <v>268</v>
      </c>
      <c r="C76" t="s">
        <v>269</v>
      </c>
      <c r="D76" s="1">
        <v>41861</v>
      </c>
      <c r="E76" s="1">
        <v>43999</v>
      </c>
      <c r="F76" s="1">
        <v>43999</v>
      </c>
      <c r="G76">
        <v>0</v>
      </c>
      <c r="H76">
        <v>132.19</v>
      </c>
      <c r="I76">
        <v>1586.28</v>
      </c>
      <c r="J76">
        <v>4000</v>
      </c>
      <c r="K76" t="s">
        <v>27</v>
      </c>
      <c r="L76">
        <v>4000</v>
      </c>
      <c r="M76">
        <v>0.5</v>
      </c>
      <c r="N76" t="s">
        <v>28</v>
      </c>
      <c r="O76">
        <v>6</v>
      </c>
      <c r="P76">
        <v>45</v>
      </c>
      <c r="Q76">
        <v>1</v>
      </c>
      <c r="R76">
        <v>3</v>
      </c>
      <c r="S76" t="s">
        <v>37</v>
      </c>
      <c r="T76" t="s">
        <v>44</v>
      </c>
      <c r="U76" t="s">
        <v>88</v>
      </c>
      <c r="V76" t="s">
        <v>45</v>
      </c>
      <c r="W76">
        <v>1</v>
      </c>
      <c r="X76">
        <v>1</v>
      </c>
      <c r="Y76" s="2">
        <f>Table1[[#This Row],[premium_yearly]]*Table1[[#This Row],[tenure_years]]</f>
        <v>793.14</v>
      </c>
      <c r="Z76" s="2">
        <f>Table1[[#This Row],[total_collected_premiums]]*(1-$AD$2)</f>
        <v>578.99220000000003</v>
      </c>
      <c r="AA76" s="2">
        <f>Table1[[#This Row],[retained_premium]]-Table1[[#This Row],[claim_amount_paid]]</f>
        <v>-3421.0077999999999</v>
      </c>
    </row>
    <row r="77" spans="1:27" x14ac:dyDescent="0.35">
      <c r="A77" t="s">
        <v>270</v>
      </c>
      <c r="B77" t="s">
        <v>271</v>
      </c>
      <c r="C77" t="s">
        <v>272</v>
      </c>
      <c r="D77" s="1">
        <v>42267</v>
      </c>
      <c r="E77" s="1">
        <v>43982</v>
      </c>
      <c r="F77" s="1">
        <v>43987</v>
      </c>
      <c r="G77">
        <v>5</v>
      </c>
      <c r="H77">
        <v>122.41</v>
      </c>
      <c r="I77">
        <v>1468.92</v>
      </c>
      <c r="J77">
        <v>2000</v>
      </c>
      <c r="K77" t="s">
        <v>27</v>
      </c>
      <c r="L77">
        <v>2000</v>
      </c>
      <c r="M77">
        <v>9.67</v>
      </c>
      <c r="N77" t="s">
        <v>49</v>
      </c>
      <c r="O77">
        <v>116</v>
      </c>
      <c r="P77">
        <v>59</v>
      </c>
      <c r="Q77">
        <v>1</v>
      </c>
      <c r="R77">
        <v>2</v>
      </c>
      <c r="S77" t="s">
        <v>29</v>
      </c>
      <c r="T77" t="s">
        <v>50</v>
      </c>
      <c r="U77" t="s">
        <v>38</v>
      </c>
      <c r="V77" t="s">
        <v>32</v>
      </c>
      <c r="W77">
        <v>1</v>
      </c>
      <c r="X77">
        <v>1</v>
      </c>
      <c r="Y77" s="2">
        <f>Table1[[#This Row],[premium_yearly]]*Table1[[#This Row],[tenure_years]]</f>
        <v>14204.456400000001</v>
      </c>
      <c r="Z77" s="2">
        <f>Table1[[#This Row],[total_collected_premiums]]*(1-$AD$2)</f>
        <v>10369.253172000001</v>
      </c>
      <c r="AA77" s="2">
        <f>Table1[[#This Row],[retained_premium]]-Table1[[#This Row],[claim_amount_paid]]</f>
        <v>8369.2531720000006</v>
      </c>
    </row>
    <row r="78" spans="1:27" x14ac:dyDescent="0.35">
      <c r="A78" t="s">
        <v>273</v>
      </c>
      <c r="B78" t="s">
        <v>274</v>
      </c>
      <c r="C78" t="s">
        <v>275</v>
      </c>
      <c r="D78" s="1">
        <v>42420</v>
      </c>
      <c r="E78" s="1">
        <v>43997</v>
      </c>
      <c r="F78" s="1">
        <v>43997</v>
      </c>
      <c r="G78">
        <v>0</v>
      </c>
      <c r="H78">
        <v>80.180000000000007</v>
      </c>
      <c r="I78">
        <v>962.16</v>
      </c>
      <c r="J78">
        <v>10000</v>
      </c>
      <c r="K78" t="s">
        <v>27</v>
      </c>
      <c r="L78">
        <v>10000</v>
      </c>
      <c r="M78">
        <v>5.17</v>
      </c>
      <c r="N78" t="s">
        <v>28</v>
      </c>
      <c r="O78">
        <v>62</v>
      </c>
      <c r="P78">
        <v>63</v>
      </c>
      <c r="Q78">
        <v>1</v>
      </c>
      <c r="R78">
        <v>4</v>
      </c>
      <c r="S78" t="s">
        <v>29</v>
      </c>
      <c r="T78" t="s">
        <v>30</v>
      </c>
      <c r="U78" t="s">
        <v>38</v>
      </c>
      <c r="V78" t="s">
        <v>32</v>
      </c>
      <c r="W78">
        <v>1</v>
      </c>
      <c r="X78">
        <v>0</v>
      </c>
      <c r="Y78" s="2">
        <f>Table1[[#This Row],[premium_yearly]]*Table1[[#This Row],[tenure_years]]</f>
        <v>4974.3671999999997</v>
      </c>
      <c r="Z78" s="2">
        <f>Table1[[#This Row],[total_collected_premiums]]*(1-$AD$2)</f>
        <v>3631.2880559999999</v>
      </c>
      <c r="AA78" s="2">
        <f>Table1[[#This Row],[retained_premium]]-Table1[[#This Row],[claim_amount_paid]]</f>
        <v>-6368.7119440000006</v>
      </c>
    </row>
    <row r="79" spans="1:27" x14ac:dyDescent="0.35">
      <c r="A79" t="s">
        <v>276</v>
      </c>
      <c r="B79" t="s">
        <v>277</v>
      </c>
      <c r="C79" t="s">
        <v>278</v>
      </c>
      <c r="D79" s="1">
        <v>40782</v>
      </c>
      <c r="E79" s="1">
        <v>43993</v>
      </c>
      <c r="F79" s="1">
        <v>43995</v>
      </c>
      <c r="G79">
        <v>2</v>
      </c>
      <c r="H79">
        <v>138.38999999999999</v>
      </c>
      <c r="I79">
        <v>1660.68</v>
      </c>
      <c r="J79">
        <v>8000</v>
      </c>
      <c r="K79" t="s">
        <v>27</v>
      </c>
      <c r="L79">
        <v>8000</v>
      </c>
      <c r="M79">
        <v>6.08</v>
      </c>
      <c r="N79" t="s">
        <v>49</v>
      </c>
      <c r="O79">
        <v>73</v>
      </c>
      <c r="P79">
        <v>35</v>
      </c>
      <c r="Q79">
        <v>0</v>
      </c>
      <c r="R79">
        <v>2</v>
      </c>
      <c r="S79" t="s">
        <v>65</v>
      </c>
      <c r="T79" t="s">
        <v>50</v>
      </c>
      <c r="U79" t="s">
        <v>31</v>
      </c>
      <c r="V79" t="s">
        <v>39</v>
      </c>
      <c r="W79">
        <v>1</v>
      </c>
      <c r="X79">
        <v>1</v>
      </c>
      <c r="Y79" s="2">
        <f>Table1[[#This Row],[premium_yearly]]*Table1[[#This Row],[tenure_years]]</f>
        <v>10096.9344</v>
      </c>
      <c r="Z79" s="2">
        <f>Table1[[#This Row],[total_collected_premiums]]*(1-$AD$2)</f>
        <v>7370.7621120000003</v>
      </c>
      <c r="AA79" s="2">
        <f>Table1[[#This Row],[retained_premium]]-Table1[[#This Row],[claim_amount_paid]]</f>
        <v>-629.23788799999966</v>
      </c>
    </row>
    <row r="80" spans="1:27" x14ac:dyDescent="0.35">
      <c r="A80" t="s">
        <v>279</v>
      </c>
      <c r="B80" t="s">
        <v>280</v>
      </c>
      <c r="C80" t="s">
        <v>281</v>
      </c>
      <c r="D80" s="1">
        <v>40433</v>
      </c>
      <c r="E80" s="1">
        <v>43999</v>
      </c>
      <c r="F80" s="1">
        <v>43999</v>
      </c>
      <c r="G80">
        <v>0</v>
      </c>
      <c r="H80">
        <v>80.2</v>
      </c>
      <c r="I80">
        <v>962.4</v>
      </c>
      <c r="J80">
        <v>4000</v>
      </c>
      <c r="K80" t="s">
        <v>27</v>
      </c>
      <c r="L80">
        <v>4000</v>
      </c>
      <c r="M80">
        <v>3.17</v>
      </c>
      <c r="N80" t="s">
        <v>36</v>
      </c>
      <c r="O80">
        <v>38</v>
      </c>
      <c r="P80">
        <v>57</v>
      </c>
      <c r="Q80">
        <v>1</v>
      </c>
      <c r="R80">
        <v>5</v>
      </c>
      <c r="S80" t="s">
        <v>37</v>
      </c>
      <c r="T80" t="s">
        <v>50</v>
      </c>
      <c r="U80" t="s">
        <v>58</v>
      </c>
      <c r="V80" t="s">
        <v>39</v>
      </c>
      <c r="W80">
        <v>1</v>
      </c>
      <c r="X80">
        <v>1</v>
      </c>
      <c r="Y80" s="2">
        <f>Table1[[#This Row],[premium_yearly]]*Table1[[#This Row],[tenure_years]]</f>
        <v>3050.808</v>
      </c>
      <c r="Z80" s="2">
        <f>Table1[[#This Row],[total_collected_premiums]]*(1-$AD$2)</f>
        <v>2227.0898400000001</v>
      </c>
      <c r="AA80" s="2">
        <f>Table1[[#This Row],[retained_premium]]-Table1[[#This Row],[claim_amount_paid]]</f>
        <v>-1772.9101599999999</v>
      </c>
    </row>
    <row r="81" spans="1:27" x14ac:dyDescent="0.35">
      <c r="A81" t="s">
        <v>282</v>
      </c>
      <c r="B81" t="s">
        <v>283</v>
      </c>
      <c r="C81" t="s">
        <v>284</v>
      </c>
      <c r="D81" s="1">
        <v>42030</v>
      </c>
      <c r="E81" s="1">
        <v>43987</v>
      </c>
      <c r="F81" s="1">
        <v>43992</v>
      </c>
      <c r="G81">
        <v>5</v>
      </c>
      <c r="H81">
        <v>76.06</v>
      </c>
      <c r="I81">
        <v>912.72</v>
      </c>
      <c r="J81">
        <v>2000</v>
      </c>
      <c r="K81" t="s">
        <v>27</v>
      </c>
      <c r="L81">
        <v>2000</v>
      </c>
      <c r="M81">
        <v>3.5</v>
      </c>
      <c r="N81" t="s">
        <v>28</v>
      </c>
      <c r="O81">
        <v>42</v>
      </c>
      <c r="P81">
        <v>61</v>
      </c>
      <c r="Q81">
        <v>1</v>
      </c>
      <c r="R81">
        <v>7</v>
      </c>
      <c r="S81" t="s">
        <v>29</v>
      </c>
      <c r="T81" t="s">
        <v>30</v>
      </c>
      <c r="U81" t="s">
        <v>88</v>
      </c>
      <c r="V81" t="s">
        <v>32</v>
      </c>
      <c r="W81">
        <v>1</v>
      </c>
      <c r="X81">
        <v>1</v>
      </c>
      <c r="Y81" s="2">
        <f>Table1[[#This Row],[premium_yearly]]*Table1[[#This Row],[tenure_years]]</f>
        <v>3194.52</v>
      </c>
      <c r="Z81" s="2">
        <f>Table1[[#This Row],[total_collected_premiums]]*(1-$AD$2)</f>
        <v>2331.9996000000001</v>
      </c>
      <c r="AA81" s="2">
        <f>Table1[[#This Row],[retained_premium]]-Table1[[#This Row],[claim_amount_paid]]</f>
        <v>331.9996000000001</v>
      </c>
    </row>
    <row r="82" spans="1:27" x14ac:dyDescent="0.35">
      <c r="A82" t="s">
        <v>285</v>
      </c>
      <c r="B82" t="s">
        <v>286</v>
      </c>
      <c r="C82" t="s">
        <v>287</v>
      </c>
      <c r="D82" s="1">
        <v>41543</v>
      </c>
      <c r="E82" s="1">
        <v>43981</v>
      </c>
      <c r="F82" s="1">
        <v>43986</v>
      </c>
      <c r="G82">
        <v>5</v>
      </c>
      <c r="H82">
        <v>134.71</v>
      </c>
      <c r="I82">
        <v>1616.52</v>
      </c>
      <c r="J82">
        <v>6000</v>
      </c>
      <c r="K82" t="s">
        <v>27</v>
      </c>
      <c r="L82">
        <v>6000</v>
      </c>
      <c r="M82">
        <v>8.33</v>
      </c>
      <c r="N82" t="s">
        <v>28</v>
      </c>
      <c r="O82">
        <v>100</v>
      </c>
      <c r="P82">
        <v>45</v>
      </c>
      <c r="Q82">
        <v>1</v>
      </c>
      <c r="R82">
        <v>7</v>
      </c>
      <c r="S82" t="s">
        <v>65</v>
      </c>
      <c r="T82" t="s">
        <v>30</v>
      </c>
      <c r="U82" t="s">
        <v>38</v>
      </c>
      <c r="V82" t="s">
        <v>32</v>
      </c>
      <c r="W82">
        <v>1</v>
      </c>
      <c r="X82">
        <v>0</v>
      </c>
      <c r="Y82" s="2">
        <f>Table1[[#This Row],[premium_yearly]]*Table1[[#This Row],[tenure_years]]</f>
        <v>13465.6116</v>
      </c>
      <c r="Z82" s="2">
        <f>Table1[[#This Row],[total_collected_premiums]]*(1-$AD$2)</f>
        <v>9829.896467999999</v>
      </c>
      <c r="AA82" s="2">
        <f>Table1[[#This Row],[retained_premium]]-Table1[[#This Row],[claim_amount_paid]]</f>
        <v>3829.896467999999</v>
      </c>
    </row>
    <row r="83" spans="1:27" x14ac:dyDescent="0.35">
      <c r="A83" t="s">
        <v>288</v>
      </c>
      <c r="B83" t="s">
        <v>289</v>
      </c>
      <c r="C83" t="s">
        <v>290</v>
      </c>
      <c r="D83" s="1">
        <v>41997</v>
      </c>
      <c r="E83" s="1">
        <v>44000</v>
      </c>
      <c r="F83" s="1">
        <v>44000</v>
      </c>
      <c r="G83">
        <v>0</v>
      </c>
      <c r="H83">
        <v>98.63</v>
      </c>
      <c r="I83">
        <v>1183.56</v>
      </c>
      <c r="J83">
        <v>8000</v>
      </c>
      <c r="K83" t="s">
        <v>27</v>
      </c>
      <c r="L83">
        <v>8000</v>
      </c>
      <c r="M83">
        <v>5.67</v>
      </c>
      <c r="N83" t="s">
        <v>28</v>
      </c>
      <c r="O83">
        <v>68</v>
      </c>
      <c r="P83">
        <v>38</v>
      </c>
      <c r="Q83">
        <v>1</v>
      </c>
      <c r="R83">
        <v>7</v>
      </c>
      <c r="S83" t="s">
        <v>65</v>
      </c>
      <c r="T83" t="s">
        <v>30</v>
      </c>
      <c r="U83" t="s">
        <v>38</v>
      </c>
      <c r="V83" t="s">
        <v>45</v>
      </c>
      <c r="W83">
        <v>0</v>
      </c>
      <c r="X83">
        <v>1</v>
      </c>
      <c r="Y83" s="2">
        <f>Table1[[#This Row],[premium_yearly]]*Table1[[#This Row],[tenure_years]]</f>
        <v>6710.7851999999993</v>
      </c>
      <c r="Z83" s="2">
        <f>Table1[[#This Row],[total_collected_premiums]]*(1-$AD$2)</f>
        <v>4898.8731959999996</v>
      </c>
      <c r="AA83" s="2">
        <f>Table1[[#This Row],[retained_premium]]-Table1[[#This Row],[claim_amount_paid]]</f>
        <v>-3101.1268040000004</v>
      </c>
    </row>
    <row r="84" spans="1:27" x14ac:dyDescent="0.35">
      <c r="A84" t="s">
        <v>291</v>
      </c>
      <c r="B84" t="s">
        <v>292</v>
      </c>
      <c r="C84" t="s">
        <v>293</v>
      </c>
      <c r="D84" s="1">
        <v>40892</v>
      </c>
      <c r="E84" s="1">
        <v>43984</v>
      </c>
      <c r="F84" s="1">
        <v>43989</v>
      </c>
      <c r="G84">
        <v>5</v>
      </c>
      <c r="H84">
        <v>123.56</v>
      </c>
      <c r="I84">
        <v>1482.72</v>
      </c>
      <c r="J84">
        <v>1000</v>
      </c>
      <c r="K84" t="s">
        <v>43</v>
      </c>
      <c r="L84">
        <v>0</v>
      </c>
      <c r="M84">
        <v>5.58</v>
      </c>
      <c r="N84" t="s">
        <v>36</v>
      </c>
      <c r="O84">
        <v>67</v>
      </c>
      <c r="P84">
        <v>37</v>
      </c>
      <c r="Q84">
        <v>1</v>
      </c>
      <c r="R84">
        <v>2</v>
      </c>
      <c r="S84" t="s">
        <v>37</v>
      </c>
      <c r="T84" t="s">
        <v>30</v>
      </c>
      <c r="U84" t="s">
        <v>66</v>
      </c>
      <c r="V84" t="s">
        <v>39</v>
      </c>
      <c r="W84">
        <v>0</v>
      </c>
      <c r="X84">
        <v>0</v>
      </c>
      <c r="Y84" s="2">
        <f>Table1[[#This Row],[premium_yearly]]*Table1[[#This Row],[tenure_years]]</f>
        <v>8273.5776000000005</v>
      </c>
      <c r="Z84" s="2">
        <f>Table1[[#This Row],[total_collected_premiums]]*(1-$AD$2)</f>
        <v>6039.7116480000004</v>
      </c>
      <c r="AA84" s="2">
        <f>Table1[[#This Row],[retained_premium]]-Table1[[#This Row],[claim_amount_paid]]</f>
        <v>6039.7116480000004</v>
      </c>
    </row>
    <row r="85" spans="1:27" x14ac:dyDescent="0.35">
      <c r="A85" t="s">
        <v>294</v>
      </c>
      <c r="B85" t="s">
        <v>295</v>
      </c>
      <c r="C85" t="s">
        <v>296</v>
      </c>
      <c r="D85" s="1">
        <v>40465</v>
      </c>
      <c r="E85" s="1">
        <v>43990</v>
      </c>
      <c r="F85" s="1">
        <v>43995</v>
      </c>
      <c r="G85">
        <v>5</v>
      </c>
      <c r="H85">
        <v>128.58000000000001</v>
      </c>
      <c r="I85">
        <v>1542.96</v>
      </c>
      <c r="J85">
        <v>9000</v>
      </c>
      <c r="K85" t="s">
        <v>27</v>
      </c>
      <c r="L85">
        <v>9000</v>
      </c>
      <c r="M85">
        <v>9</v>
      </c>
      <c r="N85" t="s">
        <v>36</v>
      </c>
      <c r="O85">
        <v>108</v>
      </c>
      <c r="P85">
        <v>38</v>
      </c>
      <c r="Q85">
        <v>0</v>
      </c>
      <c r="R85">
        <v>4</v>
      </c>
      <c r="S85" t="s">
        <v>37</v>
      </c>
      <c r="T85" t="s">
        <v>44</v>
      </c>
      <c r="U85" t="s">
        <v>38</v>
      </c>
      <c r="V85" t="s">
        <v>45</v>
      </c>
      <c r="W85">
        <v>0</v>
      </c>
      <c r="X85">
        <v>1</v>
      </c>
      <c r="Y85" s="2">
        <f>Table1[[#This Row],[premium_yearly]]*Table1[[#This Row],[tenure_years]]</f>
        <v>13886.64</v>
      </c>
      <c r="Z85" s="2">
        <f>Table1[[#This Row],[total_collected_premiums]]*(1-$AD$2)</f>
        <v>10137.2472</v>
      </c>
      <c r="AA85" s="2">
        <f>Table1[[#This Row],[retained_premium]]-Table1[[#This Row],[claim_amount_paid]]</f>
        <v>1137.2471999999998</v>
      </c>
    </row>
    <row r="86" spans="1:27" x14ac:dyDescent="0.35">
      <c r="A86" t="s">
        <v>297</v>
      </c>
      <c r="B86" t="s">
        <v>298</v>
      </c>
      <c r="C86" t="s">
        <v>299</v>
      </c>
      <c r="D86" s="1">
        <v>41983</v>
      </c>
      <c r="E86" s="1">
        <v>43982</v>
      </c>
      <c r="F86" s="1">
        <v>43987</v>
      </c>
      <c r="G86">
        <v>5</v>
      </c>
      <c r="H86">
        <v>133.61000000000001</v>
      </c>
      <c r="I86">
        <v>1603.32</v>
      </c>
      <c r="J86">
        <v>3000</v>
      </c>
      <c r="K86" t="s">
        <v>43</v>
      </c>
      <c r="L86">
        <v>0</v>
      </c>
      <c r="M86">
        <v>5.25</v>
      </c>
      <c r="N86" t="s">
        <v>49</v>
      </c>
      <c r="O86">
        <v>63</v>
      </c>
      <c r="P86">
        <v>63</v>
      </c>
      <c r="Q86">
        <v>0</v>
      </c>
      <c r="R86">
        <v>2</v>
      </c>
      <c r="S86" t="s">
        <v>29</v>
      </c>
      <c r="T86" t="s">
        <v>30</v>
      </c>
      <c r="U86" t="s">
        <v>58</v>
      </c>
      <c r="V86" t="s">
        <v>39</v>
      </c>
      <c r="W86">
        <v>1</v>
      </c>
      <c r="X86">
        <v>1</v>
      </c>
      <c r="Y86" s="2">
        <f>Table1[[#This Row],[premium_yearly]]*Table1[[#This Row],[tenure_years]]</f>
        <v>8417.43</v>
      </c>
      <c r="Z86" s="2">
        <f>Table1[[#This Row],[total_collected_premiums]]*(1-$AD$2)</f>
        <v>6144.7239</v>
      </c>
      <c r="AA86" s="2">
        <f>Table1[[#This Row],[retained_premium]]-Table1[[#This Row],[claim_amount_paid]]</f>
        <v>6144.7239</v>
      </c>
    </row>
    <row r="87" spans="1:27" x14ac:dyDescent="0.35">
      <c r="A87" t="s">
        <v>300</v>
      </c>
      <c r="B87" t="s">
        <v>301</v>
      </c>
      <c r="C87" t="s">
        <v>302</v>
      </c>
      <c r="D87" s="1">
        <v>40953</v>
      </c>
      <c r="E87" s="1">
        <v>43993</v>
      </c>
      <c r="F87" s="1">
        <v>43996</v>
      </c>
      <c r="G87">
        <v>3</v>
      </c>
      <c r="H87">
        <v>73.34</v>
      </c>
      <c r="I87">
        <v>880.08</v>
      </c>
      <c r="J87">
        <v>1000</v>
      </c>
      <c r="K87" t="s">
        <v>27</v>
      </c>
      <c r="L87">
        <v>1000</v>
      </c>
      <c r="M87">
        <v>6.92</v>
      </c>
      <c r="N87" t="s">
        <v>49</v>
      </c>
      <c r="O87">
        <v>83</v>
      </c>
      <c r="P87">
        <v>49</v>
      </c>
      <c r="Q87">
        <v>1</v>
      </c>
      <c r="R87">
        <v>2</v>
      </c>
      <c r="S87" t="s">
        <v>65</v>
      </c>
      <c r="T87" t="s">
        <v>30</v>
      </c>
      <c r="U87" t="s">
        <v>66</v>
      </c>
      <c r="V87" t="s">
        <v>45</v>
      </c>
      <c r="W87">
        <v>1</v>
      </c>
      <c r="X87">
        <v>0</v>
      </c>
      <c r="Y87" s="2">
        <f>Table1[[#This Row],[premium_yearly]]*Table1[[#This Row],[tenure_years]]</f>
        <v>6090.1536000000006</v>
      </c>
      <c r="Z87" s="2">
        <f>Table1[[#This Row],[total_collected_premiums]]*(1-$AD$2)</f>
        <v>4445.8121280000005</v>
      </c>
      <c r="AA87" s="2">
        <f>Table1[[#This Row],[retained_premium]]-Table1[[#This Row],[claim_amount_paid]]</f>
        <v>3445.8121280000005</v>
      </c>
    </row>
    <row r="88" spans="1:27" x14ac:dyDescent="0.35">
      <c r="A88" t="s">
        <v>303</v>
      </c>
      <c r="B88" t="s">
        <v>304</v>
      </c>
      <c r="C88" t="s">
        <v>305</v>
      </c>
      <c r="D88" s="1">
        <v>40812</v>
      </c>
      <c r="E88" s="1">
        <v>43983</v>
      </c>
      <c r="F88" s="1">
        <v>43988</v>
      </c>
      <c r="G88">
        <v>5</v>
      </c>
      <c r="H88">
        <v>129.38</v>
      </c>
      <c r="I88">
        <v>1552.56</v>
      </c>
      <c r="J88">
        <v>2000</v>
      </c>
      <c r="K88" t="s">
        <v>27</v>
      </c>
      <c r="L88">
        <v>2000</v>
      </c>
      <c r="M88">
        <v>6.67</v>
      </c>
      <c r="N88" t="s">
        <v>36</v>
      </c>
      <c r="O88">
        <v>80</v>
      </c>
      <c r="P88">
        <v>53</v>
      </c>
      <c r="Q88">
        <v>1</v>
      </c>
      <c r="R88">
        <v>6</v>
      </c>
      <c r="S88" t="s">
        <v>29</v>
      </c>
      <c r="T88" t="s">
        <v>30</v>
      </c>
      <c r="U88" t="s">
        <v>107</v>
      </c>
      <c r="V88" t="s">
        <v>45</v>
      </c>
      <c r="W88">
        <v>1</v>
      </c>
      <c r="X88">
        <v>1</v>
      </c>
      <c r="Y88" s="2">
        <f>Table1[[#This Row],[premium_yearly]]*Table1[[#This Row],[tenure_years]]</f>
        <v>10355.575199999999</v>
      </c>
      <c r="Z88" s="2">
        <f>Table1[[#This Row],[total_collected_premiums]]*(1-$AD$2)</f>
        <v>7559.5698959999991</v>
      </c>
      <c r="AA88" s="2">
        <f>Table1[[#This Row],[retained_premium]]-Table1[[#This Row],[claim_amount_paid]]</f>
        <v>5559.5698959999991</v>
      </c>
    </row>
    <row r="89" spans="1:27" x14ac:dyDescent="0.35">
      <c r="A89" t="s">
        <v>306</v>
      </c>
      <c r="B89" t="s">
        <v>307</v>
      </c>
      <c r="C89" t="s">
        <v>308</v>
      </c>
      <c r="D89" s="1">
        <v>40858</v>
      </c>
      <c r="E89" s="1">
        <v>43990</v>
      </c>
      <c r="F89" s="1">
        <v>43995</v>
      </c>
      <c r="G89">
        <v>5</v>
      </c>
      <c r="H89">
        <v>131.11000000000001</v>
      </c>
      <c r="I89">
        <v>1573.32</v>
      </c>
      <c r="J89">
        <v>5000</v>
      </c>
      <c r="K89" t="s">
        <v>27</v>
      </c>
      <c r="L89">
        <v>5000</v>
      </c>
      <c r="M89">
        <v>3.92</v>
      </c>
      <c r="N89" t="s">
        <v>28</v>
      </c>
      <c r="O89">
        <v>47</v>
      </c>
      <c r="P89">
        <v>26</v>
      </c>
      <c r="Q89">
        <v>1</v>
      </c>
      <c r="R89">
        <v>7</v>
      </c>
      <c r="S89" t="s">
        <v>65</v>
      </c>
      <c r="T89" t="s">
        <v>30</v>
      </c>
      <c r="U89" t="s">
        <v>38</v>
      </c>
      <c r="V89" t="s">
        <v>32</v>
      </c>
      <c r="W89">
        <v>1</v>
      </c>
      <c r="X89">
        <v>1</v>
      </c>
      <c r="Y89" s="2">
        <f>Table1[[#This Row],[premium_yearly]]*Table1[[#This Row],[tenure_years]]</f>
        <v>6167.4143999999997</v>
      </c>
      <c r="Z89" s="2">
        <f>Table1[[#This Row],[total_collected_premiums]]*(1-$AD$2)</f>
        <v>4502.2125120000001</v>
      </c>
      <c r="AA89" s="2">
        <f>Table1[[#This Row],[retained_premium]]-Table1[[#This Row],[claim_amount_paid]]</f>
        <v>-497.78748799999994</v>
      </c>
    </row>
    <row r="90" spans="1:27" x14ac:dyDescent="0.35">
      <c r="A90" t="s">
        <v>309</v>
      </c>
      <c r="B90" t="s">
        <v>310</v>
      </c>
      <c r="C90" t="s">
        <v>311</v>
      </c>
      <c r="D90" s="1">
        <v>42753</v>
      </c>
      <c r="E90" s="1">
        <v>43996</v>
      </c>
      <c r="F90" s="1">
        <v>43998</v>
      </c>
      <c r="G90">
        <v>2</v>
      </c>
      <c r="H90">
        <v>132.66</v>
      </c>
      <c r="I90">
        <v>1591.92</v>
      </c>
      <c r="J90">
        <v>9000</v>
      </c>
      <c r="K90" t="s">
        <v>27</v>
      </c>
      <c r="L90">
        <v>9000</v>
      </c>
      <c r="M90">
        <v>1.92</v>
      </c>
      <c r="N90" t="s">
        <v>28</v>
      </c>
      <c r="O90">
        <v>23</v>
      </c>
      <c r="P90">
        <v>55</v>
      </c>
      <c r="Q90">
        <v>0</v>
      </c>
      <c r="R90">
        <v>7</v>
      </c>
      <c r="S90" t="s">
        <v>65</v>
      </c>
      <c r="T90" t="s">
        <v>30</v>
      </c>
      <c r="U90" t="s">
        <v>31</v>
      </c>
      <c r="V90" t="s">
        <v>45</v>
      </c>
      <c r="W90">
        <v>1</v>
      </c>
      <c r="X90">
        <v>1</v>
      </c>
      <c r="Y90" s="2">
        <f>Table1[[#This Row],[premium_yearly]]*Table1[[#This Row],[tenure_years]]</f>
        <v>3056.4864000000002</v>
      </c>
      <c r="Z90" s="2">
        <f>Table1[[#This Row],[total_collected_premiums]]*(1-$AD$2)</f>
        <v>2231.2350719999999</v>
      </c>
      <c r="AA90" s="2">
        <f>Table1[[#This Row],[retained_premium]]-Table1[[#This Row],[claim_amount_paid]]</f>
        <v>-6768.7649280000005</v>
      </c>
    </row>
    <row r="91" spans="1:27" x14ac:dyDescent="0.35">
      <c r="A91" t="s">
        <v>312</v>
      </c>
      <c r="B91" t="s">
        <v>313</v>
      </c>
      <c r="C91" t="s">
        <v>314</v>
      </c>
      <c r="D91" s="1">
        <v>41148</v>
      </c>
      <c r="E91" s="1">
        <v>43988</v>
      </c>
      <c r="F91" s="1">
        <v>43993</v>
      </c>
      <c r="G91">
        <v>5</v>
      </c>
      <c r="H91">
        <v>81.459999999999994</v>
      </c>
      <c r="I91">
        <v>977.52</v>
      </c>
      <c r="J91">
        <v>8000</v>
      </c>
      <c r="K91" t="s">
        <v>27</v>
      </c>
      <c r="L91">
        <v>8000</v>
      </c>
      <c r="M91">
        <v>6.5</v>
      </c>
      <c r="N91" t="s">
        <v>36</v>
      </c>
      <c r="O91">
        <v>78</v>
      </c>
      <c r="P91">
        <v>64</v>
      </c>
      <c r="Q91">
        <v>0</v>
      </c>
      <c r="R91">
        <v>6</v>
      </c>
      <c r="S91" t="s">
        <v>29</v>
      </c>
      <c r="T91" t="s">
        <v>30</v>
      </c>
      <c r="U91" t="s">
        <v>31</v>
      </c>
      <c r="V91" t="s">
        <v>39</v>
      </c>
      <c r="W91">
        <v>1</v>
      </c>
      <c r="X91">
        <v>1</v>
      </c>
      <c r="Y91" s="2">
        <f>Table1[[#This Row],[premium_yearly]]*Table1[[#This Row],[tenure_years]]</f>
        <v>6353.88</v>
      </c>
      <c r="Z91" s="2">
        <f>Table1[[#This Row],[total_collected_premiums]]*(1-$AD$2)</f>
        <v>4638.3324000000002</v>
      </c>
      <c r="AA91" s="2">
        <f>Table1[[#This Row],[retained_premium]]-Table1[[#This Row],[claim_amount_paid]]</f>
        <v>-3361.6675999999998</v>
      </c>
    </row>
    <row r="92" spans="1:27" x14ac:dyDescent="0.35">
      <c r="A92" t="s">
        <v>315</v>
      </c>
      <c r="B92" t="s">
        <v>316</v>
      </c>
      <c r="C92" t="s">
        <v>317</v>
      </c>
      <c r="D92" s="1">
        <v>41378</v>
      </c>
      <c r="E92" s="1">
        <v>43998</v>
      </c>
      <c r="F92" s="1">
        <v>43999</v>
      </c>
      <c r="G92">
        <v>1</v>
      </c>
      <c r="H92">
        <v>92.87</v>
      </c>
      <c r="I92">
        <v>1114.44</v>
      </c>
      <c r="J92">
        <v>7000</v>
      </c>
      <c r="K92" t="s">
        <v>27</v>
      </c>
      <c r="L92">
        <v>7000</v>
      </c>
      <c r="M92">
        <v>2.5</v>
      </c>
      <c r="N92" t="s">
        <v>49</v>
      </c>
      <c r="O92">
        <v>30</v>
      </c>
      <c r="P92">
        <v>50</v>
      </c>
      <c r="Q92">
        <v>1</v>
      </c>
      <c r="R92">
        <v>3</v>
      </c>
      <c r="S92" t="s">
        <v>29</v>
      </c>
      <c r="T92" t="s">
        <v>50</v>
      </c>
      <c r="U92" t="s">
        <v>38</v>
      </c>
      <c r="V92" t="s">
        <v>45</v>
      </c>
      <c r="W92">
        <v>1</v>
      </c>
      <c r="X92">
        <v>1</v>
      </c>
      <c r="Y92" s="2">
        <f>Table1[[#This Row],[premium_yearly]]*Table1[[#This Row],[tenure_years]]</f>
        <v>2786.1000000000004</v>
      </c>
      <c r="Z92" s="2">
        <f>Table1[[#This Row],[total_collected_premiums]]*(1-$AD$2)</f>
        <v>2033.8530000000003</v>
      </c>
      <c r="AA92" s="2">
        <f>Table1[[#This Row],[retained_premium]]-Table1[[#This Row],[claim_amount_paid]]</f>
        <v>-4966.1469999999999</v>
      </c>
    </row>
    <row r="93" spans="1:27" x14ac:dyDescent="0.35">
      <c r="A93" t="s">
        <v>318</v>
      </c>
      <c r="B93" t="s">
        <v>319</v>
      </c>
      <c r="C93" t="s">
        <v>320</v>
      </c>
      <c r="D93" s="1">
        <v>41456</v>
      </c>
      <c r="E93" s="1">
        <v>43998</v>
      </c>
      <c r="F93" s="1">
        <v>43999</v>
      </c>
      <c r="G93">
        <v>1</v>
      </c>
      <c r="H93">
        <v>130.13</v>
      </c>
      <c r="I93">
        <v>1561.56</v>
      </c>
      <c r="J93">
        <v>10000</v>
      </c>
      <c r="K93" t="s">
        <v>27</v>
      </c>
      <c r="L93">
        <v>10000</v>
      </c>
      <c r="M93">
        <v>8.08</v>
      </c>
      <c r="N93" t="s">
        <v>49</v>
      </c>
      <c r="O93">
        <v>97</v>
      </c>
      <c r="P93">
        <v>28</v>
      </c>
      <c r="Q93">
        <v>1</v>
      </c>
      <c r="R93">
        <v>6</v>
      </c>
      <c r="S93" t="s">
        <v>65</v>
      </c>
      <c r="T93" t="s">
        <v>50</v>
      </c>
      <c r="U93" t="s">
        <v>31</v>
      </c>
      <c r="V93" t="s">
        <v>45</v>
      </c>
      <c r="W93">
        <v>1</v>
      </c>
      <c r="X93">
        <v>1</v>
      </c>
      <c r="Y93" s="2">
        <f>Table1[[#This Row],[premium_yearly]]*Table1[[#This Row],[tenure_years]]</f>
        <v>12617.4048</v>
      </c>
      <c r="Z93" s="2">
        <f>Table1[[#This Row],[total_collected_premiums]]*(1-$AD$2)</f>
        <v>9210.7055039999996</v>
      </c>
      <c r="AA93" s="2">
        <f>Table1[[#This Row],[retained_premium]]-Table1[[#This Row],[claim_amount_paid]]</f>
        <v>-789.29449600000044</v>
      </c>
    </row>
    <row r="94" spans="1:27" x14ac:dyDescent="0.35">
      <c r="A94" t="s">
        <v>321</v>
      </c>
      <c r="B94" t="s">
        <v>322</v>
      </c>
      <c r="C94" t="s">
        <v>323</v>
      </c>
      <c r="D94" s="1">
        <v>40383</v>
      </c>
      <c r="E94" s="1">
        <v>44002</v>
      </c>
      <c r="F94" s="1">
        <v>44002</v>
      </c>
      <c r="G94">
        <v>0</v>
      </c>
      <c r="H94">
        <v>121.35</v>
      </c>
      <c r="I94">
        <v>1456.2</v>
      </c>
      <c r="J94">
        <v>2000</v>
      </c>
      <c r="K94" t="s">
        <v>27</v>
      </c>
      <c r="L94">
        <v>2000</v>
      </c>
      <c r="M94">
        <v>2.08</v>
      </c>
      <c r="N94" t="s">
        <v>36</v>
      </c>
      <c r="O94">
        <v>25</v>
      </c>
      <c r="P94">
        <v>31</v>
      </c>
      <c r="Q94">
        <v>0</v>
      </c>
      <c r="R94">
        <v>6</v>
      </c>
      <c r="S94" t="s">
        <v>65</v>
      </c>
      <c r="T94" t="s">
        <v>50</v>
      </c>
      <c r="U94" t="s">
        <v>38</v>
      </c>
      <c r="V94" t="s">
        <v>32</v>
      </c>
      <c r="W94">
        <v>0</v>
      </c>
      <c r="X94">
        <v>1</v>
      </c>
      <c r="Y94" s="2">
        <f>Table1[[#This Row],[premium_yearly]]*Table1[[#This Row],[tenure_years]]</f>
        <v>3028.8960000000002</v>
      </c>
      <c r="Z94" s="2">
        <f>Table1[[#This Row],[total_collected_premiums]]*(1-$AD$2)</f>
        <v>2211.0940800000003</v>
      </c>
      <c r="AA94" s="2">
        <f>Table1[[#This Row],[retained_premium]]-Table1[[#This Row],[claim_amount_paid]]</f>
        <v>211.0940800000003</v>
      </c>
    </row>
    <row r="95" spans="1:27" x14ac:dyDescent="0.35">
      <c r="A95" t="s">
        <v>324</v>
      </c>
      <c r="B95" t="s">
        <v>325</v>
      </c>
      <c r="C95" t="s">
        <v>326</v>
      </c>
      <c r="D95" s="1">
        <v>42803</v>
      </c>
      <c r="E95" s="1">
        <v>43991</v>
      </c>
      <c r="F95" s="1">
        <v>43996</v>
      </c>
      <c r="G95">
        <v>5</v>
      </c>
      <c r="H95">
        <v>73.930000000000007</v>
      </c>
      <c r="I95">
        <v>887.16</v>
      </c>
      <c r="J95">
        <v>5000</v>
      </c>
      <c r="K95" t="s">
        <v>27</v>
      </c>
      <c r="L95">
        <v>5000</v>
      </c>
      <c r="M95">
        <v>9.67</v>
      </c>
      <c r="N95" t="s">
        <v>49</v>
      </c>
      <c r="O95">
        <v>116</v>
      </c>
      <c r="P95">
        <v>60</v>
      </c>
      <c r="Q95">
        <v>1</v>
      </c>
      <c r="R95">
        <v>4</v>
      </c>
      <c r="S95" t="s">
        <v>65</v>
      </c>
      <c r="T95" t="s">
        <v>50</v>
      </c>
      <c r="U95" t="s">
        <v>38</v>
      </c>
      <c r="V95" t="s">
        <v>45</v>
      </c>
      <c r="W95">
        <v>1</v>
      </c>
      <c r="X95">
        <v>1</v>
      </c>
      <c r="Y95" s="2">
        <f>Table1[[#This Row],[premium_yearly]]*Table1[[#This Row],[tenure_years]]</f>
        <v>8578.8371999999999</v>
      </c>
      <c r="Z95" s="2">
        <f>Table1[[#This Row],[total_collected_premiums]]*(1-$AD$2)</f>
        <v>6262.5511559999995</v>
      </c>
      <c r="AA95" s="2">
        <f>Table1[[#This Row],[retained_premium]]-Table1[[#This Row],[claim_amount_paid]]</f>
        <v>1262.5511559999995</v>
      </c>
    </row>
    <row r="96" spans="1:27" x14ac:dyDescent="0.35">
      <c r="A96" t="s">
        <v>327</v>
      </c>
      <c r="B96" t="s">
        <v>328</v>
      </c>
      <c r="C96" t="s">
        <v>329</v>
      </c>
      <c r="D96" s="1">
        <v>41721</v>
      </c>
      <c r="E96" s="1">
        <v>43999</v>
      </c>
      <c r="F96" s="1">
        <v>44000</v>
      </c>
      <c r="G96">
        <v>1</v>
      </c>
      <c r="H96">
        <v>102.16</v>
      </c>
      <c r="I96">
        <v>1225.92</v>
      </c>
      <c r="J96">
        <v>7000</v>
      </c>
      <c r="K96" t="s">
        <v>27</v>
      </c>
      <c r="L96">
        <v>7000</v>
      </c>
      <c r="M96">
        <v>9.58</v>
      </c>
      <c r="N96" t="s">
        <v>36</v>
      </c>
      <c r="O96">
        <v>115</v>
      </c>
      <c r="P96">
        <v>61</v>
      </c>
      <c r="Q96">
        <v>1</v>
      </c>
      <c r="R96">
        <v>5</v>
      </c>
      <c r="S96" t="s">
        <v>65</v>
      </c>
      <c r="T96" t="s">
        <v>50</v>
      </c>
      <c r="U96" t="s">
        <v>38</v>
      </c>
      <c r="V96" t="s">
        <v>32</v>
      </c>
      <c r="W96">
        <v>1</v>
      </c>
      <c r="X96">
        <v>1</v>
      </c>
      <c r="Y96" s="2">
        <f>Table1[[#This Row],[premium_yearly]]*Table1[[#This Row],[tenure_years]]</f>
        <v>11744.313600000001</v>
      </c>
      <c r="Z96" s="2">
        <f>Table1[[#This Row],[total_collected_premiums]]*(1-$AD$2)</f>
        <v>8573.3489280000013</v>
      </c>
      <c r="AA96" s="2">
        <f>Table1[[#This Row],[retained_premium]]-Table1[[#This Row],[claim_amount_paid]]</f>
        <v>1573.3489280000013</v>
      </c>
    </row>
    <row r="97" spans="1:27" x14ac:dyDescent="0.35">
      <c r="A97" t="s">
        <v>330</v>
      </c>
      <c r="B97" t="s">
        <v>331</v>
      </c>
      <c r="C97" t="s">
        <v>332</v>
      </c>
      <c r="D97" s="1">
        <v>42126</v>
      </c>
      <c r="E97" s="1">
        <v>43998</v>
      </c>
      <c r="F97" s="1">
        <v>44000</v>
      </c>
      <c r="G97">
        <v>2</v>
      </c>
      <c r="H97">
        <v>80.5</v>
      </c>
      <c r="I97">
        <v>966</v>
      </c>
      <c r="J97">
        <v>3000</v>
      </c>
      <c r="K97" t="s">
        <v>27</v>
      </c>
      <c r="L97">
        <v>3000</v>
      </c>
      <c r="M97">
        <v>7.17</v>
      </c>
      <c r="N97" t="s">
        <v>49</v>
      </c>
      <c r="O97">
        <v>86</v>
      </c>
      <c r="P97">
        <v>53</v>
      </c>
      <c r="Q97">
        <v>1</v>
      </c>
      <c r="R97">
        <v>4</v>
      </c>
      <c r="S97" t="s">
        <v>65</v>
      </c>
      <c r="T97" t="s">
        <v>50</v>
      </c>
      <c r="U97" t="s">
        <v>66</v>
      </c>
      <c r="V97" t="s">
        <v>32</v>
      </c>
      <c r="W97">
        <v>0</v>
      </c>
      <c r="X97">
        <v>1</v>
      </c>
      <c r="Y97" s="2">
        <f>Table1[[#This Row],[premium_yearly]]*Table1[[#This Row],[tenure_years]]</f>
        <v>6926.22</v>
      </c>
      <c r="Z97" s="2">
        <f>Table1[[#This Row],[total_collected_premiums]]*(1-$AD$2)</f>
        <v>5056.1405999999997</v>
      </c>
      <c r="AA97" s="2">
        <f>Table1[[#This Row],[retained_premium]]-Table1[[#This Row],[claim_amount_paid]]</f>
        <v>2056.1405999999997</v>
      </c>
    </row>
    <row r="98" spans="1:27" x14ac:dyDescent="0.35">
      <c r="A98" t="s">
        <v>333</v>
      </c>
      <c r="B98" t="s">
        <v>334</v>
      </c>
      <c r="C98" t="s">
        <v>335</v>
      </c>
      <c r="D98" s="1">
        <v>41411</v>
      </c>
      <c r="E98" s="1">
        <v>43998</v>
      </c>
      <c r="F98" s="1">
        <v>44000</v>
      </c>
      <c r="G98">
        <v>2</v>
      </c>
      <c r="H98">
        <v>110.63</v>
      </c>
      <c r="I98">
        <v>1327.56</v>
      </c>
      <c r="J98">
        <v>2000</v>
      </c>
      <c r="K98" t="s">
        <v>27</v>
      </c>
      <c r="L98">
        <v>2000</v>
      </c>
      <c r="M98">
        <v>2.58</v>
      </c>
      <c r="N98" t="s">
        <v>49</v>
      </c>
      <c r="O98">
        <v>31</v>
      </c>
      <c r="P98">
        <v>43</v>
      </c>
      <c r="Q98">
        <v>1</v>
      </c>
      <c r="R98">
        <v>5</v>
      </c>
      <c r="S98" t="s">
        <v>29</v>
      </c>
      <c r="T98" t="s">
        <v>30</v>
      </c>
      <c r="U98" t="s">
        <v>38</v>
      </c>
      <c r="V98" t="s">
        <v>32</v>
      </c>
      <c r="W98">
        <v>1</v>
      </c>
      <c r="X98">
        <v>1</v>
      </c>
      <c r="Y98" s="2">
        <f>Table1[[#This Row],[premium_yearly]]*Table1[[#This Row],[tenure_years]]</f>
        <v>3425.1048000000001</v>
      </c>
      <c r="Z98" s="2">
        <f>Table1[[#This Row],[total_collected_premiums]]*(1-$AD$2)</f>
        <v>2500.3265040000001</v>
      </c>
      <c r="AA98" s="2">
        <f>Table1[[#This Row],[retained_premium]]-Table1[[#This Row],[claim_amount_paid]]</f>
        <v>500.32650400000011</v>
      </c>
    </row>
    <row r="99" spans="1:27" x14ac:dyDescent="0.35">
      <c r="A99" t="s">
        <v>336</v>
      </c>
      <c r="B99" t="s">
        <v>337</v>
      </c>
      <c r="C99" t="s">
        <v>338</v>
      </c>
      <c r="D99" s="1">
        <v>42281</v>
      </c>
      <c r="E99" s="1">
        <v>43991</v>
      </c>
      <c r="F99" s="1">
        <v>43996</v>
      </c>
      <c r="G99">
        <v>5</v>
      </c>
      <c r="H99">
        <v>73.78</v>
      </c>
      <c r="I99">
        <v>885.36</v>
      </c>
      <c r="J99">
        <v>1000</v>
      </c>
      <c r="K99" t="s">
        <v>27</v>
      </c>
      <c r="L99">
        <v>1000</v>
      </c>
      <c r="M99">
        <v>5.58</v>
      </c>
      <c r="N99" t="s">
        <v>49</v>
      </c>
      <c r="O99">
        <v>67</v>
      </c>
      <c r="P99">
        <v>52</v>
      </c>
      <c r="Q99">
        <v>1</v>
      </c>
      <c r="R99">
        <v>7</v>
      </c>
      <c r="S99" t="s">
        <v>29</v>
      </c>
      <c r="T99" t="s">
        <v>44</v>
      </c>
      <c r="U99" t="s">
        <v>38</v>
      </c>
      <c r="V99" t="s">
        <v>39</v>
      </c>
      <c r="W99">
        <v>1</v>
      </c>
      <c r="X99">
        <v>1</v>
      </c>
      <c r="Y99" s="2">
        <f>Table1[[#This Row],[premium_yearly]]*Table1[[#This Row],[tenure_years]]</f>
        <v>4940.3087999999998</v>
      </c>
      <c r="Z99" s="2">
        <f>Table1[[#This Row],[total_collected_premiums]]*(1-$AD$2)</f>
        <v>3606.4254239999996</v>
      </c>
      <c r="AA99" s="2">
        <f>Table1[[#This Row],[retained_premium]]-Table1[[#This Row],[claim_amount_paid]]</f>
        <v>2606.4254239999996</v>
      </c>
    </row>
    <row r="100" spans="1:27" x14ac:dyDescent="0.35">
      <c r="A100" t="s">
        <v>339</v>
      </c>
      <c r="B100" t="s">
        <v>340</v>
      </c>
      <c r="C100" t="s">
        <v>341</v>
      </c>
      <c r="D100" s="1">
        <v>40739</v>
      </c>
      <c r="E100" s="1">
        <v>43995</v>
      </c>
      <c r="F100" s="1">
        <v>43998</v>
      </c>
      <c r="G100">
        <v>3</v>
      </c>
      <c r="H100">
        <v>85.44</v>
      </c>
      <c r="I100">
        <v>1025.28</v>
      </c>
      <c r="J100">
        <v>6000</v>
      </c>
      <c r="K100" t="s">
        <v>27</v>
      </c>
      <c r="L100">
        <v>6000</v>
      </c>
      <c r="M100">
        <v>2.92</v>
      </c>
      <c r="N100" t="s">
        <v>49</v>
      </c>
      <c r="O100">
        <v>35</v>
      </c>
      <c r="P100">
        <v>55</v>
      </c>
      <c r="Q100">
        <v>1</v>
      </c>
      <c r="R100">
        <v>5</v>
      </c>
      <c r="S100" t="s">
        <v>65</v>
      </c>
      <c r="T100" t="s">
        <v>50</v>
      </c>
      <c r="U100" t="s">
        <v>31</v>
      </c>
      <c r="V100" t="s">
        <v>45</v>
      </c>
      <c r="W100">
        <v>1</v>
      </c>
      <c r="X100">
        <v>1</v>
      </c>
      <c r="Y100" s="2">
        <f>Table1[[#This Row],[premium_yearly]]*Table1[[#This Row],[tenure_years]]</f>
        <v>2993.8175999999999</v>
      </c>
      <c r="Z100" s="2">
        <f>Table1[[#This Row],[total_collected_premiums]]*(1-$AD$2)</f>
        <v>2185.486848</v>
      </c>
      <c r="AA100" s="2">
        <f>Table1[[#This Row],[retained_premium]]-Table1[[#This Row],[claim_amount_paid]]</f>
        <v>-3814.513152</v>
      </c>
    </row>
    <row r="101" spans="1:27" x14ac:dyDescent="0.35">
      <c r="A101" t="s">
        <v>342</v>
      </c>
      <c r="B101" t="s">
        <v>343</v>
      </c>
      <c r="C101" t="s">
        <v>344</v>
      </c>
      <c r="D101" s="1">
        <v>42203</v>
      </c>
      <c r="E101" s="1">
        <v>43990</v>
      </c>
      <c r="F101" s="1">
        <v>43995</v>
      </c>
      <c r="G101">
        <v>5</v>
      </c>
      <c r="H101">
        <v>129.99</v>
      </c>
      <c r="I101">
        <v>1559.88</v>
      </c>
      <c r="J101">
        <v>2000</v>
      </c>
      <c r="K101" t="s">
        <v>27</v>
      </c>
      <c r="L101">
        <v>2000</v>
      </c>
      <c r="M101">
        <v>5</v>
      </c>
      <c r="N101" t="s">
        <v>28</v>
      </c>
      <c r="O101">
        <v>60</v>
      </c>
      <c r="P101">
        <v>63</v>
      </c>
      <c r="Q101">
        <v>0</v>
      </c>
      <c r="R101">
        <v>3</v>
      </c>
      <c r="S101" t="s">
        <v>29</v>
      </c>
      <c r="T101" t="s">
        <v>44</v>
      </c>
      <c r="U101" t="s">
        <v>38</v>
      </c>
      <c r="V101" t="s">
        <v>39</v>
      </c>
      <c r="W101">
        <v>1</v>
      </c>
      <c r="X101">
        <v>1</v>
      </c>
      <c r="Y101" s="2">
        <f>Table1[[#This Row],[premium_yearly]]*Table1[[#This Row],[tenure_years]]</f>
        <v>7799.4000000000005</v>
      </c>
      <c r="Z101" s="2">
        <f>Table1[[#This Row],[total_collected_premiums]]*(1-$AD$2)</f>
        <v>5693.5619999999999</v>
      </c>
      <c r="AA101" s="2">
        <f>Table1[[#This Row],[retained_premium]]-Table1[[#This Row],[claim_amount_paid]]</f>
        <v>3693.5619999999999</v>
      </c>
    </row>
    <row r="102" spans="1:27" x14ac:dyDescent="0.35">
      <c r="A102" t="s">
        <v>345</v>
      </c>
      <c r="B102" t="s">
        <v>346</v>
      </c>
      <c r="C102" t="s">
        <v>347</v>
      </c>
      <c r="D102" s="1">
        <v>40406</v>
      </c>
      <c r="E102" s="1">
        <v>43992</v>
      </c>
      <c r="F102" s="1">
        <v>43997</v>
      </c>
      <c r="G102">
        <v>5</v>
      </c>
      <c r="H102">
        <v>105.45</v>
      </c>
      <c r="I102">
        <v>1265.4000000000001</v>
      </c>
      <c r="J102">
        <v>4000</v>
      </c>
      <c r="K102" t="s">
        <v>43</v>
      </c>
      <c r="L102">
        <v>0</v>
      </c>
      <c r="M102">
        <v>8.25</v>
      </c>
      <c r="N102" t="s">
        <v>49</v>
      </c>
      <c r="O102">
        <v>99</v>
      </c>
      <c r="P102">
        <v>45</v>
      </c>
      <c r="Q102">
        <v>1</v>
      </c>
      <c r="R102">
        <v>7</v>
      </c>
      <c r="S102" t="s">
        <v>65</v>
      </c>
      <c r="T102" t="s">
        <v>44</v>
      </c>
      <c r="U102" t="s">
        <v>51</v>
      </c>
      <c r="V102" t="s">
        <v>39</v>
      </c>
      <c r="W102">
        <v>1</v>
      </c>
      <c r="X102">
        <v>1</v>
      </c>
      <c r="Y102" s="2">
        <f>Table1[[#This Row],[premium_yearly]]*Table1[[#This Row],[tenure_years]]</f>
        <v>10439.550000000001</v>
      </c>
      <c r="Z102" s="2">
        <f>Table1[[#This Row],[total_collected_premiums]]*(1-$AD$2)</f>
        <v>7620.8715000000002</v>
      </c>
      <c r="AA102" s="2">
        <f>Table1[[#This Row],[retained_premium]]-Table1[[#This Row],[claim_amount_paid]]</f>
        <v>7620.8715000000002</v>
      </c>
    </row>
    <row r="103" spans="1:27" x14ac:dyDescent="0.35">
      <c r="A103" t="s">
        <v>348</v>
      </c>
      <c r="B103" t="s">
        <v>349</v>
      </c>
      <c r="C103" t="s">
        <v>350</v>
      </c>
      <c r="D103" s="1">
        <v>42385</v>
      </c>
      <c r="E103" s="1">
        <v>44002</v>
      </c>
      <c r="F103" s="1">
        <v>44002</v>
      </c>
      <c r="G103">
        <v>0</v>
      </c>
      <c r="H103">
        <v>132.84</v>
      </c>
      <c r="I103">
        <v>1594.08</v>
      </c>
      <c r="J103">
        <v>6000</v>
      </c>
      <c r="K103" t="s">
        <v>27</v>
      </c>
      <c r="L103">
        <v>6000</v>
      </c>
      <c r="M103">
        <v>3.5</v>
      </c>
      <c r="N103" t="s">
        <v>49</v>
      </c>
      <c r="O103">
        <v>42</v>
      </c>
      <c r="P103">
        <v>61</v>
      </c>
      <c r="Q103">
        <v>1</v>
      </c>
      <c r="R103">
        <v>3</v>
      </c>
      <c r="S103" t="s">
        <v>29</v>
      </c>
      <c r="T103" t="s">
        <v>50</v>
      </c>
      <c r="U103" t="s">
        <v>38</v>
      </c>
      <c r="V103" t="s">
        <v>45</v>
      </c>
      <c r="W103">
        <v>1</v>
      </c>
      <c r="X103">
        <v>1</v>
      </c>
      <c r="Y103" s="2">
        <f>Table1[[#This Row],[premium_yearly]]*Table1[[#This Row],[tenure_years]]</f>
        <v>5579.28</v>
      </c>
      <c r="Z103" s="2">
        <f>Table1[[#This Row],[total_collected_premiums]]*(1-$AD$2)</f>
        <v>4072.8743999999997</v>
      </c>
      <c r="AA103" s="2">
        <f>Table1[[#This Row],[retained_premium]]-Table1[[#This Row],[claim_amount_paid]]</f>
        <v>-1927.1256000000003</v>
      </c>
    </row>
    <row r="104" spans="1:27" x14ac:dyDescent="0.35">
      <c r="A104" t="s">
        <v>351</v>
      </c>
      <c r="B104" t="s">
        <v>352</v>
      </c>
      <c r="C104" t="s">
        <v>353</v>
      </c>
      <c r="D104" s="1">
        <v>41651</v>
      </c>
      <c r="E104" s="1">
        <v>43989</v>
      </c>
      <c r="F104" s="1">
        <v>43994</v>
      </c>
      <c r="G104">
        <v>5</v>
      </c>
      <c r="H104">
        <v>133.58000000000001</v>
      </c>
      <c r="I104">
        <v>1602.96</v>
      </c>
      <c r="J104">
        <v>5000</v>
      </c>
      <c r="K104" t="s">
        <v>27</v>
      </c>
      <c r="L104">
        <v>5000</v>
      </c>
      <c r="M104">
        <v>4.33</v>
      </c>
      <c r="N104" t="s">
        <v>49</v>
      </c>
      <c r="O104">
        <v>52</v>
      </c>
      <c r="P104">
        <v>28</v>
      </c>
      <c r="Q104">
        <v>1</v>
      </c>
      <c r="R104">
        <v>3</v>
      </c>
      <c r="S104" t="s">
        <v>29</v>
      </c>
      <c r="T104" t="s">
        <v>30</v>
      </c>
      <c r="U104" t="s">
        <v>38</v>
      </c>
      <c r="V104" t="s">
        <v>32</v>
      </c>
      <c r="W104">
        <v>0</v>
      </c>
      <c r="X104">
        <v>0</v>
      </c>
      <c r="Y104" s="2">
        <f>Table1[[#This Row],[premium_yearly]]*Table1[[#This Row],[tenure_years]]</f>
        <v>6940.8168000000005</v>
      </c>
      <c r="Z104" s="2">
        <f>Table1[[#This Row],[total_collected_premiums]]*(1-$AD$2)</f>
        <v>5066.7962640000005</v>
      </c>
      <c r="AA104" s="2">
        <f>Table1[[#This Row],[retained_premium]]-Table1[[#This Row],[claim_amount_paid]]</f>
        <v>66.796264000000519</v>
      </c>
    </row>
    <row r="105" spans="1:27" x14ac:dyDescent="0.35">
      <c r="A105" t="s">
        <v>354</v>
      </c>
      <c r="B105" t="s">
        <v>355</v>
      </c>
      <c r="C105" t="s">
        <v>356</v>
      </c>
      <c r="D105" s="1">
        <v>43639</v>
      </c>
      <c r="E105" s="1">
        <v>43996</v>
      </c>
      <c r="F105" s="1">
        <v>43999</v>
      </c>
      <c r="G105">
        <v>3</v>
      </c>
      <c r="H105">
        <v>84.79</v>
      </c>
      <c r="I105">
        <v>1017.48</v>
      </c>
      <c r="J105">
        <v>2000</v>
      </c>
      <c r="K105" t="s">
        <v>27</v>
      </c>
      <c r="L105">
        <v>2000</v>
      </c>
      <c r="M105">
        <v>7.83</v>
      </c>
      <c r="N105" t="s">
        <v>28</v>
      </c>
      <c r="O105">
        <v>94</v>
      </c>
      <c r="P105">
        <v>40</v>
      </c>
      <c r="Q105">
        <v>1</v>
      </c>
      <c r="R105">
        <v>7</v>
      </c>
      <c r="S105" t="s">
        <v>37</v>
      </c>
      <c r="T105" t="s">
        <v>30</v>
      </c>
      <c r="U105" t="s">
        <v>31</v>
      </c>
      <c r="V105" t="s">
        <v>39</v>
      </c>
      <c r="W105">
        <v>1</v>
      </c>
      <c r="X105">
        <v>0</v>
      </c>
      <c r="Y105" s="2">
        <f>Table1[[#This Row],[premium_yearly]]*Table1[[#This Row],[tenure_years]]</f>
        <v>7966.8684000000003</v>
      </c>
      <c r="Z105" s="2">
        <f>Table1[[#This Row],[total_collected_premiums]]*(1-$AD$2)</f>
        <v>5815.813932</v>
      </c>
      <c r="AA105" s="2">
        <f>Table1[[#This Row],[retained_premium]]-Table1[[#This Row],[claim_amount_paid]]</f>
        <v>3815.813932</v>
      </c>
    </row>
    <row r="106" spans="1:27" x14ac:dyDescent="0.35">
      <c r="A106" t="s">
        <v>357</v>
      </c>
      <c r="B106" t="s">
        <v>358</v>
      </c>
      <c r="C106" t="s">
        <v>359</v>
      </c>
      <c r="D106" s="1">
        <v>43030</v>
      </c>
      <c r="E106" s="1">
        <v>43989</v>
      </c>
      <c r="F106" s="1">
        <v>43994</v>
      </c>
      <c r="G106">
        <v>5</v>
      </c>
      <c r="H106">
        <v>98.44</v>
      </c>
      <c r="I106">
        <v>1181.28</v>
      </c>
      <c r="J106">
        <v>10000</v>
      </c>
      <c r="K106" t="s">
        <v>27</v>
      </c>
      <c r="L106">
        <v>10000</v>
      </c>
      <c r="M106">
        <v>6.92</v>
      </c>
      <c r="N106" t="s">
        <v>36</v>
      </c>
      <c r="O106">
        <v>83</v>
      </c>
      <c r="P106">
        <v>47</v>
      </c>
      <c r="Q106">
        <v>0</v>
      </c>
      <c r="R106">
        <v>6</v>
      </c>
      <c r="S106" t="s">
        <v>29</v>
      </c>
      <c r="T106" t="s">
        <v>50</v>
      </c>
      <c r="U106" t="s">
        <v>31</v>
      </c>
      <c r="V106" t="s">
        <v>39</v>
      </c>
      <c r="W106">
        <v>1</v>
      </c>
      <c r="X106">
        <v>1</v>
      </c>
      <c r="Y106" s="2">
        <f>Table1[[#This Row],[premium_yearly]]*Table1[[#This Row],[tenure_years]]</f>
        <v>8174.4575999999997</v>
      </c>
      <c r="Z106" s="2">
        <f>Table1[[#This Row],[total_collected_premiums]]*(1-$AD$2)</f>
        <v>5967.3540479999992</v>
      </c>
      <c r="AA106" s="2">
        <f>Table1[[#This Row],[retained_premium]]-Table1[[#This Row],[claim_amount_paid]]</f>
        <v>-4032.6459520000008</v>
      </c>
    </row>
    <row r="107" spans="1:27" x14ac:dyDescent="0.35">
      <c r="A107" t="s">
        <v>360</v>
      </c>
      <c r="B107" t="s">
        <v>361</v>
      </c>
      <c r="C107" t="s">
        <v>362</v>
      </c>
      <c r="D107" s="1">
        <v>41774</v>
      </c>
      <c r="E107" s="1">
        <v>44006</v>
      </c>
      <c r="F107" s="1">
        <v>44006</v>
      </c>
      <c r="G107">
        <v>0</v>
      </c>
      <c r="H107">
        <v>132.57</v>
      </c>
      <c r="I107">
        <v>1590.84</v>
      </c>
      <c r="J107">
        <v>10000</v>
      </c>
      <c r="K107" t="s">
        <v>27</v>
      </c>
      <c r="L107">
        <v>10000</v>
      </c>
      <c r="M107">
        <v>9.08</v>
      </c>
      <c r="N107" t="s">
        <v>28</v>
      </c>
      <c r="O107">
        <v>109</v>
      </c>
      <c r="P107">
        <v>40</v>
      </c>
      <c r="Q107">
        <v>0</v>
      </c>
      <c r="R107">
        <v>2</v>
      </c>
      <c r="S107" t="s">
        <v>37</v>
      </c>
      <c r="T107" t="s">
        <v>30</v>
      </c>
      <c r="U107" t="s">
        <v>58</v>
      </c>
      <c r="V107" t="s">
        <v>39</v>
      </c>
      <c r="W107">
        <v>1</v>
      </c>
      <c r="X107">
        <v>1</v>
      </c>
      <c r="Y107" s="2">
        <f>Table1[[#This Row],[premium_yearly]]*Table1[[#This Row],[tenure_years]]</f>
        <v>14444.8272</v>
      </c>
      <c r="Z107" s="2">
        <f>Table1[[#This Row],[total_collected_premiums]]*(1-$AD$2)</f>
        <v>10544.723855999999</v>
      </c>
      <c r="AA107" s="2">
        <f>Table1[[#This Row],[retained_premium]]-Table1[[#This Row],[claim_amount_paid]]</f>
        <v>544.7238559999987</v>
      </c>
    </row>
    <row r="108" spans="1:27" x14ac:dyDescent="0.35">
      <c r="A108" t="s">
        <v>363</v>
      </c>
      <c r="B108" t="s">
        <v>364</v>
      </c>
      <c r="C108" t="s">
        <v>365</v>
      </c>
      <c r="D108" s="1">
        <v>41402</v>
      </c>
      <c r="E108" s="1">
        <v>43996</v>
      </c>
      <c r="F108" s="1">
        <v>44001</v>
      </c>
      <c r="G108">
        <v>5</v>
      </c>
      <c r="H108">
        <v>90.73</v>
      </c>
      <c r="I108">
        <v>1088.76</v>
      </c>
      <c r="J108">
        <v>10000</v>
      </c>
      <c r="K108" t="s">
        <v>27</v>
      </c>
      <c r="L108">
        <v>10000</v>
      </c>
      <c r="M108">
        <v>6</v>
      </c>
      <c r="N108" t="s">
        <v>28</v>
      </c>
      <c r="O108">
        <v>72</v>
      </c>
      <c r="P108">
        <v>64</v>
      </c>
      <c r="Q108">
        <v>1</v>
      </c>
      <c r="R108">
        <v>7</v>
      </c>
      <c r="S108" t="s">
        <v>65</v>
      </c>
      <c r="T108" t="s">
        <v>30</v>
      </c>
      <c r="U108" t="s">
        <v>107</v>
      </c>
      <c r="V108" t="s">
        <v>32</v>
      </c>
      <c r="W108">
        <v>1</v>
      </c>
      <c r="X108">
        <v>1</v>
      </c>
      <c r="Y108" s="2">
        <f>Table1[[#This Row],[premium_yearly]]*Table1[[#This Row],[tenure_years]]</f>
        <v>6532.5599999999995</v>
      </c>
      <c r="Z108" s="2">
        <f>Table1[[#This Row],[total_collected_premiums]]*(1-$AD$2)</f>
        <v>4768.7687999999998</v>
      </c>
      <c r="AA108" s="2">
        <f>Table1[[#This Row],[retained_premium]]-Table1[[#This Row],[claim_amount_paid]]</f>
        <v>-5231.2312000000002</v>
      </c>
    </row>
    <row r="109" spans="1:27" x14ac:dyDescent="0.35">
      <c r="A109" t="s">
        <v>366</v>
      </c>
      <c r="B109" t="s">
        <v>367</v>
      </c>
      <c r="C109" t="s">
        <v>368</v>
      </c>
      <c r="D109" s="1">
        <v>43521</v>
      </c>
      <c r="E109" s="1">
        <v>43997</v>
      </c>
      <c r="F109" s="1">
        <v>44002</v>
      </c>
      <c r="G109">
        <v>5</v>
      </c>
      <c r="H109">
        <v>78.099999999999994</v>
      </c>
      <c r="I109">
        <v>937.2</v>
      </c>
      <c r="J109">
        <v>2000</v>
      </c>
      <c r="K109" t="s">
        <v>27</v>
      </c>
      <c r="L109">
        <v>2000</v>
      </c>
      <c r="M109">
        <v>1.5</v>
      </c>
      <c r="N109" t="s">
        <v>36</v>
      </c>
      <c r="O109">
        <v>18</v>
      </c>
      <c r="P109">
        <v>28</v>
      </c>
      <c r="Q109">
        <v>0</v>
      </c>
      <c r="R109">
        <v>5</v>
      </c>
      <c r="S109" t="s">
        <v>29</v>
      </c>
      <c r="T109" t="s">
        <v>50</v>
      </c>
      <c r="U109" t="s">
        <v>38</v>
      </c>
      <c r="V109" t="s">
        <v>39</v>
      </c>
      <c r="W109">
        <v>1</v>
      </c>
      <c r="X109">
        <v>1</v>
      </c>
      <c r="Y109" s="2">
        <f>Table1[[#This Row],[premium_yearly]]*Table1[[#This Row],[tenure_years]]</f>
        <v>1405.8000000000002</v>
      </c>
      <c r="Z109" s="2">
        <f>Table1[[#This Row],[total_collected_premiums]]*(1-$AD$2)</f>
        <v>1026.2340000000002</v>
      </c>
      <c r="AA109" s="2">
        <f>Table1[[#This Row],[retained_premium]]-Table1[[#This Row],[claim_amount_paid]]</f>
        <v>-973.76599999999985</v>
      </c>
    </row>
    <row r="110" spans="1:27" x14ac:dyDescent="0.35">
      <c r="A110" t="s">
        <v>369</v>
      </c>
      <c r="B110" t="s">
        <v>370</v>
      </c>
      <c r="C110" t="s">
        <v>371</v>
      </c>
      <c r="D110" s="1">
        <v>41158</v>
      </c>
      <c r="E110" s="1">
        <v>44002</v>
      </c>
      <c r="F110" s="1">
        <v>44004</v>
      </c>
      <c r="G110">
        <v>2</v>
      </c>
      <c r="H110">
        <v>134.59</v>
      </c>
      <c r="I110">
        <v>1615.08</v>
      </c>
      <c r="J110">
        <v>1000</v>
      </c>
      <c r="K110" t="s">
        <v>43</v>
      </c>
      <c r="L110">
        <v>0</v>
      </c>
      <c r="M110">
        <v>7.92</v>
      </c>
      <c r="N110" t="s">
        <v>36</v>
      </c>
      <c r="O110">
        <v>95</v>
      </c>
      <c r="P110">
        <v>42</v>
      </c>
      <c r="Q110">
        <v>0</v>
      </c>
      <c r="R110">
        <v>3</v>
      </c>
      <c r="S110" t="s">
        <v>37</v>
      </c>
      <c r="T110" t="s">
        <v>44</v>
      </c>
      <c r="U110" t="s">
        <v>88</v>
      </c>
      <c r="V110" t="s">
        <v>39</v>
      </c>
      <c r="W110">
        <v>1</v>
      </c>
      <c r="X110">
        <v>1</v>
      </c>
      <c r="Y110" s="2">
        <f>Table1[[#This Row],[premium_yearly]]*Table1[[#This Row],[tenure_years]]</f>
        <v>12791.433599999998</v>
      </c>
      <c r="Z110" s="2">
        <f>Table1[[#This Row],[total_collected_premiums]]*(1-$AD$2)</f>
        <v>9337.7465279999979</v>
      </c>
      <c r="AA110" s="2">
        <f>Table1[[#This Row],[retained_premium]]-Table1[[#This Row],[claim_amount_paid]]</f>
        <v>9337.7465279999979</v>
      </c>
    </row>
    <row r="111" spans="1:27" x14ac:dyDescent="0.35">
      <c r="A111" t="s">
        <v>372</v>
      </c>
      <c r="B111" t="s">
        <v>373</v>
      </c>
      <c r="C111" t="s">
        <v>374</v>
      </c>
      <c r="D111" s="1">
        <v>43547</v>
      </c>
      <c r="E111" s="1">
        <v>43992</v>
      </c>
      <c r="F111" s="1">
        <v>43997</v>
      </c>
      <c r="G111">
        <v>5</v>
      </c>
      <c r="H111">
        <v>71.989999999999995</v>
      </c>
      <c r="I111">
        <v>863.88</v>
      </c>
      <c r="J111">
        <v>3000</v>
      </c>
      <c r="K111" t="s">
        <v>43</v>
      </c>
      <c r="L111">
        <v>0</v>
      </c>
      <c r="M111">
        <v>6.83</v>
      </c>
      <c r="N111" t="s">
        <v>49</v>
      </c>
      <c r="O111">
        <v>82</v>
      </c>
      <c r="P111">
        <v>31</v>
      </c>
      <c r="Q111">
        <v>1</v>
      </c>
      <c r="R111">
        <v>4</v>
      </c>
      <c r="S111" t="s">
        <v>29</v>
      </c>
      <c r="T111" t="s">
        <v>30</v>
      </c>
      <c r="U111" t="s">
        <v>38</v>
      </c>
      <c r="V111" t="s">
        <v>39</v>
      </c>
      <c r="W111">
        <v>1</v>
      </c>
      <c r="X111">
        <v>1</v>
      </c>
      <c r="Y111" s="2">
        <f>Table1[[#This Row],[premium_yearly]]*Table1[[#This Row],[tenure_years]]</f>
        <v>5900.3004000000001</v>
      </c>
      <c r="Z111" s="2">
        <f>Table1[[#This Row],[total_collected_premiums]]*(1-$AD$2)</f>
        <v>4307.2192919999998</v>
      </c>
      <c r="AA111" s="2">
        <f>Table1[[#This Row],[retained_premium]]-Table1[[#This Row],[claim_amount_paid]]</f>
        <v>4307.2192919999998</v>
      </c>
    </row>
    <row r="112" spans="1:27" x14ac:dyDescent="0.35">
      <c r="A112" t="s">
        <v>375</v>
      </c>
      <c r="B112" t="s">
        <v>376</v>
      </c>
      <c r="C112" t="s">
        <v>377</v>
      </c>
      <c r="D112" s="1">
        <v>42885</v>
      </c>
      <c r="E112" s="1">
        <v>43997</v>
      </c>
      <c r="F112" s="1">
        <v>44002</v>
      </c>
      <c r="G112">
        <v>5</v>
      </c>
      <c r="H112">
        <v>76.06</v>
      </c>
      <c r="I112">
        <v>912.72</v>
      </c>
      <c r="J112">
        <v>3000</v>
      </c>
      <c r="K112" t="s">
        <v>27</v>
      </c>
      <c r="L112">
        <v>3000</v>
      </c>
      <c r="M112">
        <v>2.58</v>
      </c>
      <c r="N112" t="s">
        <v>28</v>
      </c>
      <c r="O112">
        <v>31</v>
      </c>
      <c r="P112">
        <v>28</v>
      </c>
      <c r="Q112">
        <v>1</v>
      </c>
      <c r="R112">
        <v>6</v>
      </c>
      <c r="S112" t="s">
        <v>29</v>
      </c>
      <c r="T112" t="s">
        <v>30</v>
      </c>
      <c r="U112" t="s">
        <v>38</v>
      </c>
      <c r="V112" t="s">
        <v>32</v>
      </c>
      <c r="W112">
        <v>1</v>
      </c>
      <c r="X112">
        <v>1</v>
      </c>
      <c r="Y112" s="2">
        <f>Table1[[#This Row],[premium_yearly]]*Table1[[#This Row],[tenure_years]]</f>
        <v>2354.8176000000003</v>
      </c>
      <c r="Z112" s="2">
        <f>Table1[[#This Row],[total_collected_premiums]]*(1-$AD$2)</f>
        <v>1719.0168480000002</v>
      </c>
      <c r="AA112" s="2">
        <f>Table1[[#This Row],[retained_premium]]-Table1[[#This Row],[claim_amount_paid]]</f>
        <v>-1280.9831519999998</v>
      </c>
    </row>
    <row r="113" spans="1:27" x14ac:dyDescent="0.35">
      <c r="A113" t="s">
        <v>378</v>
      </c>
      <c r="B113" t="s">
        <v>379</v>
      </c>
      <c r="C113" t="s">
        <v>380</v>
      </c>
      <c r="D113" s="1">
        <v>41882</v>
      </c>
      <c r="E113" s="1">
        <v>44008</v>
      </c>
      <c r="F113" s="1">
        <v>44008</v>
      </c>
      <c r="G113">
        <v>0</v>
      </c>
      <c r="H113">
        <v>91.03</v>
      </c>
      <c r="I113">
        <v>1092.3599999999999</v>
      </c>
      <c r="J113">
        <v>10000</v>
      </c>
      <c r="K113" t="s">
        <v>27</v>
      </c>
      <c r="L113">
        <v>10000</v>
      </c>
      <c r="M113">
        <v>9.67</v>
      </c>
      <c r="N113" t="s">
        <v>36</v>
      </c>
      <c r="O113">
        <v>116</v>
      </c>
      <c r="P113">
        <v>38</v>
      </c>
      <c r="Q113">
        <v>1</v>
      </c>
      <c r="R113">
        <v>5</v>
      </c>
      <c r="S113" t="s">
        <v>29</v>
      </c>
      <c r="T113" t="s">
        <v>30</v>
      </c>
      <c r="U113" t="s">
        <v>38</v>
      </c>
      <c r="V113" t="s">
        <v>45</v>
      </c>
      <c r="W113">
        <v>1</v>
      </c>
      <c r="X113">
        <v>0</v>
      </c>
      <c r="Y113" s="2">
        <f>Table1[[#This Row],[premium_yearly]]*Table1[[#This Row],[tenure_years]]</f>
        <v>10563.1212</v>
      </c>
      <c r="Z113" s="2">
        <f>Table1[[#This Row],[total_collected_premiums]]*(1-$AD$2)</f>
        <v>7711.0784759999997</v>
      </c>
      <c r="AA113" s="2">
        <f>Table1[[#This Row],[retained_premium]]-Table1[[#This Row],[claim_amount_paid]]</f>
        <v>-2288.9215240000003</v>
      </c>
    </row>
    <row r="114" spans="1:27" x14ac:dyDescent="0.35">
      <c r="A114" t="s">
        <v>381</v>
      </c>
      <c r="B114" t="s">
        <v>382</v>
      </c>
      <c r="C114" t="s">
        <v>383</v>
      </c>
      <c r="D114" s="1">
        <v>43068</v>
      </c>
      <c r="E114" s="1">
        <v>43999</v>
      </c>
      <c r="F114" s="1">
        <v>44002</v>
      </c>
      <c r="G114">
        <v>3</v>
      </c>
      <c r="H114">
        <v>127.92</v>
      </c>
      <c r="I114">
        <v>1535.04</v>
      </c>
      <c r="J114">
        <v>10000</v>
      </c>
      <c r="K114" t="s">
        <v>27</v>
      </c>
      <c r="L114">
        <v>10000</v>
      </c>
      <c r="M114">
        <v>2.17</v>
      </c>
      <c r="N114" t="s">
        <v>28</v>
      </c>
      <c r="O114">
        <v>26</v>
      </c>
      <c r="P114">
        <v>49</v>
      </c>
      <c r="Q114">
        <v>1</v>
      </c>
      <c r="R114">
        <v>4</v>
      </c>
      <c r="S114" t="s">
        <v>29</v>
      </c>
      <c r="T114" t="s">
        <v>30</v>
      </c>
      <c r="U114" t="s">
        <v>51</v>
      </c>
      <c r="V114" t="s">
        <v>32</v>
      </c>
      <c r="W114">
        <v>0</v>
      </c>
      <c r="X114">
        <v>1</v>
      </c>
      <c r="Y114" s="2">
        <f>Table1[[#This Row],[premium_yearly]]*Table1[[#This Row],[tenure_years]]</f>
        <v>3331.0367999999999</v>
      </c>
      <c r="Z114" s="2">
        <f>Table1[[#This Row],[total_collected_premiums]]*(1-$AD$2)</f>
        <v>2431.656864</v>
      </c>
      <c r="AA114" s="2">
        <f>Table1[[#This Row],[retained_premium]]-Table1[[#This Row],[claim_amount_paid]]</f>
        <v>-7568.3431359999995</v>
      </c>
    </row>
    <row r="115" spans="1:27" x14ac:dyDescent="0.35">
      <c r="A115" t="s">
        <v>384</v>
      </c>
      <c r="B115" t="s">
        <v>385</v>
      </c>
      <c r="C115" t="s">
        <v>386</v>
      </c>
      <c r="D115" s="1">
        <v>40610</v>
      </c>
      <c r="E115" s="1">
        <v>43997</v>
      </c>
      <c r="F115" s="1">
        <v>44002</v>
      </c>
      <c r="G115">
        <v>5</v>
      </c>
      <c r="H115">
        <v>78.08</v>
      </c>
      <c r="I115">
        <v>936.96</v>
      </c>
      <c r="J115">
        <v>9000</v>
      </c>
      <c r="K115" t="s">
        <v>27</v>
      </c>
      <c r="L115">
        <v>9000</v>
      </c>
      <c r="M115">
        <v>5.58</v>
      </c>
      <c r="N115" t="s">
        <v>49</v>
      </c>
      <c r="O115">
        <v>67</v>
      </c>
      <c r="P115">
        <v>30</v>
      </c>
      <c r="Q115">
        <v>1</v>
      </c>
      <c r="R115">
        <v>3</v>
      </c>
      <c r="S115" t="s">
        <v>29</v>
      </c>
      <c r="T115" t="s">
        <v>50</v>
      </c>
      <c r="U115" t="s">
        <v>88</v>
      </c>
      <c r="V115" t="s">
        <v>32</v>
      </c>
      <c r="W115">
        <v>1</v>
      </c>
      <c r="X115">
        <v>0</v>
      </c>
      <c r="Y115" s="2">
        <f>Table1[[#This Row],[premium_yearly]]*Table1[[#This Row],[tenure_years]]</f>
        <v>5228.2368000000006</v>
      </c>
      <c r="Z115" s="2">
        <f>Table1[[#This Row],[total_collected_premiums]]*(1-$AD$2)</f>
        <v>3816.6128640000002</v>
      </c>
      <c r="AA115" s="2">
        <f>Table1[[#This Row],[retained_premium]]-Table1[[#This Row],[claim_amount_paid]]</f>
        <v>-5183.3871359999994</v>
      </c>
    </row>
    <row r="116" spans="1:27" x14ac:dyDescent="0.35">
      <c r="A116" t="s">
        <v>387</v>
      </c>
      <c r="B116" t="s">
        <v>388</v>
      </c>
      <c r="C116" t="s">
        <v>389</v>
      </c>
      <c r="D116" s="1">
        <v>43197</v>
      </c>
      <c r="E116" s="1">
        <v>43989</v>
      </c>
      <c r="F116" s="1">
        <v>43994</v>
      </c>
      <c r="G116">
        <v>5</v>
      </c>
      <c r="H116">
        <v>133.83000000000001</v>
      </c>
      <c r="I116">
        <v>1605.96</v>
      </c>
      <c r="J116">
        <v>3000</v>
      </c>
      <c r="K116" t="s">
        <v>27</v>
      </c>
      <c r="L116">
        <v>3000</v>
      </c>
      <c r="M116">
        <v>7.83</v>
      </c>
      <c r="N116" t="s">
        <v>49</v>
      </c>
      <c r="O116">
        <v>94</v>
      </c>
      <c r="P116">
        <v>46</v>
      </c>
      <c r="Q116">
        <v>1</v>
      </c>
      <c r="R116">
        <v>4</v>
      </c>
      <c r="S116" t="s">
        <v>65</v>
      </c>
      <c r="T116" t="s">
        <v>50</v>
      </c>
      <c r="U116" t="s">
        <v>107</v>
      </c>
      <c r="V116" t="s">
        <v>45</v>
      </c>
      <c r="W116">
        <v>0</v>
      </c>
      <c r="X116">
        <v>1</v>
      </c>
      <c r="Y116" s="2">
        <f>Table1[[#This Row],[premium_yearly]]*Table1[[#This Row],[tenure_years]]</f>
        <v>12574.666800000001</v>
      </c>
      <c r="Z116" s="2">
        <f>Table1[[#This Row],[total_collected_premiums]]*(1-$AD$2)</f>
        <v>9179.5067639999997</v>
      </c>
      <c r="AA116" s="2">
        <f>Table1[[#This Row],[retained_premium]]-Table1[[#This Row],[claim_amount_paid]]</f>
        <v>6179.5067639999997</v>
      </c>
    </row>
    <row r="117" spans="1:27" x14ac:dyDescent="0.35">
      <c r="A117" t="s">
        <v>390</v>
      </c>
      <c r="B117" t="s">
        <v>391</v>
      </c>
      <c r="C117" t="s">
        <v>392</v>
      </c>
      <c r="D117" s="1">
        <v>42114</v>
      </c>
      <c r="E117" s="1">
        <v>43990</v>
      </c>
      <c r="F117" s="1">
        <v>43995</v>
      </c>
      <c r="G117">
        <v>5</v>
      </c>
      <c r="H117">
        <v>72.260000000000005</v>
      </c>
      <c r="I117">
        <v>867.12</v>
      </c>
      <c r="J117">
        <v>9000</v>
      </c>
      <c r="K117" t="s">
        <v>27</v>
      </c>
      <c r="L117">
        <v>9000</v>
      </c>
      <c r="M117">
        <v>1.58</v>
      </c>
      <c r="N117" t="s">
        <v>36</v>
      </c>
      <c r="O117">
        <v>19</v>
      </c>
      <c r="P117">
        <v>37</v>
      </c>
      <c r="Q117">
        <v>1</v>
      </c>
      <c r="R117">
        <v>6</v>
      </c>
      <c r="S117" t="s">
        <v>37</v>
      </c>
      <c r="T117" t="s">
        <v>50</v>
      </c>
      <c r="U117" t="s">
        <v>38</v>
      </c>
      <c r="V117" t="s">
        <v>32</v>
      </c>
      <c r="W117">
        <v>0</v>
      </c>
      <c r="X117">
        <v>1</v>
      </c>
      <c r="Y117" s="2">
        <f>Table1[[#This Row],[premium_yearly]]*Table1[[#This Row],[tenure_years]]</f>
        <v>1370.0496000000001</v>
      </c>
      <c r="Z117" s="2">
        <f>Table1[[#This Row],[total_collected_premiums]]*(1-$AD$2)</f>
        <v>1000.136208</v>
      </c>
      <c r="AA117" s="2">
        <f>Table1[[#This Row],[retained_premium]]-Table1[[#This Row],[claim_amount_paid]]</f>
        <v>-7999.8637920000001</v>
      </c>
    </row>
    <row r="118" spans="1:27" x14ac:dyDescent="0.35">
      <c r="A118" t="s">
        <v>393</v>
      </c>
      <c r="B118" t="s">
        <v>394</v>
      </c>
      <c r="C118" t="s">
        <v>395</v>
      </c>
      <c r="D118" s="1">
        <v>43509</v>
      </c>
      <c r="E118" s="1">
        <v>44009</v>
      </c>
      <c r="F118" s="1">
        <v>44009</v>
      </c>
      <c r="G118">
        <v>0</v>
      </c>
      <c r="H118">
        <v>80.48</v>
      </c>
      <c r="I118">
        <v>965.76</v>
      </c>
      <c r="J118">
        <v>2000</v>
      </c>
      <c r="K118" t="s">
        <v>27</v>
      </c>
      <c r="L118">
        <v>2000</v>
      </c>
      <c r="M118">
        <v>5.33</v>
      </c>
      <c r="N118" t="s">
        <v>36</v>
      </c>
      <c r="O118">
        <v>64</v>
      </c>
      <c r="P118">
        <v>43</v>
      </c>
      <c r="Q118">
        <v>1</v>
      </c>
      <c r="R118">
        <v>7</v>
      </c>
      <c r="S118" t="s">
        <v>37</v>
      </c>
      <c r="T118" t="s">
        <v>30</v>
      </c>
      <c r="U118" t="s">
        <v>66</v>
      </c>
      <c r="V118" t="s">
        <v>32</v>
      </c>
      <c r="W118">
        <v>1</v>
      </c>
      <c r="X118">
        <v>0</v>
      </c>
      <c r="Y118" s="2">
        <f>Table1[[#This Row],[premium_yearly]]*Table1[[#This Row],[tenure_years]]</f>
        <v>5147.5007999999998</v>
      </c>
      <c r="Z118" s="2">
        <f>Table1[[#This Row],[total_collected_premiums]]*(1-$AD$2)</f>
        <v>3757.6755839999996</v>
      </c>
      <c r="AA118" s="2">
        <f>Table1[[#This Row],[retained_premium]]-Table1[[#This Row],[claim_amount_paid]]</f>
        <v>1757.6755839999996</v>
      </c>
    </row>
    <row r="119" spans="1:27" x14ac:dyDescent="0.35">
      <c r="A119" t="s">
        <v>396</v>
      </c>
      <c r="B119" t="s">
        <v>397</v>
      </c>
      <c r="C119" t="s">
        <v>398</v>
      </c>
      <c r="D119" s="1">
        <v>40990</v>
      </c>
      <c r="E119" s="1">
        <v>44009</v>
      </c>
      <c r="F119" s="1">
        <v>44009</v>
      </c>
      <c r="G119">
        <v>0</v>
      </c>
      <c r="H119">
        <v>94.8</v>
      </c>
      <c r="I119">
        <v>1137.5999999999999</v>
      </c>
      <c r="J119">
        <v>6000</v>
      </c>
      <c r="K119" t="s">
        <v>27</v>
      </c>
      <c r="L119">
        <v>6000</v>
      </c>
      <c r="M119">
        <v>8.67</v>
      </c>
      <c r="N119" t="s">
        <v>28</v>
      </c>
      <c r="O119">
        <v>104</v>
      </c>
      <c r="P119">
        <v>59</v>
      </c>
      <c r="Q119">
        <v>1</v>
      </c>
      <c r="R119">
        <v>3</v>
      </c>
      <c r="S119" t="s">
        <v>65</v>
      </c>
      <c r="T119" t="s">
        <v>50</v>
      </c>
      <c r="U119" t="s">
        <v>58</v>
      </c>
      <c r="V119" t="s">
        <v>45</v>
      </c>
      <c r="W119">
        <v>1</v>
      </c>
      <c r="X119">
        <v>0</v>
      </c>
      <c r="Y119" s="2">
        <f>Table1[[#This Row],[premium_yearly]]*Table1[[#This Row],[tenure_years]]</f>
        <v>9862.9919999999984</v>
      </c>
      <c r="Z119" s="2">
        <f>Table1[[#This Row],[total_collected_premiums]]*(1-$AD$2)</f>
        <v>7199.9841599999991</v>
      </c>
      <c r="AA119" s="2">
        <f>Table1[[#This Row],[retained_premium]]-Table1[[#This Row],[claim_amount_paid]]</f>
        <v>1199.9841599999991</v>
      </c>
    </row>
    <row r="120" spans="1:27" x14ac:dyDescent="0.35">
      <c r="A120" t="s">
        <v>399</v>
      </c>
      <c r="B120" t="s">
        <v>400</v>
      </c>
      <c r="C120" t="s">
        <v>401</v>
      </c>
      <c r="D120" s="1">
        <v>41563</v>
      </c>
      <c r="E120" s="1">
        <v>43993</v>
      </c>
      <c r="F120" s="1">
        <v>43998</v>
      </c>
      <c r="G120">
        <v>5</v>
      </c>
      <c r="H120">
        <v>82.03</v>
      </c>
      <c r="I120">
        <v>984.36</v>
      </c>
      <c r="J120">
        <v>6000</v>
      </c>
      <c r="K120" t="s">
        <v>27</v>
      </c>
      <c r="L120">
        <v>6000</v>
      </c>
      <c r="M120">
        <v>8.33</v>
      </c>
      <c r="N120" t="s">
        <v>36</v>
      </c>
      <c r="O120">
        <v>100</v>
      </c>
      <c r="P120">
        <v>49</v>
      </c>
      <c r="Q120">
        <v>1</v>
      </c>
      <c r="R120">
        <v>5</v>
      </c>
      <c r="S120" t="s">
        <v>37</v>
      </c>
      <c r="T120" t="s">
        <v>50</v>
      </c>
      <c r="U120" t="s">
        <v>38</v>
      </c>
      <c r="V120" t="s">
        <v>39</v>
      </c>
      <c r="W120">
        <v>1</v>
      </c>
      <c r="X120">
        <v>1</v>
      </c>
      <c r="Y120" s="2">
        <f>Table1[[#This Row],[premium_yearly]]*Table1[[#This Row],[tenure_years]]</f>
        <v>8199.7188000000006</v>
      </c>
      <c r="Z120" s="2">
        <f>Table1[[#This Row],[total_collected_premiums]]*(1-$AD$2)</f>
        <v>5985.7947240000003</v>
      </c>
      <c r="AA120" s="2">
        <f>Table1[[#This Row],[retained_premium]]-Table1[[#This Row],[claim_amount_paid]]</f>
        <v>-14.205275999999685</v>
      </c>
    </row>
    <row r="121" spans="1:27" x14ac:dyDescent="0.35">
      <c r="A121" t="s">
        <v>402</v>
      </c>
      <c r="B121" t="s">
        <v>403</v>
      </c>
      <c r="C121" t="s">
        <v>404</v>
      </c>
      <c r="D121" s="1">
        <v>41085</v>
      </c>
      <c r="E121" s="1">
        <v>44002</v>
      </c>
      <c r="F121" s="1">
        <v>44005</v>
      </c>
      <c r="G121">
        <v>3</v>
      </c>
      <c r="H121">
        <v>110.87</v>
      </c>
      <c r="I121">
        <v>1330.44</v>
      </c>
      <c r="J121">
        <v>5000</v>
      </c>
      <c r="K121" t="s">
        <v>27</v>
      </c>
      <c r="L121">
        <v>5000</v>
      </c>
      <c r="M121">
        <v>5.42</v>
      </c>
      <c r="N121" t="s">
        <v>36</v>
      </c>
      <c r="O121">
        <v>65</v>
      </c>
      <c r="P121">
        <v>51</v>
      </c>
      <c r="Q121">
        <v>1</v>
      </c>
      <c r="R121">
        <v>7</v>
      </c>
      <c r="S121" t="s">
        <v>65</v>
      </c>
      <c r="T121" t="s">
        <v>30</v>
      </c>
      <c r="U121" t="s">
        <v>31</v>
      </c>
      <c r="V121" t="s">
        <v>39</v>
      </c>
      <c r="W121">
        <v>1</v>
      </c>
      <c r="X121">
        <v>1</v>
      </c>
      <c r="Y121" s="2">
        <f>Table1[[#This Row],[premium_yearly]]*Table1[[#This Row],[tenure_years]]</f>
        <v>7210.9848000000002</v>
      </c>
      <c r="Z121" s="2">
        <f>Table1[[#This Row],[total_collected_premiums]]*(1-$AD$2)</f>
        <v>5264.0189039999996</v>
      </c>
      <c r="AA121" s="2">
        <f>Table1[[#This Row],[retained_premium]]-Table1[[#This Row],[claim_amount_paid]]</f>
        <v>264.01890399999957</v>
      </c>
    </row>
    <row r="122" spans="1:27" x14ac:dyDescent="0.35">
      <c r="A122" t="s">
        <v>405</v>
      </c>
      <c r="B122" t="s">
        <v>406</v>
      </c>
      <c r="C122" t="s">
        <v>407</v>
      </c>
      <c r="D122" s="1">
        <v>42201</v>
      </c>
      <c r="E122" s="1">
        <v>44007</v>
      </c>
      <c r="F122" s="1">
        <v>44008</v>
      </c>
      <c r="G122">
        <v>1</v>
      </c>
      <c r="H122">
        <v>112.49</v>
      </c>
      <c r="I122">
        <v>1349.88</v>
      </c>
      <c r="J122">
        <v>1000</v>
      </c>
      <c r="K122" t="s">
        <v>27</v>
      </c>
      <c r="L122">
        <v>1000</v>
      </c>
      <c r="M122">
        <v>9.08</v>
      </c>
      <c r="N122" t="s">
        <v>28</v>
      </c>
      <c r="O122">
        <v>109</v>
      </c>
      <c r="P122">
        <v>38</v>
      </c>
      <c r="Q122">
        <v>1</v>
      </c>
      <c r="R122">
        <v>2</v>
      </c>
      <c r="S122" t="s">
        <v>29</v>
      </c>
      <c r="T122" t="s">
        <v>30</v>
      </c>
      <c r="U122" t="s">
        <v>51</v>
      </c>
      <c r="V122" t="s">
        <v>39</v>
      </c>
      <c r="W122">
        <v>1</v>
      </c>
      <c r="X122">
        <v>1</v>
      </c>
      <c r="Y122" s="2">
        <f>Table1[[#This Row],[premium_yearly]]*Table1[[#This Row],[tenure_years]]</f>
        <v>12256.910400000001</v>
      </c>
      <c r="Z122" s="2">
        <f>Table1[[#This Row],[total_collected_premiums]]*(1-$AD$2)</f>
        <v>8947.5445920000002</v>
      </c>
      <c r="AA122" s="2">
        <f>Table1[[#This Row],[retained_premium]]-Table1[[#This Row],[claim_amount_paid]]</f>
        <v>7947.5445920000002</v>
      </c>
    </row>
    <row r="123" spans="1:27" x14ac:dyDescent="0.35">
      <c r="A123" t="s">
        <v>408</v>
      </c>
      <c r="B123" t="s">
        <v>409</v>
      </c>
      <c r="C123" t="s">
        <v>410</v>
      </c>
      <c r="D123" s="1">
        <v>42822</v>
      </c>
      <c r="E123" s="1">
        <v>44010</v>
      </c>
      <c r="F123" s="1">
        <v>44010</v>
      </c>
      <c r="G123">
        <v>0</v>
      </c>
      <c r="H123">
        <v>82.4</v>
      </c>
      <c r="I123">
        <v>988.8</v>
      </c>
      <c r="J123">
        <v>10000</v>
      </c>
      <c r="K123" t="s">
        <v>27</v>
      </c>
      <c r="L123">
        <v>10000</v>
      </c>
      <c r="M123">
        <v>1.83</v>
      </c>
      <c r="N123" t="s">
        <v>49</v>
      </c>
      <c r="O123">
        <v>22</v>
      </c>
      <c r="P123">
        <v>56</v>
      </c>
      <c r="Q123">
        <v>1</v>
      </c>
      <c r="R123">
        <v>3</v>
      </c>
      <c r="S123" t="s">
        <v>65</v>
      </c>
      <c r="T123" t="s">
        <v>30</v>
      </c>
      <c r="U123" t="s">
        <v>31</v>
      </c>
      <c r="V123" t="s">
        <v>45</v>
      </c>
      <c r="W123">
        <v>1</v>
      </c>
      <c r="X123">
        <v>1</v>
      </c>
      <c r="Y123" s="2">
        <f>Table1[[#This Row],[premium_yearly]]*Table1[[#This Row],[tenure_years]]</f>
        <v>1809.5039999999999</v>
      </c>
      <c r="Z123" s="2">
        <f>Table1[[#This Row],[total_collected_premiums]]*(1-$AD$2)</f>
        <v>1320.9379199999998</v>
      </c>
      <c r="AA123" s="2">
        <f>Table1[[#This Row],[retained_premium]]-Table1[[#This Row],[claim_amount_paid]]</f>
        <v>-8679.0620799999997</v>
      </c>
    </row>
    <row r="124" spans="1:27" x14ac:dyDescent="0.35">
      <c r="A124" t="s">
        <v>411</v>
      </c>
      <c r="B124" t="s">
        <v>412</v>
      </c>
      <c r="C124" t="s">
        <v>413</v>
      </c>
      <c r="D124" s="1">
        <v>40728</v>
      </c>
      <c r="E124" s="1">
        <v>43994</v>
      </c>
      <c r="F124" s="1">
        <v>43999</v>
      </c>
      <c r="G124">
        <v>5</v>
      </c>
      <c r="H124">
        <v>84.81</v>
      </c>
      <c r="I124">
        <v>1017.72</v>
      </c>
      <c r="J124">
        <v>8000</v>
      </c>
      <c r="K124" t="s">
        <v>27</v>
      </c>
      <c r="L124">
        <v>8000</v>
      </c>
      <c r="M124">
        <v>4.83</v>
      </c>
      <c r="N124" t="s">
        <v>49</v>
      </c>
      <c r="O124">
        <v>58</v>
      </c>
      <c r="P124">
        <v>35</v>
      </c>
      <c r="Q124">
        <v>0</v>
      </c>
      <c r="R124">
        <v>6</v>
      </c>
      <c r="S124" t="s">
        <v>29</v>
      </c>
      <c r="T124" t="s">
        <v>30</v>
      </c>
      <c r="U124" t="s">
        <v>38</v>
      </c>
      <c r="V124" t="s">
        <v>32</v>
      </c>
      <c r="W124">
        <v>0</v>
      </c>
      <c r="X124">
        <v>1</v>
      </c>
      <c r="Y124" s="2">
        <f>Table1[[#This Row],[premium_yearly]]*Table1[[#This Row],[tenure_years]]</f>
        <v>4915.5875999999998</v>
      </c>
      <c r="Z124" s="2">
        <f>Table1[[#This Row],[total_collected_premiums]]*(1-$AD$2)</f>
        <v>3588.3789479999996</v>
      </c>
      <c r="AA124" s="2">
        <f>Table1[[#This Row],[retained_premium]]-Table1[[#This Row],[claim_amount_paid]]</f>
        <v>-4411.6210520000004</v>
      </c>
    </row>
    <row r="125" spans="1:27" x14ac:dyDescent="0.35">
      <c r="A125" t="s">
        <v>414</v>
      </c>
      <c r="B125" t="s">
        <v>415</v>
      </c>
      <c r="C125" t="s">
        <v>416</v>
      </c>
      <c r="D125" s="1">
        <v>43649</v>
      </c>
      <c r="E125" s="1">
        <v>44007</v>
      </c>
      <c r="F125" s="1">
        <v>44008</v>
      </c>
      <c r="G125">
        <v>1</v>
      </c>
      <c r="H125">
        <v>92.74</v>
      </c>
      <c r="I125">
        <v>1112.8800000000001</v>
      </c>
      <c r="J125">
        <v>10000</v>
      </c>
      <c r="K125" t="s">
        <v>27</v>
      </c>
      <c r="L125">
        <v>10000</v>
      </c>
      <c r="M125">
        <v>7.25</v>
      </c>
      <c r="N125" t="s">
        <v>36</v>
      </c>
      <c r="O125">
        <v>87</v>
      </c>
      <c r="P125">
        <v>63</v>
      </c>
      <c r="Q125">
        <v>1</v>
      </c>
      <c r="R125">
        <v>7</v>
      </c>
      <c r="S125" t="s">
        <v>29</v>
      </c>
      <c r="T125" t="s">
        <v>44</v>
      </c>
      <c r="U125" t="s">
        <v>31</v>
      </c>
      <c r="V125" t="s">
        <v>45</v>
      </c>
      <c r="W125">
        <v>1</v>
      </c>
      <c r="X125">
        <v>0</v>
      </c>
      <c r="Y125" s="2">
        <f>Table1[[#This Row],[premium_yearly]]*Table1[[#This Row],[tenure_years]]</f>
        <v>8068.380000000001</v>
      </c>
      <c r="Z125" s="2">
        <f>Table1[[#This Row],[total_collected_premiums]]*(1-$AD$2)</f>
        <v>5889.9174000000003</v>
      </c>
      <c r="AA125" s="2">
        <f>Table1[[#This Row],[retained_premium]]-Table1[[#This Row],[claim_amount_paid]]</f>
        <v>-4110.0825999999997</v>
      </c>
    </row>
    <row r="126" spans="1:27" x14ac:dyDescent="0.35">
      <c r="A126" t="s">
        <v>417</v>
      </c>
      <c r="B126" t="s">
        <v>418</v>
      </c>
      <c r="C126" t="s">
        <v>419</v>
      </c>
      <c r="D126" s="1">
        <v>43668</v>
      </c>
      <c r="E126" s="1">
        <v>43994</v>
      </c>
      <c r="F126" s="1">
        <v>43999</v>
      </c>
      <c r="G126">
        <v>5</v>
      </c>
      <c r="H126">
        <v>134.61000000000001</v>
      </c>
      <c r="I126">
        <v>1615.32</v>
      </c>
      <c r="J126">
        <v>2000</v>
      </c>
      <c r="K126" t="s">
        <v>27</v>
      </c>
      <c r="L126">
        <v>2000</v>
      </c>
      <c r="M126">
        <v>9.58</v>
      </c>
      <c r="N126" t="s">
        <v>36</v>
      </c>
      <c r="O126">
        <v>115</v>
      </c>
      <c r="P126">
        <v>44</v>
      </c>
      <c r="Q126">
        <v>1</v>
      </c>
      <c r="R126">
        <v>3</v>
      </c>
      <c r="S126" t="s">
        <v>37</v>
      </c>
      <c r="T126" t="s">
        <v>30</v>
      </c>
      <c r="U126" t="s">
        <v>38</v>
      </c>
      <c r="V126" t="s">
        <v>45</v>
      </c>
      <c r="W126">
        <v>1</v>
      </c>
      <c r="X126">
        <v>1</v>
      </c>
      <c r="Y126" s="2">
        <f>Table1[[#This Row],[premium_yearly]]*Table1[[#This Row],[tenure_years]]</f>
        <v>15474.765599999999</v>
      </c>
      <c r="Z126" s="2">
        <f>Table1[[#This Row],[total_collected_premiums]]*(1-$AD$2)</f>
        <v>11296.578887999998</v>
      </c>
      <c r="AA126" s="2">
        <f>Table1[[#This Row],[retained_premium]]-Table1[[#This Row],[claim_amount_paid]]</f>
        <v>9296.5788879999982</v>
      </c>
    </row>
    <row r="127" spans="1:27" x14ac:dyDescent="0.35">
      <c r="A127" t="s">
        <v>420</v>
      </c>
      <c r="B127" t="s">
        <v>421</v>
      </c>
      <c r="C127" t="s">
        <v>422</v>
      </c>
      <c r="D127" s="1">
        <v>43122</v>
      </c>
      <c r="E127" s="1">
        <v>43994</v>
      </c>
      <c r="F127" s="1">
        <v>43999</v>
      </c>
      <c r="G127">
        <v>5</v>
      </c>
      <c r="H127">
        <v>127.69</v>
      </c>
      <c r="I127">
        <v>1532.28</v>
      </c>
      <c r="J127">
        <v>1000</v>
      </c>
      <c r="K127" t="s">
        <v>27</v>
      </c>
      <c r="L127">
        <v>1000</v>
      </c>
      <c r="M127">
        <v>2.42</v>
      </c>
      <c r="N127" t="s">
        <v>28</v>
      </c>
      <c r="O127">
        <v>29</v>
      </c>
      <c r="P127">
        <v>34</v>
      </c>
      <c r="Q127">
        <v>1</v>
      </c>
      <c r="R127">
        <v>5</v>
      </c>
      <c r="S127" t="s">
        <v>65</v>
      </c>
      <c r="T127" t="s">
        <v>30</v>
      </c>
      <c r="U127" t="s">
        <v>38</v>
      </c>
      <c r="V127" t="s">
        <v>39</v>
      </c>
      <c r="W127">
        <v>0</v>
      </c>
      <c r="X127">
        <v>1</v>
      </c>
      <c r="Y127" s="2">
        <f>Table1[[#This Row],[premium_yearly]]*Table1[[#This Row],[tenure_years]]</f>
        <v>3708.1176</v>
      </c>
      <c r="Z127" s="2">
        <f>Table1[[#This Row],[total_collected_premiums]]*(1-$AD$2)</f>
        <v>2706.9258479999999</v>
      </c>
      <c r="AA127" s="2">
        <f>Table1[[#This Row],[retained_premium]]-Table1[[#This Row],[claim_amount_paid]]</f>
        <v>1706.9258479999999</v>
      </c>
    </row>
    <row r="128" spans="1:27" x14ac:dyDescent="0.35">
      <c r="A128" t="s">
        <v>423</v>
      </c>
      <c r="B128" t="s">
        <v>424</v>
      </c>
      <c r="C128" t="s">
        <v>425</v>
      </c>
      <c r="D128" s="1">
        <v>40715</v>
      </c>
      <c r="E128" s="1">
        <v>44008</v>
      </c>
      <c r="F128" s="1">
        <v>44009</v>
      </c>
      <c r="G128">
        <v>1</v>
      </c>
      <c r="H128">
        <v>80.540000000000006</v>
      </c>
      <c r="I128">
        <v>966.48</v>
      </c>
      <c r="J128">
        <v>8000</v>
      </c>
      <c r="K128" t="s">
        <v>27</v>
      </c>
      <c r="L128">
        <v>8000</v>
      </c>
      <c r="M128">
        <v>7.83</v>
      </c>
      <c r="N128" t="s">
        <v>36</v>
      </c>
      <c r="O128">
        <v>94</v>
      </c>
      <c r="P128">
        <v>43</v>
      </c>
      <c r="Q128">
        <v>0</v>
      </c>
      <c r="R128">
        <v>4</v>
      </c>
      <c r="S128" t="s">
        <v>65</v>
      </c>
      <c r="T128" t="s">
        <v>30</v>
      </c>
      <c r="U128" t="s">
        <v>38</v>
      </c>
      <c r="V128" t="s">
        <v>39</v>
      </c>
      <c r="W128">
        <v>1</v>
      </c>
      <c r="X128">
        <v>0</v>
      </c>
      <c r="Y128" s="2">
        <f>Table1[[#This Row],[premium_yearly]]*Table1[[#This Row],[tenure_years]]</f>
        <v>7567.5384000000004</v>
      </c>
      <c r="Z128" s="2">
        <f>Table1[[#This Row],[total_collected_premiums]]*(1-$AD$2)</f>
        <v>5524.3030319999998</v>
      </c>
      <c r="AA128" s="2">
        <f>Table1[[#This Row],[retained_premium]]-Table1[[#This Row],[claim_amount_paid]]</f>
        <v>-2475.6969680000002</v>
      </c>
    </row>
    <row r="129" spans="1:27" x14ac:dyDescent="0.35">
      <c r="A129" t="s">
        <v>426</v>
      </c>
      <c r="B129" t="s">
        <v>427</v>
      </c>
      <c r="C129" t="s">
        <v>428</v>
      </c>
      <c r="D129" s="1">
        <v>43259</v>
      </c>
      <c r="E129" s="1">
        <v>43997</v>
      </c>
      <c r="F129" s="1">
        <v>44002</v>
      </c>
      <c r="G129">
        <v>5</v>
      </c>
      <c r="H129">
        <v>123.91</v>
      </c>
      <c r="I129">
        <v>1486.92</v>
      </c>
      <c r="J129">
        <v>5000</v>
      </c>
      <c r="K129" t="s">
        <v>27</v>
      </c>
      <c r="L129">
        <v>5000</v>
      </c>
      <c r="M129">
        <v>4</v>
      </c>
      <c r="N129" t="s">
        <v>28</v>
      </c>
      <c r="O129">
        <v>48</v>
      </c>
      <c r="P129">
        <v>39</v>
      </c>
      <c r="Q129">
        <v>0</v>
      </c>
      <c r="R129">
        <v>4</v>
      </c>
      <c r="S129" t="s">
        <v>29</v>
      </c>
      <c r="T129" t="s">
        <v>50</v>
      </c>
      <c r="U129" t="s">
        <v>66</v>
      </c>
      <c r="V129" t="s">
        <v>39</v>
      </c>
      <c r="W129">
        <v>1</v>
      </c>
      <c r="X129">
        <v>0</v>
      </c>
      <c r="Y129" s="2">
        <f>Table1[[#This Row],[premium_yearly]]*Table1[[#This Row],[tenure_years]]</f>
        <v>5947.68</v>
      </c>
      <c r="Z129" s="2">
        <f>Table1[[#This Row],[total_collected_premiums]]*(1-$AD$2)</f>
        <v>4341.8064000000004</v>
      </c>
      <c r="AA129" s="2">
        <f>Table1[[#This Row],[retained_premium]]-Table1[[#This Row],[claim_amount_paid]]</f>
        <v>-658.19359999999961</v>
      </c>
    </row>
    <row r="130" spans="1:27" x14ac:dyDescent="0.35">
      <c r="A130" t="s">
        <v>429</v>
      </c>
      <c r="B130" t="s">
        <v>430</v>
      </c>
      <c r="C130" t="s">
        <v>431</v>
      </c>
      <c r="D130" s="1">
        <v>42036</v>
      </c>
      <c r="E130" s="1">
        <v>44011</v>
      </c>
      <c r="F130" s="1">
        <v>44011</v>
      </c>
      <c r="G130">
        <v>0</v>
      </c>
      <c r="H130">
        <v>124.35</v>
      </c>
      <c r="I130">
        <v>1492.2</v>
      </c>
      <c r="J130">
        <v>1000</v>
      </c>
      <c r="K130" t="s">
        <v>27</v>
      </c>
      <c r="L130">
        <v>1000</v>
      </c>
      <c r="M130">
        <v>1.58</v>
      </c>
      <c r="N130" t="s">
        <v>28</v>
      </c>
      <c r="O130">
        <v>19</v>
      </c>
      <c r="P130">
        <v>53</v>
      </c>
      <c r="Q130">
        <v>0</v>
      </c>
      <c r="R130">
        <v>3</v>
      </c>
      <c r="S130" t="s">
        <v>29</v>
      </c>
      <c r="T130" t="s">
        <v>44</v>
      </c>
      <c r="U130" t="s">
        <v>38</v>
      </c>
      <c r="V130" t="s">
        <v>32</v>
      </c>
      <c r="W130">
        <v>1</v>
      </c>
      <c r="X130">
        <v>1</v>
      </c>
      <c r="Y130" s="2">
        <f>Table1[[#This Row],[premium_yearly]]*Table1[[#This Row],[tenure_years]]</f>
        <v>2357.6760000000004</v>
      </c>
      <c r="Z130" s="2">
        <f>Table1[[#This Row],[total_collected_premiums]]*(1-$AD$2)</f>
        <v>1721.1034800000002</v>
      </c>
      <c r="AA130" s="2">
        <f>Table1[[#This Row],[retained_premium]]-Table1[[#This Row],[claim_amount_paid]]</f>
        <v>721.10348000000022</v>
      </c>
    </row>
    <row r="131" spans="1:27" x14ac:dyDescent="0.35">
      <c r="A131" t="s">
        <v>432</v>
      </c>
      <c r="B131" t="s">
        <v>433</v>
      </c>
      <c r="C131" t="s">
        <v>434</v>
      </c>
      <c r="D131" s="1">
        <v>43605</v>
      </c>
      <c r="E131" s="1">
        <v>44006</v>
      </c>
      <c r="F131" s="1">
        <v>44009</v>
      </c>
      <c r="G131">
        <v>3</v>
      </c>
      <c r="H131">
        <v>110.77</v>
      </c>
      <c r="I131">
        <v>1329.24</v>
      </c>
      <c r="J131">
        <v>10000</v>
      </c>
      <c r="K131" t="s">
        <v>27</v>
      </c>
      <c r="L131">
        <v>10000</v>
      </c>
      <c r="M131">
        <v>9.08</v>
      </c>
      <c r="N131" t="s">
        <v>49</v>
      </c>
      <c r="O131">
        <v>109</v>
      </c>
      <c r="P131">
        <v>47</v>
      </c>
      <c r="Q131">
        <v>1</v>
      </c>
      <c r="R131">
        <v>3</v>
      </c>
      <c r="S131" t="s">
        <v>37</v>
      </c>
      <c r="T131" t="s">
        <v>50</v>
      </c>
      <c r="U131" t="s">
        <v>38</v>
      </c>
      <c r="V131" t="s">
        <v>32</v>
      </c>
      <c r="W131">
        <v>1</v>
      </c>
      <c r="X131">
        <v>1</v>
      </c>
      <c r="Y131" s="2">
        <f>Table1[[#This Row],[premium_yearly]]*Table1[[#This Row],[tenure_years]]</f>
        <v>12069.4992</v>
      </c>
      <c r="Z131" s="2">
        <f>Table1[[#This Row],[total_collected_premiums]]*(1-$AD$2)</f>
        <v>8810.7344159999993</v>
      </c>
      <c r="AA131" s="2">
        <f>Table1[[#This Row],[retained_premium]]-Table1[[#This Row],[claim_amount_paid]]</f>
        <v>-1189.2655840000007</v>
      </c>
    </row>
    <row r="132" spans="1:27" x14ac:dyDescent="0.35">
      <c r="A132" t="s">
        <v>435</v>
      </c>
      <c r="B132" t="s">
        <v>436</v>
      </c>
      <c r="C132" t="s">
        <v>437</v>
      </c>
      <c r="D132" s="1">
        <v>40474</v>
      </c>
      <c r="E132" s="1">
        <v>44012</v>
      </c>
      <c r="F132" s="1">
        <v>44012</v>
      </c>
      <c r="G132">
        <v>0</v>
      </c>
      <c r="H132">
        <v>114.85</v>
      </c>
      <c r="I132">
        <v>1378.2</v>
      </c>
      <c r="J132">
        <v>10000</v>
      </c>
      <c r="K132" t="s">
        <v>27</v>
      </c>
      <c r="L132">
        <v>10000</v>
      </c>
      <c r="M132">
        <v>4.08</v>
      </c>
      <c r="N132" t="s">
        <v>49</v>
      </c>
      <c r="O132">
        <v>49</v>
      </c>
      <c r="P132">
        <v>52</v>
      </c>
      <c r="Q132">
        <v>1</v>
      </c>
      <c r="R132">
        <v>2</v>
      </c>
      <c r="S132" t="s">
        <v>65</v>
      </c>
      <c r="T132" t="s">
        <v>50</v>
      </c>
      <c r="U132" t="s">
        <v>31</v>
      </c>
      <c r="V132" t="s">
        <v>45</v>
      </c>
      <c r="W132">
        <v>0</v>
      </c>
      <c r="X132">
        <v>1</v>
      </c>
      <c r="Y132" s="2">
        <f>Table1[[#This Row],[premium_yearly]]*Table1[[#This Row],[tenure_years]]</f>
        <v>5623.0560000000005</v>
      </c>
      <c r="Z132" s="2">
        <f>Table1[[#This Row],[total_collected_premiums]]*(1-$AD$2)</f>
        <v>4104.8308800000004</v>
      </c>
      <c r="AA132" s="2">
        <f>Table1[[#This Row],[retained_premium]]-Table1[[#This Row],[claim_amount_paid]]</f>
        <v>-5895.1691199999996</v>
      </c>
    </row>
    <row r="133" spans="1:27" x14ac:dyDescent="0.35">
      <c r="A133" t="s">
        <v>438</v>
      </c>
      <c r="B133" t="s">
        <v>439</v>
      </c>
      <c r="C133" t="s">
        <v>440</v>
      </c>
      <c r="D133" s="1">
        <v>42335</v>
      </c>
      <c r="E133" s="1">
        <v>44004</v>
      </c>
      <c r="F133" s="1">
        <v>44007</v>
      </c>
      <c r="G133">
        <v>3</v>
      </c>
      <c r="H133">
        <v>79.81</v>
      </c>
      <c r="I133">
        <v>957.72</v>
      </c>
      <c r="J133">
        <v>7000</v>
      </c>
      <c r="K133" t="s">
        <v>27</v>
      </c>
      <c r="L133">
        <v>7000</v>
      </c>
      <c r="M133">
        <v>2.5</v>
      </c>
      <c r="N133" t="s">
        <v>36</v>
      </c>
      <c r="O133">
        <v>30</v>
      </c>
      <c r="P133">
        <v>41</v>
      </c>
      <c r="Q133">
        <v>1</v>
      </c>
      <c r="R133">
        <v>6</v>
      </c>
      <c r="S133" t="s">
        <v>65</v>
      </c>
      <c r="T133" t="s">
        <v>44</v>
      </c>
      <c r="U133" t="s">
        <v>31</v>
      </c>
      <c r="V133" t="s">
        <v>32</v>
      </c>
      <c r="W133">
        <v>1</v>
      </c>
      <c r="X133">
        <v>1</v>
      </c>
      <c r="Y133" s="2">
        <f>Table1[[#This Row],[premium_yearly]]*Table1[[#This Row],[tenure_years]]</f>
        <v>2394.3000000000002</v>
      </c>
      <c r="Z133" s="2">
        <f>Table1[[#This Row],[total_collected_premiums]]*(1-$AD$2)</f>
        <v>1747.8390000000002</v>
      </c>
      <c r="AA133" s="2">
        <f>Table1[[#This Row],[retained_premium]]-Table1[[#This Row],[claim_amount_paid]]</f>
        <v>-5252.1610000000001</v>
      </c>
    </row>
    <row r="134" spans="1:27" x14ac:dyDescent="0.35">
      <c r="A134" t="s">
        <v>441</v>
      </c>
      <c r="B134" t="s">
        <v>442</v>
      </c>
      <c r="C134" t="s">
        <v>443</v>
      </c>
      <c r="D134" s="1">
        <v>42821</v>
      </c>
      <c r="E134" s="1">
        <v>44000</v>
      </c>
      <c r="F134" s="1">
        <v>44005</v>
      </c>
      <c r="G134">
        <v>5</v>
      </c>
      <c r="H134">
        <v>118.59</v>
      </c>
      <c r="I134">
        <v>1423.08</v>
      </c>
      <c r="J134">
        <v>4000</v>
      </c>
      <c r="K134" t="s">
        <v>27</v>
      </c>
      <c r="L134">
        <v>4000</v>
      </c>
      <c r="M134">
        <v>1.83</v>
      </c>
      <c r="N134" t="s">
        <v>28</v>
      </c>
      <c r="O134">
        <v>22</v>
      </c>
      <c r="P134">
        <v>35</v>
      </c>
      <c r="Q134">
        <v>1</v>
      </c>
      <c r="R134">
        <v>4</v>
      </c>
      <c r="S134" t="s">
        <v>29</v>
      </c>
      <c r="T134" t="s">
        <v>30</v>
      </c>
      <c r="U134" t="s">
        <v>31</v>
      </c>
      <c r="V134" t="s">
        <v>45</v>
      </c>
      <c r="W134">
        <v>0</v>
      </c>
      <c r="X134">
        <v>1</v>
      </c>
      <c r="Y134" s="2">
        <f>Table1[[#This Row],[premium_yearly]]*Table1[[#This Row],[tenure_years]]</f>
        <v>2604.2363999999998</v>
      </c>
      <c r="Z134" s="2">
        <f>Table1[[#This Row],[total_collected_premiums]]*(1-$AD$2)</f>
        <v>1901.0925719999998</v>
      </c>
      <c r="AA134" s="2">
        <f>Table1[[#This Row],[retained_premium]]-Table1[[#This Row],[claim_amount_paid]]</f>
        <v>-2098.9074280000004</v>
      </c>
    </row>
    <row r="135" spans="1:27" x14ac:dyDescent="0.35">
      <c r="A135" t="s">
        <v>444</v>
      </c>
      <c r="B135" t="s">
        <v>445</v>
      </c>
      <c r="C135" t="s">
        <v>446</v>
      </c>
      <c r="D135" s="1">
        <v>42567</v>
      </c>
      <c r="E135" s="1">
        <v>44010</v>
      </c>
      <c r="F135" s="1">
        <v>44011</v>
      </c>
      <c r="G135">
        <v>1</v>
      </c>
      <c r="H135">
        <v>111.52</v>
      </c>
      <c r="I135">
        <v>1338.24</v>
      </c>
      <c r="J135">
        <v>2000</v>
      </c>
      <c r="K135" t="s">
        <v>27</v>
      </c>
      <c r="L135">
        <v>2000</v>
      </c>
      <c r="M135">
        <v>4.67</v>
      </c>
      <c r="N135" t="s">
        <v>28</v>
      </c>
      <c r="O135">
        <v>56</v>
      </c>
      <c r="P135">
        <v>55</v>
      </c>
      <c r="Q135">
        <v>0</v>
      </c>
      <c r="R135">
        <v>7</v>
      </c>
      <c r="S135" t="s">
        <v>29</v>
      </c>
      <c r="T135" t="s">
        <v>44</v>
      </c>
      <c r="U135" t="s">
        <v>31</v>
      </c>
      <c r="V135" t="s">
        <v>45</v>
      </c>
      <c r="W135">
        <v>1</v>
      </c>
      <c r="X135">
        <v>1</v>
      </c>
      <c r="Y135" s="2">
        <f>Table1[[#This Row],[premium_yearly]]*Table1[[#This Row],[tenure_years]]</f>
        <v>6249.5807999999997</v>
      </c>
      <c r="Z135" s="2">
        <f>Table1[[#This Row],[total_collected_premiums]]*(1-$AD$2)</f>
        <v>4562.1939839999995</v>
      </c>
      <c r="AA135" s="2">
        <f>Table1[[#This Row],[retained_premium]]-Table1[[#This Row],[claim_amount_paid]]</f>
        <v>2562.1939839999995</v>
      </c>
    </row>
    <row r="136" spans="1:27" x14ac:dyDescent="0.35">
      <c r="A136" t="s">
        <v>447</v>
      </c>
      <c r="B136" t="s">
        <v>448</v>
      </c>
      <c r="C136" t="s">
        <v>449</v>
      </c>
      <c r="D136" s="1">
        <v>43749</v>
      </c>
      <c r="E136" s="1">
        <v>44000</v>
      </c>
      <c r="F136" s="1">
        <v>44005</v>
      </c>
      <c r="G136">
        <v>5</v>
      </c>
      <c r="H136">
        <v>90.26</v>
      </c>
      <c r="I136">
        <v>1083.1199999999999</v>
      </c>
      <c r="J136">
        <v>2000</v>
      </c>
      <c r="K136" t="s">
        <v>27</v>
      </c>
      <c r="L136">
        <v>2000</v>
      </c>
      <c r="M136">
        <v>4.25</v>
      </c>
      <c r="N136" t="s">
        <v>36</v>
      </c>
      <c r="O136">
        <v>51</v>
      </c>
      <c r="P136">
        <v>27</v>
      </c>
      <c r="Q136">
        <v>1</v>
      </c>
      <c r="R136">
        <v>5</v>
      </c>
      <c r="S136" t="s">
        <v>37</v>
      </c>
      <c r="T136" t="s">
        <v>44</v>
      </c>
      <c r="U136" t="s">
        <v>31</v>
      </c>
      <c r="V136" t="s">
        <v>45</v>
      </c>
      <c r="W136">
        <v>1</v>
      </c>
      <c r="X136">
        <v>0</v>
      </c>
      <c r="Y136" s="2">
        <f>Table1[[#This Row],[premium_yearly]]*Table1[[#This Row],[tenure_years]]</f>
        <v>4603.2599999999993</v>
      </c>
      <c r="Z136" s="2">
        <f>Table1[[#This Row],[total_collected_premiums]]*(1-$AD$2)</f>
        <v>3360.3797999999992</v>
      </c>
      <c r="AA136" s="2">
        <f>Table1[[#This Row],[retained_premium]]-Table1[[#This Row],[claim_amount_paid]]</f>
        <v>1360.3797999999992</v>
      </c>
    </row>
    <row r="137" spans="1:27" x14ac:dyDescent="0.35">
      <c r="A137" t="s">
        <v>450</v>
      </c>
      <c r="B137" t="s">
        <v>451</v>
      </c>
      <c r="C137" t="s">
        <v>452</v>
      </c>
      <c r="D137" s="1">
        <v>42177</v>
      </c>
      <c r="E137" s="1">
        <v>44010</v>
      </c>
      <c r="F137" s="1">
        <v>44011</v>
      </c>
      <c r="G137">
        <v>1</v>
      </c>
      <c r="H137">
        <v>101.39</v>
      </c>
      <c r="I137">
        <v>1216.68</v>
      </c>
      <c r="J137">
        <v>6000</v>
      </c>
      <c r="K137" t="s">
        <v>27</v>
      </c>
      <c r="L137">
        <v>6000</v>
      </c>
      <c r="M137">
        <v>6.5</v>
      </c>
      <c r="N137" t="s">
        <v>28</v>
      </c>
      <c r="O137">
        <v>78</v>
      </c>
      <c r="P137">
        <v>30</v>
      </c>
      <c r="Q137">
        <v>0</v>
      </c>
      <c r="R137">
        <v>4</v>
      </c>
      <c r="S137" t="s">
        <v>29</v>
      </c>
      <c r="T137" t="s">
        <v>50</v>
      </c>
      <c r="U137" t="s">
        <v>88</v>
      </c>
      <c r="V137" t="s">
        <v>45</v>
      </c>
      <c r="W137">
        <v>1</v>
      </c>
      <c r="X137">
        <v>1</v>
      </c>
      <c r="Y137" s="2">
        <f>Table1[[#This Row],[premium_yearly]]*Table1[[#This Row],[tenure_years]]</f>
        <v>7908.42</v>
      </c>
      <c r="Z137" s="2">
        <f>Table1[[#This Row],[total_collected_premiums]]*(1-$AD$2)</f>
        <v>5773.1466</v>
      </c>
      <c r="AA137" s="2">
        <f>Table1[[#This Row],[retained_premium]]-Table1[[#This Row],[claim_amount_paid]]</f>
        <v>-226.85339999999997</v>
      </c>
    </row>
    <row r="138" spans="1:27" x14ac:dyDescent="0.35">
      <c r="A138" t="s">
        <v>453</v>
      </c>
      <c r="B138" t="s">
        <v>454</v>
      </c>
      <c r="C138" t="s">
        <v>455</v>
      </c>
      <c r="D138" s="1">
        <v>41120</v>
      </c>
      <c r="E138" s="1">
        <v>44001</v>
      </c>
      <c r="F138" s="1">
        <v>44006</v>
      </c>
      <c r="G138">
        <v>5</v>
      </c>
      <c r="H138">
        <v>110.79</v>
      </c>
      <c r="I138">
        <v>1329.48</v>
      </c>
      <c r="J138">
        <v>8000</v>
      </c>
      <c r="K138" t="s">
        <v>27</v>
      </c>
      <c r="L138">
        <v>8000</v>
      </c>
      <c r="M138">
        <v>5.83</v>
      </c>
      <c r="N138" t="s">
        <v>28</v>
      </c>
      <c r="O138">
        <v>70</v>
      </c>
      <c r="P138">
        <v>25</v>
      </c>
      <c r="Q138">
        <v>1</v>
      </c>
      <c r="R138">
        <v>3</v>
      </c>
      <c r="S138" t="s">
        <v>65</v>
      </c>
      <c r="T138" t="s">
        <v>30</v>
      </c>
      <c r="U138" t="s">
        <v>107</v>
      </c>
      <c r="V138" t="s">
        <v>39</v>
      </c>
      <c r="W138">
        <v>1</v>
      </c>
      <c r="X138">
        <v>1</v>
      </c>
      <c r="Y138" s="2">
        <f>Table1[[#This Row],[premium_yearly]]*Table1[[#This Row],[tenure_years]]</f>
        <v>7750.8684000000003</v>
      </c>
      <c r="Z138" s="2">
        <f>Table1[[#This Row],[total_collected_premiums]]*(1-$AD$2)</f>
        <v>5658.1339319999997</v>
      </c>
      <c r="AA138" s="2">
        <f>Table1[[#This Row],[retained_premium]]-Table1[[#This Row],[claim_amount_paid]]</f>
        <v>-2341.8660680000003</v>
      </c>
    </row>
    <row r="139" spans="1:27" x14ac:dyDescent="0.35">
      <c r="A139" t="s">
        <v>456</v>
      </c>
      <c r="B139" t="s">
        <v>457</v>
      </c>
      <c r="C139" t="s">
        <v>458</v>
      </c>
      <c r="D139" s="1">
        <v>42729</v>
      </c>
      <c r="E139" s="1">
        <v>44003</v>
      </c>
      <c r="F139" s="1">
        <v>44008</v>
      </c>
      <c r="G139">
        <v>5</v>
      </c>
      <c r="H139">
        <v>123.86</v>
      </c>
      <c r="I139">
        <v>1486.32</v>
      </c>
      <c r="J139">
        <v>2000</v>
      </c>
      <c r="K139" t="s">
        <v>27</v>
      </c>
      <c r="L139">
        <v>2000</v>
      </c>
      <c r="M139">
        <v>3.5</v>
      </c>
      <c r="N139" t="s">
        <v>49</v>
      </c>
      <c r="O139">
        <v>42</v>
      </c>
      <c r="P139">
        <v>62</v>
      </c>
      <c r="Q139">
        <v>1</v>
      </c>
      <c r="R139">
        <v>5</v>
      </c>
      <c r="S139" t="s">
        <v>65</v>
      </c>
      <c r="T139" t="s">
        <v>50</v>
      </c>
      <c r="U139" t="s">
        <v>38</v>
      </c>
      <c r="V139" t="s">
        <v>39</v>
      </c>
      <c r="W139">
        <v>1</v>
      </c>
      <c r="X139">
        <v>1</v>
      </c>
      <c r="Y139" s="2">
        <f>Table1[[#This Row],[premium_yearly]]*Table1[[#This Row],[tenure_years]]</f>
        <v>5202.12</v>
      </c>
      <c r="Z139" s="2">
        <f>Table1[[#This Row],[total_collected_premiums]]*(1-$AD$2)</f>
        <v>3797.5475999999999</v>
      </c>
      <c r="AA139" s="2">
        <f>Table1[[#This Row],[retained_premium]]-Table1[[#This Row],[claim_amount_paid]]</f>
        <v>1797.5475999999999</v>
      </c>
    </row>
    <row r="140" spans="1:27" x14ac:dyDescent="0.35">
      <c r="A140" t="s">
        <v>459</v>
      </c>
      <c r="B140" t="s">
        <v>460</v>
      </c>
      <c r="C140" t="s">
        <v>461</v>
      </c>
      <c r="D140" s="1">
        <v>42051</v>
      </c>
      <c r="E140" s="1">
        <v>44013</v>
      </c>
      <c r="F140" s="1">
        <v>44013</v>
      </c>
      <c r="G140">
        <v>0</v>
      </c>
      <c r="H140">
        <v>105.28</v>
      </c>
      <c r="I140">
        <v>1263.3599999999999</v>
      </c>
      <c r="J140">
        <v>7000</v>
      </c>
      <c r="K140" t="s">
        <v>27</v>
      </c>
      <c r="L140">
        <v>7000</v>
      </c>
      <c r="M140">
        <v>7.67</v>
      </c>
      <c r="N140" t="s">
        <v>49</v>
      </c>
      <c r="O140">
        <v>92</v>
      </c>
      <c r="P140">
        <v>63</v>
      </c>
      <c r="Q140">
        <v>1</v>
      </c>
      <c r="R140">
        <v>5</v>
      </c>
      <c r="S140" t="s">
        <v>37</v>
      </c>
      <c r="T140" t="s">
        <v>30</v>
      </c>
      <c r="U140" t="s">
        <v>38</v>
      </c>
      <c r="V140" t="s">
        <v>39</v>
      </c>
      <c r="W140">
        <v>0</v>
      </c>
      <c r="X140">
        <v>0</v>
      </c>
      <c r="Y140" s="2">
        <f>Table1[[#This Row],[premium_yearly]]*Table1[[#This Row],[tenure_years]]</f>
        <v>9689.9712</v>
      </c>
      <c r="Z140" s="2">
        <f>Table1[[#This Row],[total_collected_premiums]]*(1-$AD$2)</f>
        <v>7073.6789760000001</v>
      </c>
      <c r="AA140" s="2">
        <f>Table1[[#This Row],[retained_premium]]-Table1[[#This Row],[claim_amount_paid]]</f>
        <v>73.678976000000148</v>
      </c>
    </row>
    <row r="141" spans="1:27" x14ac:dyDescent="0.35">
      <c r="A141" t="s">
        <v>462</v>
      </c>
      <c r="B141" t="s">
        <v>463</v>
      </c>
      <c r="C141" t="s">
        <v>464</v>
      </c>
      <c r="D141" s="1">
        <v>41128</v>
      </c>
      <c r="E141" s="1">
        <v>43997</v>
      </c>
      <c r="F141" s="1">
        <v>44002</v>
      </c>
      <c r="G141">
        <v>5</v>
      </c>
      <c r="H141">
        <v>87.21</v>
      </c>
      <c r="I141">
        <v>1046.52</v>
      </c>
      <c r="J141">
        <v>2000</v>
      </c>
      <c r="K141" t="s">
        <v>27</v>
      </c>
      <c r="L141">
        <v>2000</v>
      </c>
      <c r="M141">
        <v>5.08</v>
      </c>
      <c r="N141" t="s">
        <v>49</v>
      </c>
      <c r="O141">
        <v>61</v>
      </c>
      <c r="P141">
        <v>44</v>
      </c>
      <c r="Q141">
        <v>1</v>
      </c>
      <c r="R141">
        <v>3</v>
      </c>
      <c r="S141" t="s">
        <v>29</v>
      </c>
      <c r="T141" t="s">
        <v>30</v>
      </c>
      <c r="U141" t="s">
        <v>38</v>
      </c>
      <c r="V141" t="s">
        <v>45</v>
      </c>
      <c r="W141">
        <v>1</v>
      </c>
      <c r="X141">
        <v>1</v>
      </c>
      <c r="Y141" s="2">
        <f>Table1[[#This Row],[premium_yearly]]*Table1[[#This Row],[tenure_years]]</f>
        <v>5316.3216000000002</v>
      </c>
      <c r="Z141" s="2">
        <f>Table1[[#This Row],[total_collected_premiums]]*(1-$AD$2)</f>
        <v>3880.9147680000001</v>
      </c>
      <c r="AA141" s="2">
        <f>Table1[[#This Row],[retained_premium]]-Table1[[#This Row],[claim_amount_paid]]</f>
        <v>1880.9147680000001</v>
      </c>
    </row>
    <row r="142" spans="1:27" x14ac:dyDescent="0.35">
      <c r="A142" t="s">
        <v>465</v>
      </c>
      <c r="B142" t="s">
        <v>466</v>
      </c>
      <c r="C142" t="s">
        <v>467</v>
      </c>
      <c r="D142" s="1">
        <v>43572</v>
      </c>
      <c r="E142" s="1">
        <v>43997</v>
      </c>
      <c r="F142" s="1">
        <v>44002</v>
      </c>
      <c r="G142">
        <v>5</v>
      </c>
      <c r="H142">
        <v>86.55</v>
      </c>
      <c r="I142">
        <v>1038.5999999999999</v>
      </c>
      <c r="J142">
        <v>8000</v>
      </c>
      <c r="K142" t="s">
        <v>27</v>
      </c>
      <c r="L142">
        <v>8000</v>
      </c>
      <c r="M142">
        <v>6.08</v>
      </c>
      <c r="N142" t="s">
        <v>49</v>
      </c>
      <c r="O142">
        <v>73</v>
      </c>
      <c r="P142">
        <v>31</v>
      </c>
      <c r="Q142">
        <v>0</v>
      </c>
      <c r="R142">
        <v>7</v>
      </c>
      <c r="S142" t="s">
        <v>29</v>
      </c>
      <c r="T142" t="s">
        <v>30</v>
      </c>
      <c r="U142" t="s">
        <v>51</v>
      </c>
      <c r="V142" t="s">
        <v>39</v>
      </c>
      <c r="W142">
        <v>1</v>
      </c>
      <c r="X142">
        <v>0</v>
      </c>
      <c r="Y142" s="2">
        <f>Table1[[#This Row],[premium_yearly]]*Table1[[#This Row],[tenure_years]]</f>
        <v>6314.6879999999992</v>
      </c>
      <c r="Z142" s="2">
        <f>Table1[[#This Row],[total_collected_premiums]]*(1-$AD$2)</f>
        <v>4609.7222399999991</v>
      </c>
      <c r="AA142" s="2">
        <f>Table1[[#This Row],[retained_premium]]-Table1[[#This Row],[claim_amount_paid]]</f>
        <v>-3390.2777600000009</v>
      </c>
    </row>
    <row r="143" spans="1:27" x14ac:dyDescent="0.35">
      <c r="A143" t="s">
        <v>468</v>
      </c>
      <c r="B143" t="s">
        <v>469</v>
      </c>
      <c r="C143" t="s">
        <v>470</v>
      </c>
      <c r="D143" s="1">
        <v>42458</v>
      </c>
      <c r="E143" s="1">
        <v>44007</v>
      </c>
      <c r="F143" s="1">
        <v>44010</v>
      </c>
      <c r="G143">
        <v>3</v>
      </c>
      <c r="H143">
        <v>95.24</v>
      </c>
      <c r="I143">
        <v>1142.8800000000001</v>
      </c>
      <c r="J143">
        <v>9000</v>
      </c>
      <c r="K143" t="s">
        <v>27</v>
      </c>
      <c r="L143">
        <v>9000</v>
      </c>
      <c r="M143">
        <v>0.75</v>
      </c>
      <c r="N143" t="s">
        <v>36</v>
      </c>
      <c r="O143">
        <v>9</v>
      </c>
      <c r="P143">
        <v>58</v>
      </c>
      <c r="Q143">
        <v>0</v>
      </c>
      <c r="R143">
        <v>6</v>
      </c>
      <c r="S143" t="s">
        <v>37</v>
      </c>
      <c r="T143" t="s">
        <v>30</v>
      </c>
      <c r="U143" t="s">
        <v>38</v>
      </c>
      <c r="V143" t="s">
        <v>32</v>
      </c>
      <c r="W143">
        <v>0</v>
      </c>
      <c r="X143">
        <v>0</v>
      </c>
      <c r="Y143" s="2">
        <f>Table1[[#This Row],[premium_yearly]]*Table1[[#This Row],[tenure_years]]</f>
        <v>857.16000000000008</v>
      </c>
      <c r="Z143" s="2">
        <f>Table1[[#This Row],[total_collected_premiums]]*(1-$AD$2)</f>
        <v>625.72680000000003</v>
      </c>
      <c r="AA143" s="2">
        <f>Table1[[#This Row],[retained_premium]]-Table1[[#This Row],[claim_amount_paid]]</f>
        <v>-8374.2731999999996</v>
      </c>
    </row>
    <row r="144" spans="1:27" x14ac:dyDescent="0.35">
      <c r="A144" t="s">
        <v>471</v>
      </c>
      <c r="B144" t="s">
        <v>472</v>
      </c>
      <c r="C144" t="s">
        <v>473</v>
      </c>
      <c r="D144" s="1">
        <v>40374</v>
      </c>
      <c r="E144" s="1">
        <v>44001</v>
      </c>
      <c r="F144" s="1">
        <v>44006</v>
      </c>
      <c r="G144">
        <v>5</v>
      </c>
      <c r="H144">
        <v>71.489999999999995</v>
      </c>
      <c r="I144">
        <v>857.88</v>
      </c>
      <c r="J144">
        <v>10000</v>
      </c>
      <c r="K144" t="s">
        <v>27</v>
      </c>
      <c r="L144">
        <v>10000</v>
      </c>
      <c r="M144">
        <v>8.75</v>
      </c>
      <c r="N144" t="s">
        <v>36</v>
      </c>
      <c r="O144">
        <v>105</v>
      </c>
      <c r="P144">
        <v>31</v>
      </c>
      <c r="Q144">
        <v>1</v>
      </c>
      <c r="R144">
        <v>5</v>
      </c>
      <c r="S144" t="s">
        <v>65</v>
      </c>
      <c r="T144" t="s">
        <v>30</v>
      </c>
      <c r="U144" t="s">
        <v>31</v>
      </c>
      <c r="V144" t="s">
        <v>39</v>
      </c>
      <c r="W144">
        <v>1</v>
      </c>
      <c r="X144">
        <v>0</v>
      </c>
      <c r="Y144" s="2">
        <f>Table1[[#This Row],[premium_yearly]]*Table1[[#This Row],[tenure_years]]</f>
        <v>7506.45</v>
      </c>
      <c r="Z144" s="2">
        <f>Table1[[#This Row],[total_collected_premiums]]*(1-$AD$2)</f>
        <v>5479.7084999999997</v>
      </c>
      <c r="AA144" s="2">
        <f>Table1[[#This Row],[retained_premium]]-Table1[[#This Row],[claim_amount_paid]]</f>
        <v>-4520.2915000000003</v>
      </c>
    </row>
    <row r="145" spans="1:27" x14ac:dyDescent="0.35">
      <c r="A145" t="s">
        <v>474</v>
      </c>
      <c r="B145" t="s">
        <v>475</v>
      </c>
      <c r="C145" t="s">
        <v>476</v>
      </c>
      <c r="D145" s="1">
        <v>42452</v>
      </c>
      <c r="E145" s="1">
        <v>44014</v>
      </c>
      <c r="F145" s="1">
        <v>44015</v>
      </c>
      <c r="G145">
        <v>1</v>
      </c>
      <c r="H145">
        <v>116.98</v>
      </c>
      <c r="I145">
        <v>1403.76</v>
      </c>
      <c r="J145">
        <v>9000</v>
      </c>
      <c r="K145" t="s">
        <v>27</v>
      </c>
      <c r="L145">
        <v>9000</v>
      </c>
      <c r="M145">
        <v>6.67</v>
      </c>
      <c r="N145" t="s">
        <v>36</v>
      </c>
      <c r="O145">
        <v>80</v>
      </c>
      <c r="P145">
        <v>59</v>
      </c>
      <c r="Q145">
        <v>1</v>
      </c>
      <c r="R145">
        <v>2</v>
      </c>
      <c r="S145" t="s">
        <v>29</v>
      </c>
      <c r="T145" t="s">
        <v>44</v>
      </c>
      <c r="U145" t="s">
        <v>38</v>
      </c>
      <c r="V145" t="s">
        <v>32</v>
      </c>
      <c r="W145">
        <v>1</v>
      </c>
      <c r="X145">
        <v>1</v>
      </c>
      <c r="Y145" s="2">
        <f>Table1[[#This Row],[premium_yearly]]*Table1[[#This Row],[tenure_years]]</f>
        <v>9363.0792000000001</v>
      </c>
      <c r="Z145" s="2">
        <f>Table1[[#This Row],[total_collected_premiums]]*(1-$AD$2)</f>
        <v>6835.0478160000002</v>
      </c>
      <c r="AA145" s="2">
        <f>Table1[[#This Row],[retained_premium]]-Table1[[#This Row],[claim_amount_paid]]</f>
        <v>-2164.9521839999998</v>
      </c>
    </row>
    <row r="146" spans="1:27" x14ac:dyDescent="0.35">
      <c r="A146" t="s">
        <v>477</v>
      </c>
      <c r="B146" t="s">
        <v>478</v>
      </c>
      <c r="C146" t="s">
        <v>479</v>
      </c>
      <c r="D146" s="1">
        <v>42445</v>
      </c>
      <c r="E146" s="1">
        <v>44017</v>
      </c>
      <c r="F146" s="1">
        <v>44017</v>
      </c>
      <c r="G146">
        <v>0</v>
      </c>
      <c r="H146">
        <v>116.63</v>
      </c>
      <c r="I146">
        <v>1399.56</v>
      </c>
      <c r="J146">
        <v>6000</v>
      </c>
      <c r="K146" t="s">
        <v>27</v>
      </c>
      <c r="L146">
        <v>6000</v>
      </c>
      <c r="M146">
        <v>2.67</v>
      </c>
      <c r="N146" t="s">
        <v>49</v>
      </c>
      <c r="O146">
        <v>32</v>
      </c>
      <c r="P146">
        <v>60</v>
      </c>
      <c r="Q146">
        <v>1</v>
      </c>
      <c r="R146">
        <v>5</v>
      </c>
      <c r="S146" t="s">
        <v>37</v>
      </c>
      <c r="T146" t="s">
        <v>30</v>
      </c>
      <c r="U146" t="s">
        <v>38</v>
      </c>
      <c r="V146" t="s">
        <v>45</v>
      </c>
      <c r="W146">
        <v>1</v>
      </c>
      <c r="X146">
        <v>1</v>
      </c>
      <c r="Y146" s="2">
        <f>Table1[[#This Row],[premium_yearly]]*Table1[[#This Row],[tenure_years]]</f>
        <v>3736.8251999999998</v>
      </c>
      <c r="Z146" s="2">
        <f>Table1[[#This Row],[total_collected_premiums]]*(1-$AD$2)</f>
        <v>2727.882396</v>
      </c>
      <c r="AA146" s="2">
        <f>Table1[[#This Row],[retained_premium]]-Table1[[#This Row],[claim_amount_paid]]</f>
        <v>-3272.117604</v>
      </c>
    </row>
    <row r="147" spans="1:27" x14ac:dyDescent="0.35">
      <c r="A147" t="s">
        <v>480</v>
      </c>
      <c r="B147" t="s">
        <v>481</v>
      </c>
      <c r="C147" t="s">
        <v>482</v>
      </c>
      <c r="D147" s="1">
        <v>42830</v>
      </c>
      <c r="E147" s="1">
        <v>44008</v>
      </c>
      <c r="F147" s="1">
        <v>44013</v>
      </c>
      <c r="G147">
        <v>5</v>
      </c>
      <c r="H147">
        <v>105.82</v>
      </c>
      <c r="I147">
        <v>1269.8399999999999</v>
      </c>
      <c r="J147">
        <v>2000</v>
      </c>
      <c r="K147" t="s">
        <v>43</v>
      </c>
      <c r="L147">
        <v>0</v>
      </c>
      <c r="M147">
        <v>9</v>
      </c>
      <c r="N147" t="s">
        <v>49</v>
      </c>
      <c r="O147">
        <v>108</v>
      </c>
      <c r="P147">
        <v>26</v>
      </c>
      <c r="Q147">
        <v>0</v>
      </c>
      <c r="R147">
        <v>6</v>
      </c>
      <c r="S147" t="s">
        <v>29</v>
      </c>
      <c r="T147" t="s">
        <v>50</v>
      </c>
      <c r="U147" t="s">
        <v>38</v>
      </c>
      <c r="V147" t="s">
        <v>39</v>
      </c>
      <c r="W147">
        <v>0</v>
      </c>
      <c r="X147">
        <v>0</v>
      </c>
      <c r="Y147" s="2">
        <f>Table1[[#This Row],[premium_yearly]]*Table1[[#This Row],[tenure_years]]</f>
        <v>11428.56</v>
      </c>
      <c r="Z147" s="2">
        <f>Table1[[#This Row],[total_collected_premiums]]*(1-$AD$2)</f>
        <v>8342.8487999999998</v>
      </c>
      <c r="AA147" s="2">
        <f>Table1[[#This Row],[retained_premium]]-Table1[[#This Row],[claim_amount_paid]]</f>
        <v>8342.8487999999998</v>
      </c>
    </row>
    <row r="148" spans="1:27" x14ac:dyDescent="0.35">
      <c r="A148" t="s">
        <v>483</v>
      </c>
      <c r="B148" t="s">
        <v>484</v>
      </c>
      <c r="C148" t="s">
        <v>485</v>
      </c>
      <c r="D148" s="1">
        <v>43625</v>
      </c>
      <c r="E148" s="1">
        <v>43999</v>
      </c>
      <c r="F148" s="1">
        <v>44004</v>
      </c>
      <c r="G148">
        <v>5</v>
      </c>
      <c r="H148">
        <v>99.57</v>
      </c>
      <c r="I148">
        <v>1194.8399999999999</v>
      </c>
      <c r="J148">
        <v>2000</v>
      </c>
      <c r="K148" t="s">
        <v>27</v>
      </c>
      <c r="L148">
        <v>2000</v>
      </c>
      <c r="M148">
        <v>2.58</v>
      </c>
      <c r="N148" t="s">
        <v>36</v>
      </c>
      <c r="O148">
        <v>31</v>
      </c>
      <c r="P148">
        <v>44</v>
      </c>
      <c r="Q148">
        <v>1</v>
      </c>
      <c r="R148">
        <v>7</v>
      </c>
      <c r="S148" t="s">
        <v>65</v>
      </c>
      <c r="T148" t="s">
        <v>30</v>
      </c>
      <c r="U148" t="s">
        <v>107</v>
      </c>
      <c r="V148" t="s">
        <v>45</v>
      </c>
      <c r="W148">
        <v>1</v>
      </c>
      <c r="X148">
        <v>1</v>
      </c>
      <c r="Y148" s="2">
        <f>Table1[[#This Row],[premium_yearly]]*Table1[[#This Row],[tenure_years]]</f>
        <v>3082.6871999999998</v>
      </c>
      <c r="Z148" s="2">
        <f>Table1[[#This Row],[total_collected_premiums]]*(1-$AD$2)</f>
        <v>2250.361656</v>
      </c>
      <c r="AA148" s="2">
        <f>Table1[[#This Row],[retained_premium]]-Table1[[#This Row],[claim_amount_paid]]</f>
        <v>250.36165600000004</v>
      </c>
    </row>
    <row r="149" spans="1:27" x14ac:dyDescent="0.35">
      <c r="A149" t="s">
        <v>486</v>
      </c>
      <c r="B149" t="s">
        <v>487</v>
      </c>
      <c r="C149" t="s">
        <v>488</v>
      </c>
      <c r="D149" s="1">
        <v>42446</v>
      </c>
      <c r="E149" s="1">
        <v>44001</v>
      </c>
      <c r="F149" s="1">
        <v>44006</v>
      </c>
      <c r="G149">
        <v>5</v>
      </c>
      <c r="H149">
        <v>117.6</v>
      </c>
      <c r="I149">
        <v>1411.2</v>
      </c>
      <c r="J149">
        <v>4000</v>
      </c>
      <c r="K149" t="s">
        <v>27</v>
      </c>
      <c r="L149">
        <v>4000</v>
      </c>
      <c r="M149">
        <v>2.75</v>
      </c>
      <c r="N149" t="s">
        <v>28</v>
      </c>
      <c r="O149">
        <v>33</v>
      </c>
      <c r="P149">
        <v>49</v>
      </c>
      <c r="Q149">
        <v>1</v>
      </c>
      <c r="R149">
        <v>7</v>
      </c>
      <c r="S149" t="s">
        <v>29</v>
      </c>
      <c r="T149" t="s">
        <v>50</v>
      </c>
      <c r="U149" t="s">
        <v>58</v>
      </c>
      <c r="V149" t="s">
        <v>39</v>
      </c>
      <c r="W149">
        <v>0</v>
      </c>
      <c r="X149">
        <v>1</v>
      </c>
      <c r="Y149" s="2">
        <f>Table1[[#This Row],[premium_yearly]]*Table1[[#This Row],[tenure_years]]</f>
        <v>3880.8</v>
      </c>
      <c r="Z149" s="2">
        <f>Table1[[#This Row],[total_collected_premiums]]*(1-$AD$2)</f>
        <v>2832.9839999999999</v>
      </c>
      <c r="AA149" s="2">
        <f>Table1[[#This Row],[retained_premium]]-Table1[[#This Row],[claim_amount_paid]]</f>
        <v>-1167.0160000000001</v>
      </c>
    </row>
    <row r="150" spans="1:27" x14ac:dyDescent="0.35">
      <c r="A150" t="s">
        <v>489</v>
      </c>
      <c r="B150" t="s">
        <v>490</v>
      </c>
      <c r="C150" t="s">
        <v>491</v>
      </c>
      <c r="D150" s="1">
        <v>42736</v>
      </c>
      <c r="E150" s="1">
        <v>44011</v>
      </c>
      <c r="F150" s="1">
        <v>44014</v>
      </c>
      <c r="G150">
        <v>3</v>
      </c>
      <c r="H150">
        <v>108.7</v>
      </c>
      <c r="I150">
        <v>1304.4000000000001</v>
      </c>
      <c r="J150">
        <v>8000</v>
      </c>
      <c r="K150" t="s">
        <v>27</v>
      </c>
      <c r="L150">
        <v>8000</v>
      </c>
      <c r="M150">
        <v>5.5</v>
      </c>
      <c r="N150" t="s">
        <v>49</v>
      </c>
      <c r="O150">
        <v>66</v>
      </c>
      <c r="P150">
        <v>59</v>
      </c>
      <c r="Q150">
        <v>1</v>
      </c>
      <c r="R150">
        <v>5</v>
      </c>
      <c r="S150" t="s">
        <v>29</v>
      </c>
      <c r="T150" t="s">
        <v>50</v>
      </c>
      <c r="U150" t="s">
        <v>88</v>
      </c>
      <c r="V150" t="s">
        <v>39</v>
      </c>
      <c r="W150">
        <v>1</v>
      </c>
      <c r="X150">
        <v>1</v>
      </c>
      <c r="Y150" s="2">
        <f>Table1[[#This Row],[premium_yearly]]*Table1[[#This Row],[tenure_years]]</f>
        <v>7174.2000000000007</v>
      </c>
      <c r="Z150" s="2">
        <f>Table1[[#This Row],[total_collected_premiums]]*(1-$AD$2)</f>
        <v>5237.1660000000002</v>
      </c>
      <c r="AA150" s="2">
        <f>Table1[[#This Row],[retained_premium]]-Table1[[#This Row],[claim_amount_paid]]</f>
        <v>-2762.8339999999998</v>
      </c>
    </row>
    <row r="151" spans="1:27" x14ac:dyDescent="0.35">
      <c r="A151" t="s">
        <v>492</v>
      </c>
      <c r="B151" t="s">
        <v>493</v>
      </c>
      <c r="C151" t="s">
        <v>494</v>
      </c>
      <c r="D151" s="1">
        <v>41395</v>
      </c>
      <c r="E151" s="1">
        <v>44009</v>
      </c>
      <c r="F151" s="1">
        <v>44014</v>
      </c>
      <c r="G151">
        <v>5</v>
      </c>
      <c r="H151">
        <v>131.94</v>
      </c>
      <c r="I151">
        <v>1583.28</v>
      </c>
      <c r="J151">
        <v>7000</v>
      </c>
      <c r="K151" t="s">
        <v>27</v>
      </c>
      <c r="L151">
        <v>7000</v>
      </c>
      <c r="M151">
        <v>0.83</v>
      </c>
      <c r="N151" t="s">
        <v>49</v>
      </c>
      <c r="O151">
        <v>10</v>
      </c>
      <c r="P151">
        <v>52</v>
      </c>
      <c r="Q151">
        <v>1</v>
      </c>
      <c r="R151">
        <v>6</v>
      </c>
      <c r="S151" t="s">
        <v>37</v>
      </c>
      <c r="T151" t="s">
        <v>50</v>
      </c>
      <c r="U151" t="s">
        <v>31</v>
      </c>
      <c r="V151" t="s">
        <v>39</v>
      </c>
      <c r="W151">
        <v>1</v>
      </c>
      <c r="X151">
        <v>1</v>
      </c>
      <c r="Y151" s="2">
        <f>Table1[[#This Row],[premium_yearly]]*Table1[[#This Row],[tenure_years]]</f>
        <v>1314.1224</v>
      </c>
      <c r="Z151" s="2">
        <f>Table1[[#This Row],[total_collected_premiums]]*(1-$AD$2)</f>
        <v>959.30935199999999</v>
      </c>
      <c r="AA151" s="2">
        <f>Table1[[#This Row],[retained_premium]]-Table1[[#This Row],[claim_amount_paid]]</f>
        <v>-6040.6906479999998</v>
      </c>
    </row>
    <row r="152" spans="1:27" x14ac:dyDescent="0.35">
      <c r="A152" t="s">
        <v>495</v>
      </c>
      <c r="B152" t="s">
        <v>496</v>
      </c>
      <c r="C152" t="s">
        <v>497</v>
      </c>
      <c r="D152" s="1">
        <v>40467</v>
      </c>
      <c r="E152" s="1">
        <v>44001</v>
      </c>
      <c r="F152" s="1">
        <v>44006</v>
      </c>
      <c r="G152">
        <v>5</v>
      </c>
      <c r="H152">
        <v>127.6</v>
      </c>
      <c r="I152">
        <v>1531.2</v>
      </c>
      <c r="J152">
        <v>3000</v>
      </c>
      <c r="K152" t="s">
        <v>27</v>
      </c>
      <c r="L152">
        <v>3000</v>
      </c>
      <c r="M152">
        <v>7.67</v>
      </c>
      <c r="N152" t="s">
        <v>49</v>
      </c>
      <c r="O152">
        <v>92</v>
      </c>
      <c r="P152">
        <v>40</v>
      </c>
      <c r="Q152">
        <v>1</v>
      </c>
      <c r="R152">
        <v>2</v>
      </c>
      <c r="S152" t="s">
        <v>29</v>
      </c>
      <c r="T152" t="s">
        <v>50</v>
      </c>
      <c r="U152" t="s">
        <v>58</v>
      </c>
      <c r="V152" t="s">
        <v>39</v>
      </c>
      <c r="W152">
        <v>0</v>
      </c>
      <c r="X152">
        <v>1</v>
      </c>
      <c r="Y152" s="2">
        <f>Table1[[#This Row],[premium_yearly]]*Table1[[#This Row],[tenure_years]]</f>
        <v>11744.304</v>
      </c>
      <c r="Z152" s="2">
        <f>Table1[[#This Row],[total_collected_premiums]]*(1-$AD$2)</f>
        <v>8573.3419200000008</v>
      </c>
      <c r="AA152" s="2">
        <f>Table1[[#This Row],[retained_premium]]-Table1[[#This Row],[claim_amount_paid]]</f>
        <v>5573.3419200000008</v>
      </c>
    </row>
    <row r="153" spans="1:27" x14ac:dyDescent="0.35">
      <c r="A153" t="s">
        <v>498</v>
      </c>
      <c r="B153" t="s">
        <v>499</v>
      </c>
      <c r="C153" t="s">
        <v>500</v>
      </c>
      <c r="D153" s="1">
        <v>41462</v>
      </c>
      <c r="E153" s="1">
        <v>44018</v>
      </c>
      <c r="F153" s="1">
        <v>44018</v>
      </c>
      <c r="G153">
        <v>0</v>
      </c>
      <c r="H153">
        <v>111.68</v>
      </c>
      <c r="I153">
        <v>1340.16</v>
      </c>
      <c r="J153">
        <v>6000</v>
      </c>
      <c r="K153" t="s">
        <v>27</v>
      </c>
      <c r="L153">
        <v>6000</v>
      </c>
      <c r="M153">
        <v>5.75</v>
      </c>
      <c r="N153" t="s">
        <v>49</v>
      </c>
      <c r="O153">
        <v>69</v>
      </c>
      <c r="P153">
        <v>32</v>
      </c>
      <c r="Q153">
        <v>1</v>
      </c>
      <c r="R153">
        <v>6</v>
      </c>
      <c r="S153" t="s">
        <v>65</v>
      </c>
      <c r="T153" t="s">
        <v>50</v>
      </c>
      <c r="U153" t="s">
        <v>38</v>
      </c>
      <c r="V153" t="s">
        <v>39</v>
      </c>
      <c r="W153">
        <v>1</v>
      </c>
      <c r="X153">
        <v>1</v>
      </c>
      <c r="Y153" s="2">
        <f>Table1[[#This Row],[premium_yearly]]*Table1[[#This Row],[tenure_years]]</f>
        <v>7705.92</v>
      </c>
      <c r="Z153" s="2">
        <f>Table1[[#This Row],[total_collected_premiums]]*(1-$AD$2)</f>
        <v>5625.3216000000002</v>
      </c>
      <c r="AA153" s="2">
        <f>Table1[[#This Row],[retained_premium]]-Table1[[#This Row],[claim_amount_paid]]</f>
        <v>-374.67839999999978</v>
      </c>
    </row>
    <row r="154" spans="1:27" x14ac:dyDescent="0.35">
      <c r="A154" t="s">
        <v>501</v>
      </c>
      <c r="B154" t="s">
        <v>502</v>
      </c>
      <c r="C154" t="s">
        <v>503</v>
      </c>
      <c r="D154" s="1">
        <v>41234</v>
      </c>
      <c r="E154" s="1">
        <v>44007</v>
      </c>
      <c r="F154" s="1">
        <v>44012</v>
      </c>
      <c r="G154">
        <v>5</v>
      </c>
      <c r="H154">
        <v>139.05000000000001</v>
      </c>
      <c r="I154">
        <v>1668.6</v>
      </c>
      <c r="J154">
        <v>9000</v>
      </c>
      <c r="K154" t="s">
        <v>27</v>
      </c>
      <c r="L154">
        <v>9000</v>
      </c>
      <c r="M154">
        <v>5.5</v>
      </c>
      <c r="N154" t="s">
        <v>36</v>
      </c>
      <c r="O154">
        <v>66</v>
      </c>
      <c r="P154">
        <v>44</v>
      </c>
      <c r="Q154">
        <v>1</v>
      </c>
      <c r="R154">
        <v>7</v>
      </c>
      <c r="S154" t="s">
        <v>65</v>
      </c>
      <c r="T154" t="s">
        <v>50</v>
      </c>
      <c r="U154" t="s">
        <v>31</v>
      </c>
      <c r="V154" t="s">
        <v>45</v>
      </c>
      <c r="W154">
        <v>1</v>
      </c>
      <c r="X154">
        <v>1</v>
      </c>
      <c r="Y154" s="2">
        <f>Table1[[#This Row],[premium_yearly]]*Table1[[#This Row],[tenure_years]]</f>
        <v>9177.2999999999993</v>
      </c>
      <c r="Z154" s="2">
        <f>Table1[[#This Row],[total_collected_premiums]]*(1-$AD$2)</f>
        <v>6699.4289999999992</v>
      </c>
      <c r="AA154" s="2">
        <f>Table1[[#This Row],[retained_premium]]-Table1[[#This Row],[claim_amount_paid]]</f>
        <v>-2300.5710000000008</v>
      </c>
    </row>
    <row r="155" spans="1:27" x14ac:dyDescent="0.35">
      <c r="A155" t="s">
        <v>504</v>
      </c>
      <c r="B155" t="s">
        <v>505</v>
      </c>
      <c r="C155" t="s">
        <v>506</v>
      </c>
      <c r="D155" s="1">
        <v>40602</v>
      </c>
      <c r="E155" s="1">
        <v>44016</v>
      </c>
      <c r="F155" s="1">
        <v>44017</v>
      </c>
      <c r="G155">
        <v>1</v>
      </c>
      <c r="H155">
        <v>82.24</v>
      </c>
      <c r="I155">
        <v>986.88</v>
      </c>
      <c r="J155">
        <v>10000</v>
      </c>
      <c r="K155" t="s">
        <v>27</v>
      </c>
      <c r="L155">
        <v>10000</v>
      </c>
      <c r="M155">
        <v>6.67</v>
      </c>
      <c r="N155" t="s">
        <v>49</v>
      </c>
      <c r="O155">
        <v>80</v>
      </c>
      <c r="P155">
        <v>53</v>
      </c>
      <c r="Q155">
        <v>0</v>
      </c>
      <c r="R155">
        <v>5</v>
      </c>
      <c r="S155" t="s">
        <v>65</v>
      </c>
      <c r="T155" t="s">
        <v>30</v>
      </c>
      <c r="U155" t="s">
        <v>38</v>
      </c>
      <c r="V155" t="s">
        <v>39</v>
      </c>
      <c r="W155">
        <v>1</v>
      </c>
      <c r="X155">
        <v>0</v>
      </c>
      <c r="Y155" s="2">
        <f>Table1[[#This Row],[premium_yearly]]*Table1[[#This Row],[tenure_years]]</f>
        <v>6582.4895999999999</v>
      </c>
      <c r="Z155" s="2">
        <f>Table1[[#This Row],[total_collected_premiums]]*(1-$AD$2)</f>
        <v>4805.2174079999995</v>
      </c>
      <c r="AA155" s="2">
        <f>Table1[[#This Row],[retained_premium]]-Table1[[#This Row],[claim_amount_paid]]</f>
        <v>-5194.7825920000005</v>
      </c>
    </row>
    <row r="156" spans="1:27" x14ac:dyDescent="0.35">
      <c r="A156" t="s">
        <v>507</v>
      </c>
      <c r="B156" t="s">
        <v>508</v>
      </c>
      <c r="C156" t="s">
        <v>509</v>
      </c>
      <c r="D156" s="1">
        <v>42056</v>
      </c>
      <c r="E156" s="1">
        <v>44007</v>
      </c>
      <c r="F156" s="1">
        <v>44012</v>
      </c>
      <c r="G156">
        <v>5</v>
      </c>
      <c r="H156">
        <v>91.32</v>
      </c>
      <c r="I156">
        <v>1095.8399999999999</v>
      </c>
      <c r="J156">
        <v>8000</v>
      </c>
      <c r="K156" t="s">
        <v>27</v>
      </c>
      <c r="L156">
        <v>8000</v>
      </c>
      <c r="M156">
        <v>2.42</v>
      </c>
      <c r="N156" t="s">
        <v>28</v>
      </c>
      <c r="O156">
        <v>29</v>
      </c>
      <c r="P156">
        <v>28</v>
      </c>
      <c r="Q156">
        <v>0</v>
      </c>
      <c r="R156">
        <v>2</v>
      </c>
      <c r="S156" t="s">
        <v>65</v>
      </c>
      <c r="T156" t="s">
        <v>30</v>
      </c>
      <c r="U156" t="s">
        <v>38</v>
      </c>
      <c r="V156" t="s">
        <v>39</v>
      </c>
      <c r="W156">
        <v>1</v>
      </c>
      <c r="X156">
        <v>1</v>
      </c>
      <c r="Y156" s="2">
        <f>Table1[[#This Row],[premium_yearly]]*Table1[[#This Row],[tenure_years]]</f>
        <v>2651.9327999999996</v>
      </c>
      <c r="Z156" s="2">
        <f>Table1[[#This Row],[total_collected_premiums]]*(1-$AD$2)</f>
        <v>1935.9109439999997</v>
      </c>
      <c r="AA156" s="2">
        <f>Table1[[#This Row],[retained_premium]]-Table1[[#This Row],[claim_amount_paid]]</f>
        <v>-6064.0890560000007</v>
      </c>
    </row>
    <row r="157" spans="1:27" x14ac:dyDescent="0.35">
      <c r="A157" t="s">
        <v>510</v>
      </c>
      <c r="B157" t="s">
        <v>511</v>
      </c>
      <c r="C157" t="s">
        <v>512</v>
      </c>
      <c r="D157" s="1">
        <v>43401</v>
      </c>
      <c r="E157" s="1">
        <v>44017</v>
      </c>
      <c r="F157" s="1">
        <v>44018</v>
      </c>
      <c r="G157">
        <v>1</v>
      </c>
      <c r="H157">
        <v>81.83</v>
      </c>
      <c r="I157">
        <v>981.96</v>
      </c>
      <c r="J157">
        <v>2000</v>
      </c>
      <c r="K157" t="s">
        <v>27</v>
      </c>
      <c r="L157">
        <v>2000</v>
      </c>
      <c r="M157">
        <v>2.5</v>
      </c>
      <c r="N157" t="s">
        <v>49</v>
      </c>
      <c r="O157">
        <v>30</v>
      </c>
      <c r="P157">
        <v>55</v>
      </c>
      <c r="Q157">
        <v>1</v>
      </c>
      <c r="R157">
        <v>6</v>
      </c>
      <c r="S157" t="s">
        <v>37</v>
      </c>
      <c r="T157" t="s">
        <v>30</v>
      </c>
      <c r="U157" t="s">
        <v>31</v>
      </c>
      <c r="V157" t="s">
        <v>39</v>
      </c>
      <c r="W157">
        <v>1</v>
      </c>
      <c r="X157">
        <v>0</v>
      </c>
      <c r="Y157" s="2">
        <f>Table1[[#This Row],[premium_yearly]]*Table1[[#This Row],[tenure_years]]</f>
        <v>2454.9</v>
      </c>
      <c r="Z157" s="2">
        <f>Table1[[#This Row],[total_collected_premiums]]*(1-$AD$2)</f>
        <v>1792.077</v>
      </c>
      <c r="AA157" s="2">
        <f>Table1[[#This Row],[retained_premium]]-Table1[[#This Row],[claim_amount_paid]]</f>
        <v>-207.923</v>
      </c>
    </row>
    <row r="158" spans="1:27" x14ac:dyDescent="0.35">
      <c r="A158" t="s">
        <v>513</v>
      </c>
      <c r="B158" t="s">
        <v>514</v>
      </c>
      <c r="C158" t="s">
        <v>515</v>
      </c>
      <c r="D158" s="1">
        <v>42805</v>
      </c>
      <c r="E158" s="1">
        <v>44003</v>
      </c>
      <c r="F158" s="1">
        <v>44008</v>
      </c>
      <c r="G158">
        <v>5</v>
      </c>
      <c r="H158">
        <v>100.93</v>
      </c>
      <c r="I158">
        <v>1211.1600000000001</v>
      </c>
      <c r="J158">
        <v>3000</v>
      </c>
      <c r="K158" t="s">
        <v>27</v>
      </c>
      <c r="L158">
        <v>3000</v>
      </c>
      <c r="M158">
        <v>6.5</v>
      </c>
      <c r="N158" t="s">
        <v>36</v>
      </c>
      <c r="O158">
        <v>78</v>
      </c>
      <c r="P158">
        <v>25</v>
      </c>
      <c r="Q158">
        <v>1</v>
      </c>
      <c r="R158">
        <v>5</v>
      </c>
      <c r="S158" t="s">
        <v>65</v>
      </c>
      <c r="T158" t="s">
        <v>30</v>
      </c>
      <c r="U158" t="s">
        <v>31</v>
      </c>
      <c r="V158" t="s">
        <v>32</v>
      </c>
      <c r="W158">
        <v>1</v>
      </c>
      <c r="X158">
        <v>1</v>
      </c>
      <c r="Y158" s="2">
        <f>Table1[[#This Row],[premium_yearly]]*Table1[[#This Row],[tenure_years]]</f>
        <v>7872.5400000000009</v>
      </c>
      <c r="Z158" s="2">
        <f>Table1[[#This Row],[total_collected_premiums]]*(1-$AD$2)</f>
        <v>5746.9542000000001</v>
      </c>
      <c r="AA158" s="2">
        <f>Table1[[#This Row],[retained_premium]]-Table1[[#This Row],[claim_amount_paid]]</f>
        <v>2746.9542000000001</v>
      </c>
    </row>
    <row r="159" spans="1:27" x14ac:dyDescent="0.35">
      <c r="A159" t="s">
        <v>516</v>
      </c>
      <c r="B159" t="s">
        <v>517</v>
      </c>
      <c r="C159" t="s">
        <v>518</v>
      </c>
      <c r="D159" s="1">
        <v>40496</v>
      </c>
      <c r="E159" s="1">
        <v>44016</v>
      </c>
      <c r="F159" s="1">
        <v>44017</v>
      </c>
      <c r="G159">
        <v>1</v>
      </c>
      <c r="H159">
        <v>105.1</v>
      </c>
      <c r="I159">
        <v>1261.2</v>
      </c>
      <c r="J159">
        <v>6000</v>
      </c>
      <c r="K159" t="s">
        <v>27</v>
      </c>
      <c r="L159">
        <v>6000</v>
      </c>
      <c r="M159">
        <v>3.5</v>
      </c>
      <c r="N159" t="s">
        <v>36</v>
      </c>
      <c r="O159">
        <v>42</v>
      </c>
      <c r="P159">
        <v>28</v>
      </c>
      <c r="Q159">
        <v>0</v>
      </c>
      <c r="R159">
        <v>6</v>
      </c>
      <c r="S159" t="s">
        <v>29</v>
      </c>
      <c r="T159" t="s">
        <v>50</v>
      </c>
      <c r="U159" t="s">
        <v>38</v>
      </c>
      <c r="V159" t="s">
        <v>32</v>
      </c>
      <c r="W159">
        <v>1</v>
      </c>
      <c r="X159">
        <v>0</v>
      </c>
      <c r="Y159" s="2">
        <f>Table1[[#This Row],[premium_yearly]]*Table1[[#This Row],[tenure_years]]</f>
        <v>4414.2</v>
      </c>
      <c r="Z159" s="2">
        <f>Table1[[#This Row],[total_collected_premiums]]*(1-$AD$2)</f>
        <v>3222.366</v>
      </c>
      <c r="AA159" s="2">
        <f>Table1[[#This Row],[retained_premium]]-Table1[[#This Row],[claim_amount_paid]]</f>
        <v>-2777.634</v>
      </c>
    </row>
    <row r="160" spans="1:27" x14ac:dyDescent="0.35">
      <c r="A160" t="s">
        <v>519</v>
      </c>
      <c r="B160" t="s">
        <v>520</v>
      </c>
      <c r="C160" t="s">
        <v>521</v>
      </c>
      <c r="D160" s="1">
        <v>42232</v>
      </c>
      <c r="E160" s="1">
        <v>44005</v>
      </c>
      <c r="F160" s="1">
        <v>44010</v>
      </c>
      <c r="G160">
        <v>5</v>
      </c>
      <c r="H160">
        <v>110.57</v>
      </c>
      <c r="I160">
        <v>1326.84</v>
      </c>
      <c r="J160">
        <v>8000</v>
      </c>
      <c r="K160" t="s">
        <v>27</v>
      </c>
      <c r="L160">
        <v>8000</v>
      </c>
      <c r="M160">
        <v>4.33</v>
      </c>
      <c r="N160" t="s">
        <v>36</v>
      </c>
      <c r="O160">
        <v>52</v>
      </c>
      <c r="P160">
        <v>42</v>
      </c>
      <c r="Q160">
        <v>1</v>
      </c>
      <c r="R160">
        <v>7</v>
      </c>
      <c r="S160" t="s">
        <v>65</v>
      </c>
      <c r="T160" t="s">
        <v>44</v>
      </c>
      <c r="U160" t="s">
        <v>107</v>
      </c>
      <c r="V160" t="s">
        <v>45</v>
      </c>
      <c r="W160">
        <v>0</v>
      </c>
      <c r="X160">
        <v>1</v>
      </c>
      <c r="Y160" s="2">
        <f>Table1[[#This Row],[premium_yearly]]*Table1[[#This Row],[tenure_years]]</f>
        <v>5745.2172</v>
      </c>
      <c r="Z160" s="2">
        <f>Table1[[#This Row],[total_collected_premiums]]*(1-$AD$2)</f>
        <v>4194.0085559999998</v>
      </c>
      <c r="AA160" s="2">
        <f>Table1[[#This Row],[retained_premium]]-Table1[[#This Row],[claim_amount_paid]]</f>
        <v>-3805.9914440000002</v>
      </c>
    </row>
    <row r="161" spans="1:27" x14ac:dyDescent="0.35">
      <c r="A161" t="s">
        <v>522</v>
      </c>
      <c r="B161" t="s">
        <v>523</v>
      </c>
      <c r="C161" t="s">
        <v>524</v>
      </c>
      <c r="D161" s="1">
        <v>41481</v>
      </c>
      <c r="E161" s="1">
        <v>44018</v>
      </c>
      <c r="F161" s="1">
        <v>44019</v>
      </c>
      <c r="G161">
        <v>1</v>
      </c>
      <c r="H161">
        <v>80.13</v>
      </c>
      <c r="I161">
        <v>961.56</v>
      </c>
      <c r="J161">
        <v>7000</v>
      </c>
      <c r="K161" t="s">
        <v>27</v>
      </c>
      <c r="L161">
        <v>7000</v>
      </c>
      <c r="M161">
        <v>8.75</v>
      </c>
      <c r="N161" t="s">
        <v>28</v>
      </c>
      <c r="O161">
        <v>105</v>
      </c>
      <c r="P161">
        <v>42</v>
      </c>
      <c r="Q161">
        <v>1</v>
      </c>
      <c r="R161">
        <v>2</v>
      </c>
      <c r="S161" t="s">
        <v>29</v>
      </c>
      <c r="T161" t="s">
        <v>30</v>
      </c>
      <c r="U161" t="s">
        <v>38</v>
      </c>
      <c r="V161" t="s">
        <v>39</v>
      </c>
      <c r="W161">
        <v>0</v>
      </c>
      <c r="X161">
        <v>1</v>
      </c>
      <c r="Y161" s="2">
        <f>Table1[[#This Row],[premium_yearly]]*Table1[[#This Row],[tenure_years]]</f>
        <v>8413.65</v>
      </c>
      <c r="Z161" s="2">
        <f>Table1[[#This Row],[total_collected_premiums]]*(1-$AD$2)</f>
        <v>6141.9644999999991</v>
      </c>
      <c r="AA161" s="2">
        <f>Table1[[#This Row],[retained_premium]]-Table1[[#This Row],[claim_amount_paid]]</f>
        <v>-858.03550000000087</v>
      </c>
    </row>
    <row r="162" spans="1:27" x14ac:dyDescent="0.35">
      <c r="A162" t="s">
        <v>525</v>
      </c>
      <c r="B162" t="s">
        <v>526</v>
      </c>
      <c r="C162" t="s">
        <v>527</v>
      </c>
      <c r="D162" s="1">
        <v>43216</v>
      </c>
      <c r="E162" s="1">
        <v>44016</v>
      </c>
      <c r="F162" s="1">
        <v>44018</v>
      </c>
      <c r="G162">
        <v>2</v>
      </c>
      <c r="H162">
        <v>125.61</v>
      </c>
      <c r="I162">
        <v>1507.32</v>
      </c>
      <c r="J162">
        <v>7000</v>
      </c>
      <c r="K162" t="s">
        <v>27</v>
      </c>
      <c r="L162">
        <v>7000</v>
      </c>
      <c r="M162">
        <v>7.17</v>
      </c>
      <c r="N162" t="s">
        <v>28</v>
      </c>
      <c r="O162">
        <v>86</v>
      </c>
      <c r="P162">
        <v>39</v>
      </c>
      <c r="Q162">
        <v>0</v>
      </c>
      <c r="R162">
        <v>6</v>
      </c>
      <c r="S162" t="s">
        <v>65</v>
      </c>
      <c r="T162" t="s">
        <v>44</v>
      </c>
      <c r="U162" t="s">
        <v>38</v>
      </c>
      <c r="V162" t="s">
        <v>45</v>
      </c>
      <c r="W162">
        <v>1</v>
      </c>
      <c r="X162">
        <v>0</v>
      </c>
      <c r="Y162" s="2">
        <f>Table1[[#This Row],[premium_yearly]]*Table1[[#This Row],[tenure_years]]</f>
        <v>10807.484399999999</v>
      </c>
      <c r="Z162" s="2">
        <f>Table1[[#This Row],[total_collected_premiums]]*(1-$AD$2)</f>
        <v>7889.4636119999996</v>
      </c>
      <c r="AA162" s="2">
        <f>Table1[[#This Row],[retained_premium]]-Table1[[#This Row],[claim_amount_paid]]</f>
        <v>889.46361199999956</v>
      </c>
    </row>
    <row r="163" spans="1:27" x14ac:dyDescent="0.35">
      <c r="A163" t="s">
        <v>528</v>
      </c>
      <c r="B163" t="s">
        <v>529</v>
      </c>
      <c r="C163" t="s">
        <v>530</v>
      </c>
      <c r="D163" s="1">
        <v>41624</v>
      </c>
      <c r="E163" s="1">
        <v>44056</v>
      </c>
      <c r="F163" s="1">
        <v>44059</v>
      </c>
      <c r="G163">
        <v>3</v>
      </c>
      <c r="H163">
        <v>107.14</v>
      </c>
      <c r="I163">
        <v>1285.68</v>
      </c>
      <c r="J163">
        <v>7000</v>
      </c>
      <c r="K163" t="s">
        <v>27</v>
      </c>
      <c r="L163">
        <v>7000</v>
      </c>
      <c r="M163">
        <v>1</v>
      </c>
      <c r="N163" t="s">
        <v>36</v>
      </c>
      <c r="O163">
        <v>12</v>
      </c>
      <c r="P163">
        <v>32</v>
      </c>
      <c r="Q163">
        <v>0</v>
      </c>
      <c r="R163">
        <v>7</v>
      </c>
      <c r="S163" t="s">
        <v>65</v>
      </c>
      <c r="T163" t="s">
        <v>44</v>
      </c>
      <c r="U163" t="s">
        <v>58</v>
      </c>
      <c r="V163" t="s">
        <v>32</v>
      </c>
      <c r="W163">
        <v>0</v>
      </c>
      <c r="X163">
        <v>1</v>
      </c>
      <c r="Y163" s="2">
        <f>Table1[[#This Row],[premium_yearly]]*Table1[[#This Row],[tenure_years]]</f>
        <v>1285.68</v>
      </c>
      <c r="Z163" s="2">
        <f>Table1[[#This Row],[total_collected_premiums]]*(1-$AD$2)</f>
        <v>938.54640000000006</v>
      </c>
      <c r="AA163" s="2">
        <f>Table1[[#This Row],[retained_premium]]-Table1[[#This Row],[claim_amount_paid]]</f>
        <v>-6061.4535999999998</v>
      </c>
    </row>
    <row r="164" spans="1:27" x14ac:dyDescent="0.35">
      <c r="A164" t="s">
        <v>531</v>
      </c>
      <c r="B164" t="s">
        <v>532</v>
      </c>
      <c r="C164" t="s">
        <v>533</v>
      </c>
      <c r="D164" s="1">
        <v>41761</v>
      </c>
      <c r="E164" s="1">
        <v>44002</v>
      </c>
      <c r="F164" s="1">
        <v>44007</v>
      </c>
      <c r="G164">
        <v>5</v>
      </c>
      <c r="H164">
        <v>98.48</v>
      </c>
      <c r="I164">
        <v>1181.76</v>
      </c>
      <c r="J164">
        <v>5000</v>
      </c>
      <c r="K164" t="s">
        <v>27</v>
      </c>
      <c r="L164">
        <v>5000</v>
      </c>
      <c r="M164">
        <v>4.58</v>
      </c>
      <c r="N164" t="s">
        <v>49</v>
      </c>
      <c r="O164">
        <v>55</v>
      </c>
      <c r="P164">
        <v>43</v>
      </c>
      <c r="Q164">
        <v>1</v>
      </c>
      <c r="R164">
        <v>5</v>
      </c>
      <c r="S164" t="s">
        <v>65</v>
      </c>
      <c r="T164" t="s">
        <v>30</v>
      </c>
      <c r="U164" t="s">
        <v>38</v>
      </c>
      <c r="V164" t="s">
        <v>45</v>
      </c>
      <c r="W164">
        <v>0</v>
      </c>
      <c r="X164">
        <v>1</v>
      </c>
      <c r="Y164" s="2">
        <f>Table1[[#This Row],[premium_yearly]]*Table1[[#This Row],[tenure_years]]</f>
        <v>5412.4607999999998</v>
      </c>
      <c r="Z164" s="2">
        <f>Table1[[#This Row],[total_collected_premiums]]*(1-$AD$2)</f>
        <v>3951.0963839999999</v>
      </c>
      <c r="AA164" s="2">
        <f>Table1[[#This Row],[retained_premium]]-Table1[[#This Row],[claim_amount_paid]]</f>
        <v>-1048.9036160000001</v>
      </c>
    </row>
    <row r="165" spans="1:27" x14ac:dyDescent="0.35">
      <c r="A165" t="s">
        <v>534</v>
      </c>
      <c r="B165" t="s">
        <v>535</v>
      </c>
      <c r="C165" t="s">
        <v>536</v>
      </c>
      <c r="D165" s="1">
        <v>40604</v>
      </c>
      <c r="E165" s="1">
        <v>44022</v>
      </c>
      <c r="F165" s="1">
        <v>44022</v>
      </c>
      <c r="G165">
        <v>0</v>
      </c>
      <c r="H165">
        <v>119.42</v>
      </c>
      <c r="I165">
        <v>1433.04</v>
      </c>
      <c r="J165">
        <v>10000</v>
      </c>
      <c r="K165" t="s">
        <v>27</v>
      </c>
      <c r="L165">
        <v>10000</v>
      </c>
      <c r="M165">
        <v>9</v>
      </c>
      <c r="N165" t="s">
        <v>28</v>
      </c>
      <c r="O165">
        <v>108</v>
      </c>
      <c r="P165">
        <v>61</v>
      </c>
      <c r="Q165">
        <v>0</v>
      </c>
      <c r="R165">
        <v>7</v>
      </c>
      <c r="S165" t="s">
        <v>37</v>
      </c>
      <c r="T165" t="s">
        <v>30</v>
      </c>
      <c r="U165" t="s">
        <v>51</v>
      </c>
      <c r="V165" t="s">
        <v>45</v>
      </c>
      <c r="W165">
        <v>1</v>
      </c>
      <c r="X165">
        <v>1</v>
      </c>
      <c r="Y165" s="2">
        <f>Table1[[#This Row],[premium_yearly]]*Table1[[#This Row],[tenure_years]]</f>
        <v>12897.36</v>
      </c>
      <c r="Z165" s="2">
        <f>Table1[[#This Row],[total_collected_premiums]]*(1-$AD$2)</f>
        <v>9415.0727999999999</v>
      </c>
      <c r="AA165" s="2">
        <f>Table1[[#This Row],[retained_premium]]-Table1[[#This Row],[claim_amount_paid]]</f>
        <v>-584.92720000000008</v>
      </c>
    </row>
    <row r="166" spans="1:27" x14ac:dyDescent="0.35">
      <c r="A166" t="s">
        <v>537</v>
      </c>
      <c r="B166" t="s">
        <v>538</v>
      </c>
      <c r="C166" t="s">
        <v>539</v>
      </c>
      <c r="D166" s="1">
        <v>41335</v>
      </c>
      <c r="E166" s="1">
        <v>44010</v>
      </c>
      <c r="F166" s="1">
        <v>44015</v>
      </c>
      <c r="G166">
        <v>5</v>
      </c>
      <c r="H166">
        <v>70.39</v>
      </c>
      <c r="I166">
        <v>844.68</v>
      </c>
      <c r="J166">
        <v>6000</v>
      </c>
      <c r="K166" t="s">
        <v>27</v>
      </c>
      <c r="L166">
        <v>6000</v>
      </c>
      <c r="M166">
        <v>5.33</v>
      </c>
      <c r="N166" t="s">
        <v>28</v>
      </c>
      <c r="O166">
        <v>64</v>
      </c>
      <c r="P166">
        <v>25</v>
      </c>
      <c r="Q166">
        <v>1</v>
      </c>
      <c r="R166">
        <v>7</v>
      </c>
      <c r="S166" t="s">
        <v>29</v>
      </c>
      <c r="T166" t="s">
        <v>50</v>
      </c>
      <c r="U166" t="s">
        <v>66</v>
      </c>
      <c r="V166" t="s">
        <v>39</v>
      </c>
      <c r="W166">
        <v>1</v>
      </c>
      <c r="X166">
        <v>1</v>
      </c>
      <c r="Y166" s="2">
        <f>Table1[[#This Row],[premium_yearly]]*Table1[[#This Row],[tenure_years]]</f>
        <v>4502.1444000000001</v>
      </c>
      <c r="Z166" s="2">
        <f>Table1[[#This Row],[total_collected_premiums]]*(1-$AD$2)</f>
        <v>3286.5654119999999</v>
      </c>
      <c r="AA166" s="2">
        <f>Table1[[#This Row],[retained_premium]]-Table1[[#This Row],[claim_amount_paid]]</f>
        <v>-2713.4345880000001</v>
      </c>
    </row>
    <row r="167" spans="1:27" x14ac:dyDescent="0.35">
      <c r="A167" t="s">
        <v>540</v>
      </c>
      <c r="B167" t="s">
        <v>541</v>
      </c>
      <c r="C167" t="s">
        <v>542</v>
      </c>
      <c r="D167" s="1">
        <v>43811</v>
      </c>
      <c r="E167" s="1">
        <v>44016</v>
      </c>
      <c r="F167" s="1">
        <v>44019</v>
      </c>
      <c r="G167">
        <v>3</v>
      </c>
      <c r="H167">
        <v>90.48</v>
      </c>
      <c r="I167">
        <v>1085.76</v>
      </c>
      <c r="J167">
        <v>2000</v>
      </c>
      <c r="K167" t="s">
        <v>27</v>
      </c>
      <c r="L167">
        <v>2000</v>
      </c>
      <c r="M167">
        <v>2.33</v>
      </c>
      <c r="N167" t="s">
        <v>28</v>
      </c>
      <c r="O167">
        <v>28</v>
      </c>
      <c r="P167">
        <v>44</v>
      </c>
      <c r="Q167">
        <v>0</v>
      </c>
      <c r="R167">
        <v>6</v>
      </c>
      <c r="S167" t="s">
        <v>29</v>
      </c>
      <c r="T167" t="s">
        <v>50</v>
      </c>
      <c r="U167" t="s">
        <v>31</v>
      </c>
      <c r="V167" t="s">
        <v>39</v>
      </c>
      <c r="W167">
        <v>0</v>
      </c>
      <c r="X167">
        <v>1</v>
      </c>
      <c r="Y167" s="2">
        <f>Table1[[#This Row],[premium_yearly]]*Table1[[#This Row],[tenure_years]]</f>
        <v>2529.8208</v>
      </c>
      <c r="Z167" s="2">
        <f>Table1[[#This Row],[total_collected_premiums]]*(1-$AD$2)</f>
        <v>1846.769184</v>
      </c>
      <c r="AA167" s="2">
        <f>Table1[[#This Row],[retained_premium]]-Table1[[#This Row],[claim_amount_paid]]</f>
        <v>-153.230816</v>
      </c>
    </row>
    <row r="168" spans="1:27" x14ac:dyDescent="0.35">
      <c r="A168" t="s">
        <v>543</v>
      </c>
      <c r="B168" t="s">
        <v>544</v>
      </c>
      <c r="C168" t="s">
        <v>545</v>
      </c>
      <c r="D168" s="1">
        <v>43818</v>
      </c>
      <c r="E168" s="1">
        <v>44009</v>
      </c>
      <c r="F168" s="1">
        <v>44014</v>
      </c>
      <c r="G168">
        <v>5</v>
      </c>
      <c r="H168">
        <v>75.06</v>
      </c>
      <c r="I168">
        <v>900.72</v>
      </c>
      <c r="J168">
        <v>4000</v>
      </c>
      <c r="K168" t="s">
        <v>27</v>
      </c>
      <c r="L168">
        <v>4000</v>
      </c>
      <c r="M168">
        <v>0.92</v>
      </c>
      <c r="N168" t="s">
        <v>28</v>
      </c>
      <c r="O168">
        <v>11</v>
      </c>
      <c r="P168">
        <v>45</v>
      </c>
      <c r="Q168">
        <v>0</v>
      </c>
      <c r="R168">
        <v>6</v>
      </c>
      <c r="S168" t="s">
        <v>37</v>
      </c>
      <c r="T168" t="s">
        <v>30</v>
      </c>
      <c r="U168" t="s">
        <v>38</v>
      </c>
      <c r="V168" t="s">
        <v>39</v>
      </c>
      <c r="W168">
        <v>1</v>
      </c>
      <c r="X168">
        <v>1</v>
      </c>
      <c r="Y168" s="2">
        <f>Table1[[#This Row],[premium_yearly]]*Table1[[#This Row],[tenure_years]]</f>
        <v>828.66240000000005</v>
      </c>
      <c r="Z168" s="2">
        <f>Table1[[#This Row],[total_collected_premiums]]*(1-$AD$2)</f>
        <v>604.92355199999997</v>
      </c>
      <c r="AA168" s="2">
        <f>Table1[[#This Row],[retained_premium]]-Table1[[#This Row],[claim_amount_paid]]</f>
        <v>-3395.0764479999998</v>
      </c>
    </row>
    <row r="169" spans="1:27" x14ac:dyDescent="0.35">
      <c r="A169" t="s">
        <v>546</v>
      </c>
      <c r="B169" t="s">
        <v>547</v>
      </c>
      <c r="C169" t="s">
        <v>548</v>
      </c>
      <c r="D169" s="1">
        <v>43119</v>
      </c>
      <c r="E169" s="1">
        <v>44023</v>
      </c>
      <c r="F169" s="1">
        <v>44023</v>
      </c>
      <c r="G169">
        <v>0</v>
      </c>
      <c r="H169">
        <v>105.16</v>
      </c>
      <c r="I169">
        <v>1261.92</v>
      </c>
      <c r="J169">
        <v>1000</v>
      </c>
      <c r="K169" t="s">
        <v>27</v>
      </c>
      <c r="L169">
        <v>1000</v>
      </c>
      <c r="M169">
        <v>1.58</v>
      </c>
      <c r="N169" t="s">
        <v>36</v>
      </c>
      <c r="O169">
        <v>19</v>
      </c>
      <c r="P169">
        <v>38</v>
      </c>
      <c r="Q169">
        <v>0</v>
      </c>
      <c r="R169">
        <v>2</v>
      </c>
      <c r="S169" t="s">
        <v>37</v>
      </c>
      <c r="T169" t="s">
        <v>50</v>
      </c>
      <c r="U169" t="s">
        <v>58</v>
      </c>
      <c r="V169" t="s">
        <v>39</v>
      </c>
      <c r="W169">
        <v>1</v>
      </c>
      <c r="X169">
        <v>1</v>
      </c>
      <c r="Y169" s="2">
        <f>Table1[[#This Row],[premium_yearly]]*Table1[[#This Row],[tenure_years]]</f>
        <v>1993.8336000000002</v>
      </c>
      <c r="Z169" s="2">
        <f>Table1[[#This Row],[total_collected_premiums]]*(1-$AD$2)</f>
        <v>1455.4985280000001</v>
      </c>
      <c r="AA169" s="2">
        <f>Table1[[#This Row],[retained_premium]]-Table1[[#This Row],[claim_amount_paid]]</f>
        <v>455.49852800000008</v>
      </c>
    </row>
    <row r="170" spans="1:27" x14ac:dyDescent="0.35">
      <c r="A170" t="s">
        <v>549</v>
      </c>
      <c r="B170" t="s">
        <v>550</v>
      </c>
      <c r="C170" t="s">
        <v>551</v>
      </c>
      <c r="D170" s="1">
        <v>43559</v>
      </c>
      <c r="E170" s="1">
        <v>44022</v>
      </c>
      <c r="F170" s="1">
        <v>44022</v>
      </c>
      <c r="G170">
        <v>0</v>
      </c>
      <c r="H170">
        <v>137.91</v>
      </c>
      <c r="I170">
        <v>1654.92</v>
      </c>
      <c r="J170">
        <v>1000</v>
      </c>
      <c r="K170" t="s">
        <v>27</v>
      </c>
      <c r="L170">
        <v>1000</v>
      </c>
      <c r="M170">
        <v>7.67</v>
      </c>
      <c r="N170" t="s">
        <v>49</v>
      </c>
      <c r="O170">
        <v>92</v>
      </c>
      <c r="P170">
        <v>58</v>
      </c>
      <c r="Q170">
        <v>1</v>
      </c>
      <c r="R170">
        <v>5</v>
      </c>
      <c r="S170" t="s">
        <v>65</v>
      </c>
      <c r="T170" t="s">
        <v>44</v>
      </c>
      <c r="U170" t="s">
        <v>31</v>
      </c>
      <c r="V170" t="s">
        <v>39</v>
      </c>
      <c r="W170">
        <v>1</v>
      </c>
      <c r="X170">
        <v>1</v>
      </c>
      <c r="Y170" s="2">
        <f>Table1[[#This Row],[premium_yearly]]*Table1[[#This Row],[tenure_years]]</f>
        <v>12693.2364</v>
      </c>
      <c r="Z170" s="2">
        <f>Table1[[#This Row],[total_collected_premiums]]*(1-$AD$2)</f>
        <v>9266.0625719999989</v>
      </c>
      <c r="AA170" s="2">
        <f>Table1[[#This Row],[retained_premium]]-Table1[[#This Row],[claim_amount_paid]]</f>
        <v>8266.0625719999989</v>
      </c>
    </row>
    <row r="171" spans="1:27" x14ac:dyDescent="0.35">
      <c r="A171" t="s">
        <v>552</v>
      </c>
      <c r="B171" t="s">
        <v>553</v>
      </c>
      <c r="C171" t="s">
        <v>554</v>
      </c>
      <c r="D171" s="1">
        <v>41046</v>
      </c>
      <c r="E171" s="1">
        <v>44006</v>
      </c>
      <c r="F171" s="1">
        <v>44011</v>
      </c>
      <c r="G171">
        <v>5</v>
      </c>
      <c r="H171">
        <v>93.27</v>
      </c>
      <c r="I171">
        <v>1119.24</v>
      </c>
      <c r="J171">
        <v>2000</v>
      </c>
      <c r="K171" t="s">
        <v>27</v>
      </c>
      <c r="L171">
        <v>2000</v>
      </c>
      <c r="M171">
        <v>9.25</v>
      </c>
      <c r="N171" t="s">
        <v>36</v>
      </c>
      <c r="O171">
        <v>111</v>
      </c>
      <c r="P171">
        <v>48</v>
      </c>
      <c r="Q171">
        <v>1</v>
      </c>
      <c r="R171">
        <v>7</v>
      </c>
      <c r="S171" t="s">
        <v>37</v>
      </c>
      <c r="T171" t="s">
        <v>44</v>
      </c>
      <c r="U171" t="s">
        <v>31</v>
      </c>
      <c r="V171" t="s">
        <v>39</v>
      </c>
      <c r="W171">
        <v>1</v>
      </c>
      <c r="X171">
        <v>1</v>
      </c>
      <c r="Y171" s="2">
        <f>Table1[[#This Row],[premium_yearly]]*Table1[[#This Row],[tenure_years]]</f>
        <v>10352.969999999999</v>
      </c>
      <c r="Z171" s="2">
        <f>Table1[[#This Row],[total_collected_premiums]]*(1-$AD$2)</f>
        <v>7557.668099999999</v>
      </c>
      <c r="AA171" s="2">
        <f>Table1[[#This Row],[retained_premium]]-Table1[[#This Row],[claim_amount_paid]]</f>
        <v>5557.668099999999</v>
      </c>
    </row>
    <row r="172" spans="1:27" x14ac:dyDescent="0.35">
      <c r="A172" t="s">
        <v>555</v>
      </c>
      <c r="B172" t="s">
        <v>556</v>
      </c>
      <c r="C172" t="s">
        <v>557</v>
      </c>
      <c r="D172" s="1">
        <v>42790</v>
      </c>
      <c r="E172" s="1">
        <v>44016</v>
      </c>
      <c r="F172" s="1">
        <v>44019</v>
      </c>
      <c r="G172">
        <v>3</v>
      </c>
      <c r="H172">
        <v>74.2</v>
      </c>
      <c r="I172">
        <v>890.4</v>
      </c>
      <c r="J172">
        <v>1000</v>
      </c>
      <c r="K172" t="s">
        <v>27</v>
      </c>
      <c r="L172">
        <v>1000</v>
      </c>
      <c r="M172">
        <v>5.67</v>
      </c>
      <c r="N172" t="s">
        <v>36</v>
      </c>
      <c r="O172">
        <v>68</v>
      </c>
      <c r="P172">
        <v>29</v>
      </c>
      <c r="Q172">
        <v>1</v>
      </c>
      <c r="R172">
        <v>7</v>
      </c>
      <c r="S172" t="s">
        <v>37</v>
      </c>
      <c r="T172" t="s">
        <v>30</v>
      </c>
      <c r="U172" t="s">
        <v>88</v>
      </c>
      <c r="V172" t="s">
        <v>45</v>
      </c>
      <c r="W172">
        <v>0</v>
      </c>
      <c r="X172">
        <v>1</v>
      </c>
      <c r="Y172" s="2">
        <f>Table1[[#This Row],[premium_yearly]]*Table1[[#This Row],[tenure_years]]</f>
        <v>5048.5680000000002</v>
      </c>
      <c r="Z172" s="2">
        <f>Table1[[#This Row],[total_collected_premiums]]*(1-$AD$2)</f>
        <v>3685.4546399999999</v>
      </c>
      <c r="AA172" s="2">
        <f>Table1[[#This Row],[retained_premium]]-Table1[[#This Row],[claim_amount_paid]]</f>
        <v>2685.4546399999999</v>
      </c>
    </row>
    <row r="173" spans="1:27" x14ac:dyDescent="0.35">
      <c r="A173" t="s">
        <v>558</v>
      </c>
      <c r="B173" t="s">
        <v>559</v>
      </c>
      <c r="C173" t="s">
        <v>560</v>
      </c>
      <c r="D173" s="1">
        <v>40830</v>
      </c>
      <c r="E173" s="1">
        <v>44013</v>
      </c>
      <c r="F173" s="1">
        <v>44018</v>
      </c>
      <c r="G173">
        <v>5</v>
      </c>
      <c r="H173">
        <v>137.32</v>
      </c>
      <c r="I173">
        <v>1647.84</v>
      </c>
      <c r="J173">
        <v>8000</v>
      </c>
      <c r="K173" t="s">
        <v>27</v>
      </c>
      <c r="L173">
        <v>8000</v>
      </c>
      <c r="M173">
        <v>3.08</v>
      </c>
      <c r="N173" t="s">
        <v>36</v>
      </c>
      <c r="O173">
        <v>37</v>
      </c>
      <c r="P173">
        <v>56</v>
      </c>
      <c r="Q173">
        <v>1</v>
      </c>
      <c r="R173">
        <v>3</v>
      </c>
      <c r="S173" t="s">
        <v>29</v>
      </c>
      <c r="T173" t="s">
        <v>50</v>
      </c>
      <c r="U173" t="s">
        <v>31</v>
      </c>
      <c r="V173" t="s">
        <v>39</v>
      </c>
      <c r="W173">
        <v>1</v>
      </c>
      <c r="X173">
        <v>1</v>
      </c>
      <c r="Y173" s="2">
        <f>Table1[[#This Row],[premium_yearly]]*Table1[[#This Row],[tenure_years]]</f>
        <v>5075.3472000000002</v>
      </c>
      <c r="Z173" s="2">
        <f>Table1[[#This Row],[total_collected_premiums]]*(1-$AD$2)</f>
        <v>3705.0034559999999</v>
      </c>
      <c r="AA173" s="2">
        <f>Table1[[#This Row],[retained_premium]]-Table1[[#This Row],[claim_amount_paid]]</f>
        <v>-4294.9965439999996</v>
      </c>
    </row>
    <row r="174" spans="1:27" x14ac:dyDescent="0.35">
      <c r="A174" t="s">
        <v>561</v>
      </c>
      <c r="B174" t="s">
        <v>562</v>
      </c>
      <c r="C174" t="s">
        <v>563</v>
      </c>
      <c r="D174" s="1">
        <v>43424</v>
      </c>
      <c r="E174" s="1">
        <v>44010</v>
      </c>
      <c r="F174" s="1">
        <v>44015</v>
      </c>
      <c r="G174">
        <v>5</v>
      </c>
      <c r="H174">
        <v>93.67</v>
      </c>
      <c r="I174">
        <v>1124.04</v>
      </c>
      <c r="J174">
        <v>3000</v>
      </c>
      <c r="K174" t="s">
        <v>27</v>
      </c>
      <c r="L174">
        <v>3000</v>
      </c>
      <c r="M174">
        <v>5.92</v>
      </c>
      <c r="N174" t="s">
        <v>49</v>
      </c>
      <c r="O174">
        <v>71</v>
      </c>
      <c r="P174">
        <v>38</v>
      </c>
      <c r="Q174">
        <v>0</v>
      </c>
      <c r="R174">
        <v>3</v>
      </c>
      <c r="S174" t="s">
        <v>29</v>
      </c>
      <c r="T174" t="s">
        <v>44</v>
      </c>
      <c r="U174" t="s">
        <v>107</v>
      </c>
      <c r="V174" t="s">
        <v>39</v>
      </c>
      <c r="W174">
        <v>1</v>
      </c>
      <c r="X174">
        <v>1</v>
      </c>
      <c r="Y174" s="2">
        <f>Table1[[#This Row],[premium_yearly]]*Table1[[#This Row],[tenure_years]]</f>
        <v>6654.3167999999996</v>
      </c>
      <c r="Z174" s="2">
        <f>Table1[[#This Row],[total_collected_premiums]]*(1-$AD$2)</f>
        <v>4857.6512639999992</v>
      </c>
      <c r="AA174" s="2">
        <f>Table1[[#This Row],[retained_premium]]-Table1[[#This Row],[claim_amount_paid]]</f>
        <v>1857.6512639999992</v>
      </c>
    </row>
    <row r="175" spans="1:27" x14ac:dyDescent="0.35">
      <c r="A175" t="s">
        <v>564</v>
      </c>
      <c r="B175" t="s">
        <v>565</v>
      </c>
      <c r="C175" t="s">
        <v>566</v>
      </c>
      <c r="D175" s="1">
        <v>42117</v>
      </c>
      <c r="E175" s="1">
        <v>44023</v>
      </c>
      <c r="F175" s="1">
        <v>44023</v>
      </c>
      <c r="G175">
        <v>0</v>
      </c>
      <c r="H175">
        <v>138.36000000000001</v>
      </c>
      <c r="I175">
        <v>1660.32</v>
      </c>
      <c r="J175">
        <v>9000</v>
      </c>
      <c r="K175" t="s">
        <v>27</v>
      </c>
      <c r="L175">
        <v>9000</v>
      </c>
      <c r="M175">
        <v>7.17</v>
      </c>
      <c r="N175" t="s">
        <v>36</v>
      </c>
      <c r="O175">
        <v>86</v>
      </c>
      <c r="P175">
        <v>55</v>
      </c>
      <c r="Q175">
        <v>1</v>
      </c>
      <c r="R175">
        <v>5</v>
      </c>
      <c r="S175" t="s">
        <v>65</v>
      </c>
      <c r="T175" t="s">
        <v>30</v>
      </c>
      <c r="U175" t="s">
        <v>38</v>
      </c>
      <c r="V175" t="s">
        <v>39</v>
      </c>
      <c r="W175">
        <v>0</v>
      </c>
      <c r="X175">
        <v>1</v>
      </c>
      <c r="Y175" s="2">
        <f>Table1[[#This Row],[premium_yearly]]*Table1[[#This Row],[tenure_years]]</f>
        <v>11904.4944</v>
      </c>
      <c r="Z175" s="2">
        <f>Table1[[#This Row],[total_collected_premiums]]*(1-$AD$2)</f>
        <v>8690.2809120000002</v>
      </c>
      <c r="AA175" s="2">
        <f>Table1[[#This Row],[retained_premium]]-Table1[[#This Row],[claim_amount_paid]]</f>
        <v>-309.71908799999983</v>
      </c>
    </row>
    <row r="176" spans="1:27" x14ac:dyDescent="0.35">
      <c r="A176" t="s">
        <v>567</v>
      </c>
      <c r="B176" t="s">
        <v>568</v>
      </c>
      <c r="C176" t="s">
        <v>569</v>
      </c>
      <c r="D176" s="1">
        <v>43674</v>
      </c>
      <c r="E176" s="1">
        <v>44013</v>
      </c>
      <c r="F176" s="1">
        <v>44018</v>
      </c>
      <c r="G176">
        <v>5</v>
      </c>
      <c r="H176">
        <v>103.56</v>
      </c>
      <c r="I176">
        <v>1242.72</v>
      </c>
      <c r="J176">
        <v>7000</v>
      </c>
      <c r="K176" t="s">
        <v>27</v>
      </c>
      <c r="L176">
        <v>7000</v>
      </c>
      <c r="M176">
        <v>9.92</v>
      </c>
      <c r="N176" t="s">
        <v>28</v>
      </c>
      <c r="O176">
        <v>119</v>
      </c>
      <c r="P176">
        <v>57</v>
      </c>
      <c r="Q176">
        <v>1</v>
      </c>
      <c r="R176">
        <v>6</v>
      </c>
      <c r="S176" t="s">
        <v>65</v>
      </c>
      <c r="T176" t="s">
        <v>30</v>
      </c>
      <c r="U176" t="s">
        <v>38</v>
      </c>
      <c r="V176" t="s">
        <v>39</v>
      </c>
      <c r="W176">
        <v>1</v>
      </c>
      <c r="X176">
        <v>0</v>
      </c>
      <c r="Y176" s="2">
        <f>Table1[[#This Row],[premium_yearly]]*Table1[[#This Row],[tenure_years]]</f>
        <v>12327.7824</v>
      </c>
      <c r="Z176" s="2">
        <f>Table1[[#This Row],[total_collected_premiums]]*(1-$AD$2)</f>
        <v>8999.2811519999996</v>
      </c>
      <c r="AA176" s="2">
        <f>Table1[[#This Row],[retained_premium]]-Table1[[#This Row],[claim_amount_paid]]</f>
        <v>1999.2811519999996</v>
      </c>
    </row>
    <row r="177" spans="1:27" x14ac:dyDescent="0.35">
      <c r="A177" t="s">
        <v>570</v>
      </c>
      <c r="B177" t="s">
        <v>571</v>
      </c>
      <c r="C177" t="s">
        <v>572</v>
      </c>
      <c r="D177" s="1">
        <v>42294</v>
      </c>
      <c r="E177" s="1">
        <v>44006</v>
      </c>
      <c r="F177" s="1">
        <v>44011</v>
      </c>
      <c r="G177">
        <v>5</v>
      </c>
      <c r="H177">
        <v>71.2</v>
      </c>
      <c r="I177">
        <v>854.4</v>
      </c>
      <c r="J177">
        <v>2000</v>
      </c>
      <c r="K177" t="s">
        <v>27</v>
      </c>
      <c r="L177">
        <v>2000</v>
      </c>
      <c r="M177">
        <v>3.17</v>
      </c>
      <c r="N177" t="s">
        <v>36</v>
      </c>
      <c r="O177">
        <v>38</v>
      </c>
      <c r="P177">
        <v>49</v>
      </c>
      <c r="Q177">
        <v>1</v>
      </c>
      <c r="R177">
        <v>4</v>
      </c>
      <c r="S177" t="s">
        <v>65</v>
      </c>
      <c r="T177" t="s">
        <v>30</v>
      </c>
      <c r="U177" t="s">
        <v>31</v>
      </c>
      <c r="V177" t="s">
        <v>45</v>
      </c>
      <c r="W177">
        <v>1</v>
      </c>
      <c r="X177">
        <v>1</v>
      </c>
      <c r="Y177" s="2">
        <f>Table1[[#This Row],[premium_yearly]]*Table1[[#This Row],[tenure_years]]</f>
        <v>2708.4479999999999</v>
      </c>
      <c r="Z177" s="2">
        <f>Table1[[#This Row],[total_collected_premiums]]*(1-$AD$2)</f>
        <v>1977.1670399999998</v>
      </c>
      <c r="AA177" s="2">
        <f>Table1[[#This Row],[retained_premium]]-Table1[[#This Row],[claim_amount_paid]]</f>
        <v>-22.832960000000185</v>
      </c>
    </row>
    <row r="178" spans="1:27" x14ac:dyDescent="0.35">
      <c r="A178" t="s">
        <v>573</v>
      </c>
      <c r="B178" t="s">
        <v>574</v>
      </c>
      <c r="C178" t="s">
        <v>575</v>
      </c>
      <c r="D178" s="1">
        <v>40961</v>
      </c>
      <c r="E178" s="1">
        <v>44025</v>
      </c>
      <c r="F178" s="1">
        <v>44025</v>
      </c>
      <c r="G178">
        <v>0</v>
      </c>
      <c r="H178">
        <v>85.09</v>
      </c>
      <c r="I178">
        <v>1021.08</v>
      </c>
      <c r="J178">
        <v>5000</v>
      </c>
      <c r="K178" t="s">
        <v>27</v>
      </c>
      <c r="L178">
        <v>5000</v>
      </c>
      <c r="M178">
        <v>0.67</v>
      </c>
      <c r="N178" t="s">
        <v>49</v>
      </c>
      <c r="O178">
        <v>8</v>
      </c>
      <c r="P178">
        <v>51</v>
      </c>
      <c r="Q178">
        <v>0</v>
      </c>
      <c r="R178">
        <v>7</v>
      </c>
      <c r="S178" t="s">
        <v>29</v>
      </c>
      <c r="T178" t="s">
        <v>44</v>
      </c>
      <c r="U178" t="s">
        <v>58</v>
      </c>
      <c r="V178" t="s">
        <v>39</v>
      </c>
      <c r="W178">
        <v>0</v>
      </c>
      <c r="X178">
        <v>1</v>
      </c>
      <c r="Y178" s="2">
        <f>Table1[[#This Row],[premium_yearly]]*Table1[[#This Row],[tenure_years]]</f>
        <v>684.12360000000012</v>
      </c>
      <c r="Z178" s="2">
        <f>Table1[[#This Row],[total_collected_premiums]]*(1-$AD$2)</f>
        <v>499.41022800000007</v>
      </c>
      <c r="AA178" s="2">
        <f>Table1[[#This Row],[retained_premium]]-Table1[[#This Row],[claim_amount_paid]]</f>
        <v>-4500.5897720000003</v>
      </c>
    </row>
    <row r="179" spans="1:27" x14ac:dyDescent="0.35">
      <c r="A179" t="s">
        <v>576</v>
      </c>
      <c r="B179" t="s">
        <v>577</v>
      </c>
      <c r="C179" t="s">
        <v>578</v>
      </c>
      <c r="D179" s="1">
        <v>40369</v>
      </c>
      <c r="E179" s="1">
        <v>44009</v>
      </c>
      <c r="F179" s="1">
        <v>44014</v>
      </c>
      <c r="G179">
        <v>5</v>
      </c>
      <c r="H179">
        <v>127.86</v>
      </c>
      <c r="I179">
        <v>1534.32</v>
      </c>
      <c r="J179">
        <v>5000</v>
      </c>
      <c r="K179" t="s">
        <v>27</v>
      </c>
      <c r="L179">
        <v>5000</v>
      </c>
      <c r="M179">
        <v>2.42</v>
      </c>
      <c r="N179" t="s">
        <v>36</v>
      </c>
      <c r="O179">
        <v>29</v>
      </c>
      <c r="P179">
        <v>27</v>
      </c>
      <c r="Q179">
        <v>1</v>
      </c>
      <c r="R179">
        <v>5</v>
      </c>
      <c r="S179" t="s">
        <v>29</v>
      </c>
      <c r="T179" t="s">
        <v>50</v>
      </c>
      <c r="U179" t="s">
        <v>88</v>
      </c>
      <c r="V179" t="s">
        <v>45</v>
      </c>
      <c r="W179">
        <v>0</v>
      </c>
      <c r="X179">
        <v>0</v>
      </c>
      <c r="Y179" s="2">
        <f>Table1[[#This Row],[premium_yearly]]*Table1[[#This Row],[tenure_years]]</f>
        <v>3713.0543999999995</v>
      </c>
      <c r="Z179" s="2">
        <f>Table1[[#This Row],[total_collected_premiums]]*(1-$AD$2)</f>
        <v>2710.5297119999996</v>
      </c>
      <c r="AA179" s="2">
        <f>Table1[[#This Row],[retained_premium]]-Table1[[#This Row],[claim_amount_paid]]</f>
        <v>-2289.4702880000004</v>
      </c>
    </row>
    <row r="180" spans="1:27" x14ac:dyDescent="0.35">
      <c r="A180" t="s">
        <v>579</v>
      </c>
      <c r="B180" t="s">
        <v>580</v>
      </c>
      <c r="C180" t="s">
        <v>581</v>
      </c>
      <c r="D180" s="1">
        <v>40526</v>
      </c>
      <c r="E180" s="1">
        <v>44008</v>
      </c>
      <c r="F180" s="1">
        <v>44013</v>
      </c>
      <c r="G180">
        <v>5</v>
      </c>
      <c r="H180">
        <v>134.41999999999999</v>
      </c>
      <c r="I180">
        <v>1613.04</v>
      </c>
      <c r="J180">
        <v>10000</v>
      </c>
      <c r="K180" t="s">
        <v>27</v>
      </c>
      <c r="L180">
        <v>10000</v>
      </c>
      <c r="M180">
        <v>9.08</v>
      </c>
      <c r="N180" t="s">
        <v>49</v>
      </c>
      <c r="O180">
        <v>109</v>
      </c>
      <c r="P180">
        <v>63</v>
      </c>
      <c r="Q180">
        <v>0</v>
      </c>
      <c r="R180">
        <v>2</v>
      </c>
      <c r="S180" t="s">
        <v>29</v>
      </c>
      <c r="T180" t="s">
        <v>30</v>
      </c>
      <c r="U180" t="s">
        <v>38</v>
      </c>
      <c r="V180" t="s">
        <v>45</v>
      </c>
      <c r="W180">
        <v>1</v>
      </c>
      <c r="X180">
        <v>0</v>
      </c>
      <c r="Y180" s="2">
        <f>Table1[[#This Row],[premium_yearly]]*Table1[[#This Row],[tenure_years]]</f>
        <v>14646.403200000001</v>
      </c>
      <c r="Z180" s="2">
        <f>Table1[[#This Row],[total_collected_premiums]]*(1-$AD$2)</f>
        <v>10691.874336000001</v>
      </c>
      <c r="AA180" s="2">
        <f>Table1[[#This Row],[retained_premium]]-Table1[[#This Row],[claim_amount_paid]]</f>
        <v>691.87433600000077</v>
      </c>
    </row>
    <row r="181" spans="1:27" x14ac:dyDescent="0.35">
      <c r="A181" t="s">
        <v>582</v>
      </c>
      <c r="B181" t="s">
        <v>583</v>
      </c>
      <c r="C181" t="s">
        <v>584</v>
      </c>
      <c r="D181" s="1">
        <v>40331</v>
      </c>
      <c r="E181" s="1">
        <v>44012</v>
      </c>
      <c r="F181" s="1">
        <v>44017</v>
      </c>
      <c r="G181">
        <v>5</v>
      </c>
      <c r="H181">
        <v>103.97</v>
      </c>
      <c r="I181">
        <v>1247.6400000000001</v>
      </c>
      <c r="J181">
        <v>9000</v>
      </c>
      <c r="K181" t="s">
        <v>27</v>
      </c>
      <c r="L181">
        <v>9000</v>
      </c>
      <c r="M181">
        <v>1.67</v>
      </c>
      <c r="N181" t="s">
        <v>36</v>
      </c>
      <c r="O181">
        <v>20</v>
      </c>
      <c r="P181">
        <v>50</v>
      </c>
      <c r="Q181">
        <v>0</v>
      </c>
      <c r="R181">
        <v>3</v>
      </c>
      <c r="S181" t="s">
        <v>29</v>
      </c>
      <c r="T181" t="s">
        <v>30</v>
      </c>
      <c r="U181" t="s">
        <v>38</v>
      </c>
      <c r="V181" t="s">
        <v>39</v>
      </c>
      <c r="W181">
        <v>1</v>
      </c>
      <c r="X181">
        <v>1</v>
      </c>
      <c r="Y181" s="2">
        <f>Table1[[#This Row],[premium_yearly]]*Table1[[#This Row],[tenure_years]]</f>
        <v>2083.5588000000002</v>
      </c>
      <c r="Z181" s="2">
        <f>Table1[[#This Row],[total_collected_premiums]]*(1-$AD$2)</f>
        <v>1520.9979240000002</v>
      </c>
      <c r="AA181" s="2">
        <f>Table1[[#This Row],[retained_premium]]-Table1[[#This Row],[claim_amount_paid]]</f>
        <v>-7479.0020759999998</v>
      </c>
    </row>
    <row r="182" spans="1:27" x14ac:dyDescent="0.35">
      <c r="A182" t="s">
        <v>585</v>
      </c>
      <c r="B182" t="s">
        <v>586</v>
      </c>
      <c r="C182" t="s">
        <v>587</v>
      </c>
      <c r="D182" s="1">
        <v>40716</v>
      </c>
      <c r="E182" s="1">
        <v>44021</v>
      </c>
      <c r="F182" s="1">
        <v>44023</v>
      </c>
      <c r="G182">
        <v>2</v>
      </c>
      <c r="H182">
        <v>114.16</v>
      </c>
      <c r="I182">
        <v>1369.92</v>
      </c>
      <c r="J182">
        <v>8000</v>
      </c>
      <c r="K182" t="s">
        <v>27</v>
      </c>
      <c r="L182">
        <v>8000</v>
      </c>
      <c r="M182">
        <v>9.67</v>
      </c>
      <c r="N182" t="s">
        <v>49</v>
      </c>
      <c r="O182">
        <v>116</v>
      </c>
      <c r="P182">
        <v>61</v>
      </c>
      <c r="Q182">
        <v>0</v>
      </c>
      <c r="R182">
        <v>2</v>
      </c>
      <c r="S182" t="s">
        <v>65</v>
      </c>
      <c r="T182" t="s">
        <v>30</v>
      </c>
      <c r="U182" t="s">
        <v>38</v>
      </c>
      <c r="V182" t="s">
        <v>32</v>
      </c>
      <c r="W182">
        <v>0</v>
      </c>
      <c r="X182">
        <v>0</v>
      </c>
      <c r="Y182" s="2">
        <f>Table1[[#This Row],[premium_yearly]]*Table1[[#This Row],[tenure_years]]</f>
        <v>13247.126400000001</v>
      </c>
      <c r="Z182" s="2">
        <f>Table1[[#This Row],[total_collected_premiums]]*(1-$AD$2)</f>
        <v>9670.4022720000012</v>
      </c>
      <c r="AA182" s="2">
        <f>Table1[[#This Row],[retained_premium]]-Table1[[#This Row],[claim_amount_paid]]</f>
        <v>1670.4022720000012</v>
      </c>
    </row>
    <row r="183" spans="1:27" x14ac:dyDescent="0.35">
      <c r="A183" t="s">
        <v>588</v>
      </c>
      <c r="B183" t="s">
        <v>589</v>
      </c>
      <c r="C183" t="s">
        <v>590</v>
      </c>
      <c r="D183" s="1">
        <v>41115</v>
      </c>
      <c r="E183" s="1">
        <v>44010</v>
      </c>
      <c r="F183" s="1">
        <v>44015</v>
      </c>
      <c r="G183">
        <v>5</v>
      </c>
      <c r="H183">
        <v>138.08000000000001</v>
      </c>
      <c r="I183">
        <v>1656.96</v>
      </c>
      <c r="J183">
        <v>2000</v>
      </c>
      <c r="K183" t="s">
        <v>27</v>
      </c>
      <c r="L183">
        <v>2000</v>
      </c>
      <c r="M183">
        <v>6.83</v>
      </c>
      <c r="N183" t="s">
        <v>36</v>
      </c>
      <c r="O183">
        <v>82</v>
      </c>
      <c r="P183">
        <v>35</v>
      </c>
      <c r="Q183">
        <v>1</v>
      </c>
      <c r="R183">
        <v>2</v>
      </c>
      <c r="S183" t="s">
        <v>29</v>
      </c>
      <c r="T183" t="s">
        <v>44</v>
      </c>
      <c r="U183" t="s">
        <v>38</v>
      </c>
      <c r="V183" t="s">
        <v>32</v>
      </c>
      <c r="W183">
        <v>1</v>
      </c>
      <c r="X183">
        <v>1</v>
      </c>
      <c r="Y183" s="2">
        <f>Table1[[#This Row],[premium_yearly]]*Table1[[#This Row],[tenure_years]]</f>
        <v>11317.0368</v>
      </c>
      <c r="Z183" s="2">
        <f>Table1[[#This Row],[total_collected_premiums]]*(1-$AD$2)</f>
        <v>8261.4368639999993</v>
      </c>
      <c r="AA183" s="2">
        <f>Table1[[#This Row],[retained_premium]]-Table1[[#This Row],[claim_amount_paid]]</f>
        <v>6261.4368639999993</v>
      </c>
    </row>
    <row r="184" spans="1:27" x14ac:dyDescent="0.35">
      <c r="A184" t="s">
        <v>591</v>
      </c>
      <c r="B184" t="s">
        <v>592</v>
      </c>
      <c r="C184" t="s">
        <v>593</v>
      </c>
      <c r="D184" s="1">
        <v>42627</v>
      </c>
      <c r="E184" s="1">
        <v>44026</v>
      </c>
      <c r="F184" s="1">
        <v>44026</v>
      </c>
      <c r="G184">
        <v>0</v>
      </c>
      <c r="H184">
        <v>113.54</v>
      </c>
      <c r="I184">
        <v>1362.48</v>
      </c>
      <c r="J184">
        <v>10000</v>
      </c>
      <c r="K184" t="s">
        <v>27</v>
      </c>
      <c r="L184">
        <v>10000</v>
      </c>
      <c r="M184">
        <v>0.67</v>
      </c>
      <c r="N184" t="s">
        <v>36</v>
      </c>
      <c r="O184">
        <v>8</v>
      </c>
      <c r="P184">
        <v>60</v>
      </c>
      <c r="Q184">
        <v>1</v>
      </c>
      <c r="R184">
        <v>7</v>
      </c>
      <c r="S184" t="s">
        <v>65</v>
      </c>
      <c r="T184" t="s">
        <v>44</v>
      </c>
      <c r="U184" t="s">
        <v>38</v>
      </c>
      <c r="V184" t="s">
        <v>32</v>
      </c>
      <c r="W184">
        <v>1</v>
      </c>
      <c r="X184">
        <v>1</v>
      </c>
      <c r="Y184" s="2">
        <f>Table1[[#This Row],[premium_yearly]]*Table1[[#This Row],[tenure_years]]</f>
        <v>912.86160000000007</v>
      </c>
      <c r="Z184" s="2">
        <f>Table1[[#This Row],[total_collected_premiums]]*(1-$AD$2)</f>
        <v>666.38896799999998</v>
      </c>
      <c r="AA184" s="2">
        <f>Table1[[#This Row],[retained_premium]]-Table1[[#This Row],[claim_amount_paid]]</f>
        <v>-9333.6110320000007</v>
      </c>
    </row>
    <row r="185" spans="1:27" x14ac:dyDescent="0.35">
      <c r="A185" t="s">
        <v>594</v>
      </c>
      <c r="B185" t="s">
        <v>595</v>
      </c>
      <c r="C185" t="s">
        <v>596</v>
      </c>
      <c r="D185" s="1">
        <v>42492</v>
      </c>
      <c r="E185" s="1">
        <v>44023</v>
      </c>
      <c r="F185" s="1">
        <v>44024</v>
      </c>
      <c r="G185">
        <v>1</v>
      </c>
      <c r="H185">
        <v>137.78</v>
      </c>
      <c r="I185">
        <v>1653.36</v>
      </c>
      <c r="J185">
        <v>2000</v>
      </c>
      <c r="K185" t="s">
        <v>43</v>
      </c>
      <c r="L185">
        <v>0</v>
      </c>
      <c r="M185">
        <v>8.75</v>
      </c>
      <c r="N185" t="s">
        <v>28</v>
      </c>
      <c r="O185">
        <v>105</v>
      </c>
      <c r="P185">
        <v>55</v>
      </c>
      <c r="Q185">
        <v>1</v>
      </c>
      <c r="R185">
        <v>3</v>
      </c>
      <c r="S185" t="s">
        <v>65</v>
      </c>
      <c r="T185" t="s">
        <v>44</v>
      </c>
      <c r="U185" t="s">
        <v>38</v>
      </c>
      <c r="V185" t="s">
        <v>45</v>
      </c>
      <c r="W185">
        <v>0</v>
      </c>
      <c r="X185">
        <v>0</v>
      </c>
      <c r="Y185" s="2">
        <f>Table1[[#This Row],[premium_yearly]]*Table1[[#This Row],[tenure_years]]</f>
        <v>14466.9</v>
      </c>
      <c r="Z185" s="2">
        <f>Table1[[#This Row],[total_collected_premiums]]*(1-$AD$2)</f>
        <v>10560.837</v>
      </c>
      <c r="AA185" s="2">
        <f>Table1[[#This Row],[retained_premium]]-Table1[[#This Row],[claim_amount_paid]]</f>
        <v>10560.837</v>
      </c>
    </row>
    <row r="186" spans="1:27" x14ac:dyDescent="0.35">
      <c r="A186" t="s">
        <v>597</v>
      </c>
      <c r="B186" t="s">
        <v>598</v>
      </c>
      <c r="C186" t="s">
        <v>599</v>
      </c>
      <c r="D186" s="1">
        <v>42856</v>
      </c>
      <c r="E186" s="1">
        <v>44008</v>
      </c>
      <c r="F186" s="1">
        <v>44013</v>
      </c>
      <c r="G186">
        <v>5</v>
      </c>
      <c r="H186">
        <v>129.6</v>
      </c>
      <c r="I186">
        <v>1555.2</v>
      </c>
      <c r="J186">
        <v>6000</v>
      </c>
      <c r="K186" t="s">
        <v>27</v>
      </c>
      <c r="L186">
        <v>6000</v>
      </c>
      <c r="M186">
        <v>1.17</v>
      </c>
      <c r="N186" t="s">
        <v>49</v>
      </c>
      <c r="O186">
        <v>14</v>
      </c>
      <c r="P186">
        <v>36</v>
      </c>
      <c r="Q186">
        <v>1</v>
      </c>
      <c r="R186">
        <v>2</v>
      </c>
      <c r="S186" t="s">
        <v>29</v>
      </c>
      <c r="T186" t="s">
        <v>30</v>
      </c>
      <c r="U186" t="s">
        <v>31</v>
      </c>
      <c r="V186" t="s">
        <v>45</v>
      </c>
      <c r="W186">
        <v>1</v>
      </c>
      <c r="X186">
        <v>1</v>
      </c>
      <c r="Y186" s="2">
        <f>Table1[[#This Row],[premium_yearly]]*Table1[[#This Row],[tenure_years]]</f>
        <v>1819.5839999999998</v>
      </c>
      <c r="Z186" s="2">
        <f>Table1[[#This Row],[total_collected_premiums]]*(1-$AD$2)</f>
        <v>1328.2963199999999</v>
      </c>
      <c r="AA186" s="2">
        <f>Table1[[#This Row],[retained_premium]]-Table1[[#This Row],[claim_amount_paid]]</f>
        <v>-4671.7036800000005</v>
      </c>
    </row>
    <row r="187" spans="1:27" x14ac:dyDescent="0.35">
      <c r="A187" t="s">
        <v>600</v>
      </c>
      <c r="B187" t="s">
        <v>601</v>
      </c>
      <c r="C187" t="s">
        <v>602</v>
      </c>
      <c r="D187" s="1">
        <v>41847</v>
      </c>
      <c r="E187" s="1">
        <v>44023</v>
      </c>
      <c r="F187" s="1">
        <v>44024</v>
      </c>
      <c r="G187">
        <v>1</v>
      </c>
      <c r="H187">
        <v>98.91</v>
      </c>
      <c r="I187">
        <v>1186.92</v>
      </c>
      <c r="J187">
        <v>1000</v>
      </c>
      <c r="K187" t="s">
        <v>27</v>
      </c>
      <c r="L187">
        <v>1000</v>
      </c>
      <c r="M187">
        <v>6.5</v>
      </c>
      <c r="N187" t="s">
        <v>28</v>
      </c>
      <c r="O187">
        <v>78</v>
      </c>
      <c r="P187">
        <v>43</v>
      </c>
      <c r="Q187">
        <v>1</v>
      </c>
      <c r="R187">
        <v>3</v>
      </c>
      <c r="S187" t="s">
        <v>29</v>
      </c>
      <c r="T187" t="s">
        <v>50</v>
      </c>
      <c r="U187" t="s">
        <v>58</v>
      </c>
      <c r="V187" t="s">
        <v>45</v>
      </c>
      <c r="W187">
        <v>1</v>
      </c>
      <c r="X187">
        <v>0</v>
      </c>
      <c r="Y187" s="2">
        <f>Table1[[#This Row],[premium_yearly]]*Table1[[#This Row],[tenure_years]]</f>
        <v>7714.9800000000005</v>
      </c>
      <c r="Z187" s="2">
        <f>Table1[[#This Row],[total_collected_premiums]]*(1-$AD$2)</f>
        <v>5631.9354000000003</v>
      </c>
      <c r="AA187" s="2">
        <f>Table1[[#This Row],[retained_premium]]-Table1[[#This Row],[claim_amount_paid]]</f>
        <v>4631.9354000000003</v>
      </c>
    </row>
    <row r="188" spans="1:27" x14ac:dyDescent="0.35">
      <c r="A188" t="s">
        <v>603</v>
      </c>
      <c r="B188" t="s">
        <v>604</v>
      </c>
      <c r="C188" t="s">
        <v>605</v>
      </c>
      <c r="D188" s="1">
        <v>41315</v>
      </c>
      <c r="E188" s="1">
        <v>44012</v>
      </c>
      <c r="F188" s="1">
        <v>44017</v>
      </c>
      <c r="G188">
        <v>5</v>
      </c>
      <c r="H188">
        <v>88.6</v>
      </c>
      <c r="I188">
        <v>1063.2</v>
      </c>
      <c r="J188">
        <v>5000</v>
      </c>
      <c r="K188" t="s">
        <v>27</v>
      </c>
      <c r="L188">
        <v>5000</v>
      </c>
      <c r="M188">
        <v>8.58</v>
      </c>
      <c r="N188" t="s">
        <v>49</v>
      </c>
      <c r="O188">
        <v>103</v>
      </c>
      <c r="P188">
        <v>54</v>
      </c>
      <c r="Q188">
        <v>1</v>
      </c>
      <c r="R188">
        <v>5</v>
      </c>
      <c r="S188" t="s">
        <v>65</v>
      </c>
      <c r="T188" t="s">
        <v>30</v>
      </c>
      <c r="U188" t="s">
        <v>38</v>
      </c>
      <c r="V188" t="s">
        <v>32</v>
      </c>
      <c r="W188">
        <v>1</v>
      </c>
      <c r="X188">
        <v>1</v>
      </c>
      <c r="Y188" s="2">
        <f>Table1[[#This Row],[premium_yearly]]*Table1[[#This Row],[tenure_years]]</f>
        <v>9122.2560000000012</v>
      </c>
      <c r="Z188" s="2">
        <f>Table1[[#This Row],[total_collected_premiums]]*(1-$AD$2)</f>
        <v>6659.2468800000006</v>
      </c>
      <c r="AA188" s="2">
        <f>Table1[[#This Row],[retained_premium]]-Table1[[#This Row],[claim_amount_paid]]</f>
        <v>1659.2468800000006</v>
      </c>
    </row>
    <row r="189" spans="1:27" x14ac:dyDescent="0.35">
      <c r="A189" t="s">
        <v>606</v>
      </c>
      <c r="B189" t="s">
        <v>607</v>
      </c>
      <c r="C189" t="s">
        <v>608</v>
      </c>
      <c r="D189" s="1">
        <v>43564</v>
      </c>
      <c r="E189" s="1">
        <v>44014</v>
      </c>
      <c r="F189" s="1">
        <v>44019</v>
      </c>
      <c r="G189">
        <v>5</v>
      </c>
      <c r="H189">
        <v>138.63999999999999</v>
      </c>
      <c r="I189">
        <v>1663.68</v>
      </c>
      <c r="J189">
        <v>9000</v>
      </c>
      <c r="K189" t="s">
        <v>27</v>
      </c>
      <c r="L189">
        <v>9000</v>
      </c>
      <c r="M189">
        <v>0.57999999999999996</v>
      </c>
      <c r="N189" t="s">
        <v>49</v>
      </c>
      <c r="O189">
        <v>7</v>
      </c>
      <c r="P189">
        <v>50</v>
      </c>
      <c r="Q189">
        <v>0</v>
      </c>
      <c r="R189">
        <v>6</v>
      </c>
      <c r="S189" t="s">
        <v>65</v>
      </c>
      <c r="T189" t="s">
        <v>44</v>
      </c>
      <c r="U189" t="s">
        <v>51</v>
      </c>
      <c r="V189" t="s">
        <v>39</v>
      </c>
      <c r="W189">
        <v>1</v>
      </c>
      <c r="X189">
        <v>1</v>
      </c>
      <c r="Y189" s="2">
        <f>Table1[[#This Row],[premium_yearly]]*Table1[[#This Row],[tenure_years]]</f>
        <v>964.93439999999998</v>
      </c>
      <c r="Z189" s="2">
        <f>Table1[[#This Row],[total_collected_premiums]]*(1-$AD$2)</f>
        <v>704.40211199999999</v>
      </c>
      <c r="AA189" s="2">
        <f>Table1[[#This Row],[retained_premium]]-Table1[[#This Row],[claim_amount_paid]]</f>
        <v>-8295.5978880000002</v>
      </c>
    </row>
    <row r="190" spans="1:27" x14ac:dyDescent="0.35">
      <c r="A190" t="s">
        <v>609</v>
      </c>
      <c r="B190" t="s">
        <v>610</v>
      </c>
      <c r="C190" t="s">
        <v>611</v>
      </c>
      <c r="D190" s="1">
        <v>43238</v>
      </c>
      <c r="E190" s="1">
        <v>44010</v>
      </c>
      <c r="F190" s="1">
        <v>44015</v>
      </c>
      <c r="G190">
        <v>5</v>
      </c>
      <c r="H190">
        <v>75.09</v>
      </c>
      <c r="I190">
        <v>901.08</v>
      </c>
      <c r="J190">
        <v>4000</v>
      </c>
      <c r="K190" t="s">
        <v>27</v>
      </c>
      <c r="L190">
        <v>4000</v>
      </c>
      <c r="M190">
        <v>3.17</v>
      </c>
      <c r="N190" t="s">
        <v>36</v>
      </c>
      <c r="O190">
        <v>38</v>
      </c>
      <c r="P190">
        <v>31</v>
      </c>
      <c r="Q190">
        <v>1</v>
      </c>
      <c r="R190">
        <v>3</v>
      </c>
      <c r="S190" t="s">
        <v>65</v>
      </c>
      <c r="T190" t="s">
        <v>50</v>
      </c>
      <c r="U190" t="s">
        <v>31</v>
      </c>
      <c r="V190" t="s">
        <v>39</v>
      </c>
      <c r="W190">
        <v>1</v>
      </c>
      <c r="X190">
        <v>0</v>
      </c>
      <c r="Y190" s="2">
        <f>Table1[[#This Row],[premium_yearly]]*Table1[[#This Row],[tenure_years]]</f>
        <v>2856.4236000000001</v>
      </c>
      <c r="Z190" s="2">
        <f>Table1[[#This Row],[total_collected_premiums]]*(1-$AD$2)</f>
        <v>2085.1892280000002</v>
      </c>
      <c r="AA190" s="2">
        <f>Table1[[#This Row],[retained_premium]]-Table1[[#This Row],[claim_amount_paid]]</f>
        <v>-1914.8107719999998</v>
      </c>
    </row>
    <row r="191" spans="1:27" x14ac:dyDescent="0.35">
      <c r="A191" t="s">
        <v>612</v>
      </c>
      <c r="B191" t="s">
        <v>613</v>
      </c>
      <c r="C191" t="s">
        <v>614</v>
      </c>
      <c r="D191" s="1">
        <v>40721</v>
      </c>
      <c r="E191" s="1">
        <v>44018</v>
      </c>
      <c r="F191" s="1">
        <v>44023</v>
      </c>
      <c r="G191">
        <v>5</v>
      </c>
      <c r="H191">
        <v>137.49</v>
      </c>
      <c r="I191">
        <v>1649.88</v>
      </c>
      <c r="J191">
        <v>9000</v>
      </c>
      <c r="K191" t="s">
        <v>27</v>
      </c>
      <c r="L191">
        <v>9000</v>
      </c>
      <c r="M191">
        <v>8.08</v>
      </c>
      <c r="N191" t="s">
        <v>36</v>
      </c>
      <c r="O191">
        <v>97</v>
      </c>
      <c r="P191">
        <v>53</v>
      </c>
      <c r="Q191">
        <v>1</v>
      </c>
      <c r="R191">
        <v>2</v>
      </c>
      <c r="S191" t="s">
        <v>29</v>
      </c>
      <c r="T191" t="s">
        <v>44</v>
      </c>
      <c r="U191" t="s">
        <v>31</v>
      </c>
      <c r="V191" t="s">
        <v>39</v>
      </c>
      <c r="W191">
        <v>1</v>
      </c>
      <c r="X191">
        <v>1</v>
      </c>
      <c r="Y191" s="2">
        <f>Table1[[#This Row],[premium_yearly]]*Table1[[#This Row],[tenure_years]]</f>
        <v>13331.030400000001</v>
      </c>
      <c r="Z191" s="2">
        <f>Table1[[#This Row],[total_collected_premiums]]*(1-$AD$2)</f>
        <v>9731.6521920000014</v>
      </c>
      <c r="AA191" s="2">
        <f>Table1[[#This Row],[retained_premium]]-Table1[[#This Row],[claim_amount_paid]]</f>
        <v>731.65219200000138</v>
      </c>
    </row>
    <row r="192" spans="1:27" x14ac:dyDescent="0.35">
      <c r="A192" t="s">
        <v>615</v>
      </c>
      <c r="B192" t="s">
        <v>616</v>
      </c>
      <c r="C192" t="s">
        <v>617</v>
      </c>
      <c r="D192" s="1">
        <v>42580</v>
      </c>
      <c r="E192" s="1">
        <v>44014</v>
      </c>
      <c r="F192" s="1">
        <v>44019</v>
      </c>
      <c r="G192">
        <v>5</v>
      </c>
      <c r="H192">
        <v>119.98</v>
      </c>
      <c r="I192">
        <v>1439.76</v>
      </c>
      <c r="J192">
        <v>3000</v>
      </c>
      <c r="K192" t="s">
        <v>27</v>
      </c>
      <c r="L192">
        <v>3000</v>
      </c>
      <c r="M192">
        <v>6.17</v>
      </c>
      <c r="N192" t="s">
        <v>49</v>
      </c>
      <c r="O192">
        <v>74</v>
      </c>
      <c r="P192">
        <v>60</v>
      </c>
      <c r="Q192">
        <v>1</v>
      </c>
      <c r="R192">
        <v>2</v>
      </c>
      <c r="S192" t="s">
        <v>65</v>
      </c>
      <c r="T192" t="s">
        <v>30</v>
      </c>
      <c r="U192" t="s">
        <v>38</v>
      </c>
      <c r="V192" t="s">
        <v>39</v>
      </c>
      <c r="W192">
        <v>1</v>
      </c>
      <c r="X192">
        <v>1</v>
      </c>
      <c r="Y192" s="2">
        <f>Table1[[#This Row],[premium_yearly]]*Table1[[#This Row],[tenure_years]]</f>
        <v>8883.3191999999999</v>
      </c>
      <c r="Z192" s="2">
        <f>Table1[[#This Row],[total_collected_premiums]]*(1-$AD$2)</f>
        <v>6484.8230159999994</v>
      </c>
      <c r="AA192" s="2">
        <f>Table1[[#This Row],[retained_premium]]-Table1[[#This Row],[claim_amount_paid]]</f>
        <v>3484.8230159999994</v>
      </c>
    </row>
    <row r="193" spans="1:27" x14ac:dyDescent="0.35">
      <c r="A193" t="s">
        <v>618</v>
      </c>
      <c r="B193" t="s">
        <v>619</v>
      </c>
      <c r="C193" t="s">
        <v>620</v>
      </c>
      <c r="D193" s="1">
        <v>40822</v>
      </c>
      <c r="E193" s="1">
        <v>44016</v>
      </c>
      <c r="F193" s="1">
        <v>44021</v>
      </c>
      <c r="G193">
        <v>5</v>
      </c>
      <c r="H193">
        <v>124.12</v>
      </c>
      <c r="I193">
        <v>1489.44</v>
      </c>
      <c r="J193">
        <v>5000</v>
      </c>
      <c r="K193" t="s">
        <v>27</v>
      </c>
      <c r="L193">
        <v>5000</v>
      </c>
      <c r="M193">
        <v>4.58</v>
      </c>
      <c r="N193" t="s">
        <v>36</v>
      </c>
      <c r="O193">
        <v>55</v>
      </c>
      <c r="P193">
        <v>43</v>
      </c>
      <c r="Q193">
        <v>1</v>
      </c>
      <c r="R193">
        <v>3</v>
      </c>
      <c r="S193" t="s">
        <v>37</v>
      </c>
      <c r="T193" t="s">
        <v>50</v>
      </c>
      <c r="U193" t="s">
        <v>107</v>
      </c>
      <c r="V193" t="s">
        <v>45</v>
      </c>
      <c r="W193">
        <v>1</v>
      </c>
      <c r="X193">
        <v>1</v>
      </c>
      <c r="Y193" s="2">
        <f>Table1[[#This Row],[premium_yearly]]*Table1[[#This Row],[tenure_years]]</f>
        <v>6821.6352000000006</v>
      </c>
      <c r="Z193" s="2">
        <f>Table1[[#This Row],[total_collected_premiums]]*(1-$AD$2)</f>
        <v>4979.7936960000006</v>
      </c>
      <c r="AA193" s="2">
        <f>Table1[[#This Row],[retained_premium]]-Table1[[#This Row],[claim_amount_paid]]</f>
        <v>-20.206303999999363</v>
      </c>
    </row>
    <row r="194" spans="1:27" x14ac:dyDescent="0.35">
      <c r="A194" t="s">
        <v>621</v>
      </c>
      <c r="B194" t="s">
        <v>622</v>
      </c>
      <c r="C194" t="s">
        <v>623</v>
      </c>
      <c r="D194" s="1">
        <v>41807</v>
      </c>
      <c r="E194" s="1">
        <v>44011</v>
      </c>
      <c r="F194" s="1">
        <v>44016</v>
      </c>
      <c r="G194">
        <v>5</v>
      </c>
      <c r="H194">
        <v>134.02000000000001</v>
      </c>
      <c r="I194">
        <v>1608.24</v>
      </c>
      <c r="J194">
        <v>8000</v>
      </c>
      <c r="K194" t="s">
        <v>27</v>
      </c>
      <c r="L194">
        <v>8000</v>
      </c>
      <c r="M194">
        <v>5.17</v>
      </c>
      <c r="N194" t="s">
        <v>49</v>
      </c>
      <c r="O194">
        <v>62</v>
      </c>
      <c r="P194">
        <v>39</v>
      </c>
      <c r="Q194">
        <v>0</v>
      </c>
      <c r="R194">
        <v>5</v>
      </c>
      <c r="S194" t="s">
        <v>29</v>
      </c>
      <c r="T194" t="s">
        <v>30</v>
      </c>
      <c r="U194" t="s">
        <v>38</v>
      </c>
      <c r="V194" t="s">
        <v>39</v>
      </c>
      <c r="W194">
        <v>1</v>
      </c>
      <c r="X194">
        <v>0</v>
      </c>
      <c r="Y194" s="2">
        <f>Table1[[#This Row],[premium_yearly]]*Table1[[#This Row],[tenure_years]]</f>
        <v>8314.6008000000002</v>
      </c>
      <c r="Z194" s="2">
        <f>Table1[[#This Row],[total_collected_premiums]]*(1-$AD$2)</f>
        <v>6069.6585839999998</v>
      </c>
      <c r="AA194" s="2">
        <f>Table1[[#This Row],[retained_premium]]-Table1[[#This Row],[claim_amount_paid]]</f>
        <v>-1930.3414160000002</v>
      </c>
    </row>
    <row r="195" spans="1:27" x14ac:dyDescent="0.35">
      <c r="A195" t="s">
        <v>624</v>
      </c>
      <c r="B195" t="s">
        <v>625</v>
      </c>
      <c r="C195" t="s">
        <v>626</v>
      </c>
      <c r="D195" s="1">
        <v>42449</v>
      </c>
      <c r="E195" s="1">
        <v>44017</v>
      </c>
      <c r="F195" s="1">
        <v>44022</v>
      </c>
      <c r="G195">
        <v>5</v>
      </c>
      <c r="H195">
        <v>107.65</v>
      </c>
      <c r="I195">
        <v>1291.8</v>
      </c>
      <c r="J195">
        <v>6000</v>
      </c>
      <c r="K195" t="s">
        <v>27</v>
      </c>
      <c r="L195">
        <v>6000</v>
      </c>
      <c r="M195">
        <v>6.08</v>
      </c>
      <c r="N195" t="s">
        <v>49</v>
      </c>
      <c r="O195">
        <v>73</v>
      </c>
      <c r="P195">
        <v>51</v>
      </c>
      <c r="Q195">
        <v>0</v>
      </c>
      <c r="R195">
        <v>5</v>
      </c>
      <c r="S195" t="s">
        <v>65</v>
      </c>
      <c r="T195" t="s">
        <v>44</v>
      </c>
      <c r="U195" t="s">
        <v>107</v>
      </c>
      <c r="V195" t="s">
        <v>32</v>
      </c>
      <c r="W195">
        <v>0</v>
      </c>
      <c r="X195">
        <v>1</v>
      </c>
      <c r="Y195" s="2">
        <f>Table1[[#This Row],[premium_yearly]]*Table1[[#This Row],[tenure_years]]</f>
        <v>7854.1440000000002</v>
      </c>
      <c r="Z195" s="2">
        <f>Table1[[#This Row],[total_collected_premiums]]*(1-$AD$2)</f>
        <v>5733.5251200000002</v>
      </c>
      <c r="AA195" s="2">
        <f>Table1[[#This Row],[retained_premium]]-Table1[[#This Row],[claim_amount_paid]]</f>
        <v>-266.47487999999976</v>
      </c>
    </row>
    <row r="196" spans="1:27" x14ac:dyDescent="0.35">
      <c r="A196" t="s">
        <v>627</v>
      </c>
      <c r="B196" t="s">
        <v>628</v>
      </c>
      <c r="C196" t="s">
        <v>629</v>
      </c>
      <c r="D196" s="1">
        <v>42332</v>
      </c>
      <c r="E196" s="1">
        <v>44027</v>
      </c>
      <c r="F196" s="1">
        <v>44027</v>
      </c>
      <c r="G196">
        <v>0</v>
      </c>
      <c r="H196">
        <v>87.5</v>
      </c>
      <c r="I196">
        <v>1050</v>
      </c>
      <c r="J196">
        <v>9000</v>
      </c>
      <c r="K196" t="s">
        <v>27</v>
      </c>
      <c r="L196">
        <v>9000</v>
      </c>
      <c r="M196">
        <v>3.58</v>
      </c>
      <c r="N196" t="s">
        <v>36</v>
      </c>
      <c r="O196">
        <v>43</v>
      </c>
      <c r="P196">
        <v>64</v>
      </c>
      <c r="Q196">
        <v>0</v>
      </c>
      <c r="R196">
        <v>6</v>
      </c>
      <c r="S196" t="s">
        <v>65</v>
      </c>
      <c r="T196" t="s">
        <v>50</v>
      </c>
      <c r="U196" t="s">
        <v>38</v>
      </c>
      <c r="V196" t="s">
        <v>45</v>
      </c>
      <c r="W196">
        <v>0</v>
      </c>
      <c r="X196">
        <v>1</v>
      </c>
      <c r="Y196" s="2">
        <f>Table1[[#This Row],[premium_yearly]]*Table1[[#This Row],[tenure_years]]</f>
        <v>3759</v>
      </c>
      <c r="Z196" s="2">
        <f>Table1[[#This Row],[total_collected_premiums]]*(1-$AD$2)</f>
        <v>2744.0699999999997</v>
      </c>
      <c r="AA196" s="2">
        <f>Table1[[#This Row],[retained_premium]]-Table1[[#This Row],[claim_amount_paid]]</f>
        <v>-6255.93</v>
      </c>
    </row>
    <row r="197" spans="1:27" x14ac:dyDescent="0.35">
      <c r="A197" t="s">
        <v>630</v>
      </c>
      <c r="B197" t="s">
        <v>631</v>
      </c>
      <c r="C197" t="s">
        <v>632</v>
      </c>
      <c r="D197" s="1">
        <v>43551</v>
      </c>
      <c r="E197" s="1">
        <v>44022</v>
      </c>
      <c r="F197" s="1">
        <v>44024</v>
      </c>
      <c r="G197">
        <v>2</v>
      </c>
      <c r="H197">
        <v>99.2</v>
      </c>
      <c r="I197">
        <v>1190.4000000000001</v>
      </c>
      <c r="J197">
        <v>8000</v>
      </c>
      <c r="K197" t="s">
        <v>27</v>
      </c>
      <c r="L197">
        <v>8000</v>
      </c>
      <c r="M197">
        <v>2.58</v>
      </c>
      <c r="N197" t="s">
        <v>36</v>
      </c>
      <c r="O197">
        <v>31</v>
      </c>
      <c r="P197">
        <v>61</v>
      </c>
      <c r="Q197">
        <v>0</v>
      </c>
      <c r="R197">
        <v>4</v>
      </c>
      <c r="S197" t="s">
        <v>29</v>
      </c>
      <c r="T197" t="s">
        <v>30</v>
      </c>
      <c r="U197" t="s">
        <v>38</v>
      </c>
      <c r="V197" t="s">
        <v>32</v>
      </c>
      <c r="W197">
        <v>1</v>
      </c>
      <c r="X197">
        <v>1</v>
      </c>
      <c r="Y197" s="2">
        <f>Table1[[#This Row],[premium_yearly]]*Table1[[#This Row],[tenure_years]]</f>
        <v>3071.2320000000004</v>
      </c>
      <c r="Z197" s="2">
        <f>Table1[[#This Row],[total_collected_premiums]]*(1-$AD$2)</f>
        <v>2241.9993600000003</v>
      </c>
      <c r="AA197" s="2">
        <f>Table1[[#This Row],[retained_premium]]-Table1[[#This Row],[claim_amount_paid]]</f>
        <v>-5758.0006400000002</v>
      </c>
    </row>
    <row r="198" spans="1:27" x14ac:dyDescent="0.35">
      <c r="A198" t="s">
        <v>633</v>
      </c>
      <c r="B198" t="s">
        <v>634</v>
      </c>
      <c r="C198" t="s">
        <v>635</v>
      </c>
      <c r="D198" s="1">
        <v>40872</v>
      </c>
      <c r="E198" s="1">
        <v>44029</v>
      </c>
      <c r="F198" s="1">
        <v>44029</v>
      </c>
      <c r="G198">
        <v>0</v>
      </c>
      <c r="H198">
        <v>132.93</v>
      </c>
      <c r="I198">
        <v>1595.16</v>
      </c>
      <c r="J198">
        <v>6000</v>
      </c>
      <c r="K198" t="s">
        <v>27</v>
      </c>
      <c r="L198">
        <v>6000</v>
      </c>
      <c r="M198">
        <v>4.83</v>
      </c>
      <c r="N198" t="s">
        <v>36</v>
      </c>
      <c r="O198">
        <v>58</v>
      </c>
      <c r="P198">
        <v>28</v>
      </c>
      <c r="Q198">
        <v>1</v>
      </c>
      <c r="R198">
        <v>4</v>
      </c>
      <c r="S198" t="s">
        <v>29</v>
      </c>
      <c r="T198" t="s">
        <v>50</v>
      </c>
      <c r="U198" t="s">
        <v>58</v>
      </c>
      <c r="V198" t="s">
        <v>39</v>
      </c>
      <c r="W198">
        <v>0</v>
      </c>
      <c r="X198">
        <v>0</v>
      </c>
      <c r="Y198" s="2">
        <f>Table1[[#This Row],[premium_yearly]]*Table1[[#This Row],[tenure_years]]</f>
        <v>7704.6228000000001</v>
      </c>
      <c r="Z198" s="2">
        <f>Table1[[#This Row],[total_collected_premiums]]*(1-$AD$2)</f>
        <v>5624.3746439999995</v>
      </c>
      <c r="AA198" s="2">
        <f>Table1[[#This Row],[retained_premium]]-Table1[[#This Row],[claim_amount_paid]]</f>
        <v>-375.62535600000047</v>
      </c>
    </row>
    <row r="199" spans="1:27" x14ac:dyDescent="0.35">
      <c r="A199" t="s">
        <v>636</v>
      </c>
      <c r="B199" t="s">
        <v>637</v>
      </c>
      <c r="C199" t="s">
        <v>638</v>
      </c>
      <c r="D199" s="1">
        <v>43155</v>
      </c>
      <c r="E199" s="1">
        <v>44019</v>
      </c>
      <c r="F199" s="1">
        <v>44024</v>
      </c>
      <c r="G199">
        <v>5</v>
      </c>
      <c r="H199">
        <v>135.74</v>
      </c>
      <c r="I199">
        <v>1628.88</v>
      </c>
      <c r="J199">
        <v>3000</v>
      </c>
      <c r="K199" t="s">
        <v>27</v>
      </c>
      <c r="L199">
        <v>3000</v>
      </c>
      <c r="M199">
        <v>9.25</v>
      </c>
      <c r="N199" t="s">
        <v>49</v>
      </c>
      <c r="O199">
        <v>111</v>
      </c>
      <c r="P199">
        <v>63</v>
      </c>
      <c r="Q199">
        <v>1</v>
      </c>
      <c r="R199">
        <v>4</v>
      </c>
      <c r="S199" t="s">
        <v>29</v>
      </c>
      <c r="T199" t="s">
        <v>30</v>
      </c>
      <c r="U199" t="s">
        <v>38</v>
      </c>
      <c r="V199" t="s">
        <v>39</v>
      </c>
      <c r="W199">
        <v>0</v>
      </c>
      <c r="X199">
        <v>1</v>
      </c>
      <c r="Y199" s="2">
        <f>Table1[[#This Row],[premium_yearly]]*Table1[[#This Row],[tenure_years]]</f>
        <v>15067.140000000001</v>
      </c>
      <c r="Z199" s="2">
        <f>Table1[[#This Row],[total_collected_premiums]]*(1-$AD$2)</f>
        <v>10999.012200000001</v>
      </c>
      <c r="AA199" s="2">
        <f>Table1[[#This Row],[retained_premium]]-Table1[[#This Row],[claim_amount_paid]]</f>
        <v>7999.012200000001</v>
      </c>
    </row>
    <row r="200" spans="1:27" x14ac:dyDescent="0.35">
      <c r="A200" t="s">
        <v>639</v>
      </c>
      <c r="B200" t="s">
        <v>640</v>
      </c>
      <c r="C200" t="s">
        <v>641</v>
      </c>
      <c r="D200" s="1">
        <v>41597</v>
      </c>
      <c r="E200" s="1">
        <v>44022</v>
      </c>
      <c r="F200" s="1">
        <v>44025</v>
      </c>
      <c r="G200">
        <v>3</v>
      </c>
      <c r="H200">
        <v>117.2</v>
      </c>
      <c r="I200">
        <v>1406.4</v>
      </c>
      <c r="J200">
        <v>9000</v>
      </c>
      <c r="K200" t="s">
        <v>27</v>
      </c>
      <c r="L200">
        <v>9000</v>
      </c>
      <c r="M200">
        <v>8.58</v>
      </c>
      <c r="N200" t="s">
        <v>49</v>
      </c>
      <c r="O200">
        <v>103</v>
      </c>
      <c r="P200">
        <v>35</v>
      </c>
      <c r="Q200">
        <v>1</v>
      </c>
      <c r="R200">
        <v>4</v>
      </c>
      <c r="S200" t="s">
        <v>29</v>
      </c>
      <c r="T200" t="s">
        <v>30</v>
      </c>
      <c r="U200" t="s">
        <v>66</v>
      </c>
      <c r="V200" t="s">
        <v>45</v>
      </c>
      <c r="W200">
        <v>1</v>
      </c>
      <c r="X200">
        <v>0</v>
      </c>
      <c r="Y200" s="2">
        <f>Table1[[#This Row],[premium_yearly]]*Table1[[#This Row],[tenure_years]]</f>
        <v>12066.912</v>
      </c>
      <c r="Z200" s="2">
        <f>Table1[[#This Row],[total_collected_premiums]]*(1-$AD$2)</f>
        <v>8808.8457600000002</v>
      </c>
      <c r="AA200" s="2">
        <f>Table1[[#This Row],[retained_premium]]-Table1[[#This Row],[claim_amount_paid]]</f>
        <v>-191.15423999999985</v>
      </c>
    </row>
    <row r="201" spans="1:27" x14ac:dyDescent="0.35">
      <c r="A201" t="s">
        <v>642</v>
      </c>
      <c r="B201" t="s">
        <v>643</v>
      </c>
      <c r="C201" t="s">
        <v>644</v>
      </c>
      <c r="D201" s="1">
        <v>43443</v>
      </c>
      <c r="E201" s="1">
        <v>44029</v>
      </c>
      <c r="F201" s="1">
        <v>44029</v>
      </c>
      <c r="G201">
        <v>0</v>
      </c>
      <c r="H201">
        <v>77.900000000000006</v>
      </c>
      <c r="I201">
        <v>934.8</v>
      </c>
      <c r="J201">
        <v>2000</v>
      </c>
      <c r="K201" t="s">
        <v>27</v>
      </c>
      <c r="L201">
        <v>2000</v>
      </c>
      <c r="M201">
        <v>0.57999999999999996</v>
      </c>
      <c r="N201" t="s">
        <v>36</v>
      </c>
      <c r="O201">
        <v>7</v>
      </c>
      <c r="P201">
        <v>54</v>
      </c>
      <c r="Q201">
        <v>1</v>
      </c>
      <c r="R201">
        <v>6</v>
      </c>
      <c r="S201" t="s">
        <v>65</v>
      </c>
      <c r="T201" t="s">
        <v>30</v>
      </c>
      <c r="U201" t="s">
        <v>38</v>
      </c>
      <c r="V201" t="s">
        <v>32</v>
      </c>
      <c r="W201">
        <v>1</v>
      </c>
      <c r="X201">
        <v>1</v>
      </c>
      <c r="Y201" s="2">
        <f>Table1[[#This Row],[premium_yearly]]*Table1[[#This Row],[tenure_years]]</f>
        <v>542.18399999999997</v>
      </c>
      <c r="Z201" s="2">
        <f>Table1[[#This Row],[total_collected_premiums]]*(1-$AD$2)</f>
        <v>395.79431999999997</v>
      </c>
      <c r="AA201" s="2">
        <f>Table1[[#This Row],[retained_premium]]-Table1[[#This Row],[claim_amount_paid]]</f>
        <v>-1604.20568</v>
      </c>
    </row>
    <row r="202" spans="1:27" x14ac:dyDescent="0.35">
      <c r="A202" t="s">
        <v>645</v>
      </c>
      <c r="B202" t="s">
        <v>646</v>
      </c>
      <c r="C202" t="s">
        <v>647</v>
      </c>
      <c r="D202" s="1">
        <v>41052</v>
      </c>
      <c r="E202" s="1">
        <v>44018</v>
      </c>
      <c r="F202" s="1">
        <v>44023</v>
      </c>
      <c r="G202">
        <v>5</v>
      </c>
      <c r="H202">
        <v>84.24</v>
      </c>
      <c r="I202">
        <v>1010.88</v>
      </c>
      <c r="J202">
        <v>1000</v>
      </c>
      <c r="K202" t="s">
        <v>27</v>
      </c>
      <c r="L202">
        <v>1000</v>
      </c>
      <c r="M202">
        <v>4.5</v>
      </c>
      <c r="N202" t="s">
        <v>49</v>
      </c>
      <c r="O202">
        <v>54</v>
      </c>
      <c r="P202">
        <v>43</v>
      </c>
      <c r="Q202">
        <v>0</v>
      </c>
      <c r="R202">
        <v>2</v>
      </c>
      <c r="S202" t="s">
        <v>29</v>
      </c>
      <c r="T202" t="s">
        <v>30</v>
      </c>
      <c r="U202" t="s">
        <v>31</v>
      </c>
      <c r="V202" t="s">
        <v>32</v>
      </c>
      <c r="W202">
        <v>0</v>
      </c>
      <c r="X202">
        <v>0</v>
      </c>
      <c r="Y202" s="2">
        <f>Table1[[#This Row],[premium_yearly]]*Table1[[#This Row],[tenure_years]]</f>
        <v>4548.96</v>
      </c>
      <c r="Z202" s="2">
        <f>Table1[[#This Row],[total_collected_premiums]]*(1-$AD$2)</f>
        <v>3320.7408</v>
      </c>
      <c r="AA202" s="2">
        <f>Table1[[#This Row],[retained_premium]]-Table1[[#This Row],[claim_amount_paid]]</f>
        <v>2320.7408</v>
      </c>
    </row>
    <row r="203" spans="1:27" x14ac:dyDescent="0.35">
      <c r="A203" t="s">
        <v>648</v>
      </c>
      <c r="B203" t="s">
        <v>649</v>
      </c>
      <c r="C203" t="s">
        <v>650</v>
      </c>
      <c r="D203" s="1">
        <v>40777</v>
      </c>
      <c r="E203" s="1">
        <v>44026</v>
      </c>
      <c r="F203" s="1">
        <v>44027</v>
      </c>
      <c r="G203">
        <v>1</v>
      </c>
      <c r="H203">
        <v>137.35</v>
      </c>
      <c r="I203">
        <v>1648.2</v>
      </c>
      <c r="J203">
        <v>9000</v>
      </c>
      <c r="K203" t="s">
        <v>27</v>
      </c>
      <c r="L203">
        <v>9000</v>
      </c>
      <c r="M203">
        <v>3.92</v>
      </c>
      <c r="N203" t="s">
        <v>49</v>
      </c>
      <c r="O203">
        <v>47</v>
      </c>
      <c r="P203">
        <v>27</v>
      </c>
      <c r="Q203">
        <v>0</v>
      </c>
      <c r="R203">
        <v>2</v>
      </c>
      <c r="S203" t="s">
        <v>29</v>
      </c>
      <c r="T203" t="s">
        <v>44</v>
      </c>
      <c r="U203" t="s">
        <v>38</v>
      </c>
      <c r="V203" t="s">
        <v>45</v>
      </c>
      <c r="W203">
        <v>0</v>
      </c>
      <c r="X203">
        <v>1</v>
      </c>
      <c r="Y203" s="2">
        <f>Table1[[#This Row],[premium_yearly]]*Table1[[#This Row],[tenure_years]]</f>
        <v>6460.9440000000004</v>
      </c>
      <c r="Z203" s="2">
        <f>Table1[[#This Row],[total_collected_premiums]]*(1-$AD$2)</f>
        <v>4716.4891200000002</v>
      </c>
      <c r="AA203" s="2">
        <f>Table1[[#This Row],[retained_premium]]-Table1[[#This Row],[claim_amount_paid]]</f>
        <v>-4283.5108799999998</v>
      </c>
    </row>
    <row r="204" spans="1:27" x14ac:dyDescent="0.35">
      <c r="A204" t="s">
        <v>651</v>
      </c>
      <c r="B204" t="s">
        <v>652</v>
      </c>
      <c r="C204" t="s">
        <v>653</v>
      </c>
      <c r="D204" s="1">
        <v>43806</v>
      </c>
      <c r="E204" s="1">
        <v>44028</v>
      </c>
      <c r="F204" s="1">
        <v>44028</v>
      </c>
      <c r="G204">
        <v>0</v>
      </c>
      <c r="H204">
        <v>103.95</v>
      </c>
      <c r="I204">
        <v>1247.4000000000001</v>
      </c>
      <c r="J204">
        <v>6000</v>
      </c>
      <c r="K204" t="s">
        <v>27</v>
      </c>
      <c r="L204">
        <v>6000</v>
      </c>
      <c r="M204">
        <v>1.67</v>
      </c>
      <c r="N204" t="s">
        <v>49</v>
      </c>
      <c r="O204">
        <v>20</v>
      </c>
      <c r="P204">
        <v>35</v>
      </c>
      <c r="Q204">
        <v>0</v>
      </c>
      <c r="R204">
        <v>4</v>
      </c>
      <c r="S204" t="s">
        <v>29</v>
      </c>
      <c r="T204" t="s">
        <v>44</v>
      </c>
      <c r="U204" t="s">
        <v>38</v>
      </c>
      <c r="V204" t="s">
        <v>39</v>
      </c>
      <c r="W204">
        <v>1</v>
      </c>
      <c r="X204">
        <v>0</v>
      </c>
      <c r="Y204" s="2">
        <f>Table1[[#This Row],[premium_yearly]]*Table1[[#This Row],[tenure_years]]</f>
        <v>2083.1579999999999</v>
      </c>
      <c r="Z204" s="2">
        <f>Table1[[#This Row],[total_collected_premiums]]*(1-$AD$2)</f>
        <v>1520.70534</v>
      </c>
      <c r="AA204" s="2">
        <f>Table1[[#This Row],[retained_premium]]-Table1[[#This Row],[claim_amount_paid]]</f>
        <v>-4479.2946599999996</v>
      </c>
    </row>
    <row r="205" spans="1:27" x14ac:dyDescent="0.35">
      <c r="A205" t="s">
        <v>654</v>
      </c>
      <c r="B205" t="s">
        <v>655</v>
      </c>
      <c r="C205" t="s">
        <v>656</v>
      </c>
      <c r="D205" s="1">
        <v>43848</v>
      </c>
      <c r="E205" s="1">
        <v>44012</v>
      </c>
      <c r="F205" s="1">
        <v>44017</v>
      </c>
      <c r="G205">
        <v>5</v>
      </c>
      <c r="H205">
        <v>80.819999999999993</v>
      </c>
      <c r="I205">
        <v>969.84</v>
      </c>
      <c r="J205">
        <v>7000</v>
      </c>
      <c r="K205" t="s">
        <v>27</v>
      </c>
      <c r="L205">
        <v>7000</v>
      </c>
      <c r="M205">
        <v>9.25</v>
      </c>
      <c r="N205" t="s">
        <v>36</v>
      </c>
      <c r="O205">
        <v>111</v>
      </c>
      <c r="P205">
        <v>36</v>
      </c>
      <c r="Q205">
        <v>1</v>
      </c>
      <c r="R205">
        <v>6</v>
      </c>
      <c r="S205" t="s">
        <v>37</v>
      </c>
      <c r="T205" t="s">
        <v>30</v>
      </c>
      <c r="U205" t="s">
        <v>31</v>
      </c>
      <c r="V205" t="s">
        <v>32</v>
      </c>
      <c r="W205">
        <v>0</v>
      </c>
      <c r="X205">
        <v>1</v>
      </c>
      <c r="Y205" s="2">
        <f>Table1[[#This Row],[premium_yearly]]*Table1[[#This Row],[tenure_years]]</f>
        <v>8971.02</v>
      </c>
      <c r="Z205" s="2">
        <f>Table1[[#This Row],[total_collected_premiums]]*(1-$AD$2)</f>
        <v>6548.8446000000004</v>
      </c>
      <c r="AA205" s="2">
        <f>Table1[[#This Row],[retained_premium]]-Table1[[#This Row],[claim_amount_paid]]</f>
        <v>-451.15539999999964</v>
      </c>
    </row>
    <row r="206" spans="1:27" x14ac:dyDescent="0.35">
      <c r="A206" t="s">
        <v>657</v>
      </c>
      <c r="B206" t="s">
        <v>658</v>
      </c>
      <c r="C206" t="s">
        <v>659</v>
      </c>
      <c r="D206" s="1">
        <v>42042</v>
      </c>
      <c r="E206" s="1">
        <v>44027</v>
      </c>
      <c r="F206" s="1">
        <v>44028</v>
      </c>
      <c r="G206">
        <v>1</v>
      </c>
      <c r="H206">
        <v>107.99</v>
      </c>
      <c r="I206">
        <v>1295.8800000000001</v>
      </c>
      <c r="J206">
        <v>7000</v>
      </c>
      <c r="K206" t="s">
        <v>27</v>
      </c>
      <c r="L206">
        <v>7000</v>
      </c>
      <c r="M206">
        <v>3.08</v>
      </c>
      <c r="N206" t="s">
        <v>28</v>
      </c>
      <c r="O206">
        <v>37</v>
      </c>
      <c r="P206">
        <v>33</v>
      </c>
      <c r="Q206">
        <v>0</v>
      </c>
      <c r="R206">
        <v>6</v>
      </c>
      <c r="S206" t="s">
        <v>37</v>
      </c>
      <c r="T206" t="s">
        <v>30</v>
      </c>
      <c r="U206" t="s">
        <v>38</v>
      </c>
      <c r="V206" t="s">
        <v>45</v>
      </c>
      <c r="W206">
        <v>0</v>
      </c>
      <c r="X206">
        <v>0</v>
      </c>
      <c r="Y206" s="2">
        <f>Table1[[#This Row],[premium_yearly]]*Table1[[#This Row],[tenure_years]]</f>
        <v>3991.3104000000003</v>
      </c>
      <c r="Z206" s="2">
        <f>Table1[[#This Row],[total_collected_premiums]]*(1-$AD$2)</f>
        <v>2913.6565920000003</v>
      </c>
      <c r="AA206" s="2">
        <f>Table1[[#This Row],[retained_premium]]-Table1[[#This Row],[claim_amount_paid]]</f>
        <v>-4086.3434079999997</v>
      </c>
    </row>
    <row r="207" spans="1:27" x14ac:dyDescent="0.35">
      <c r="A207" t="s">
        <v>660</v>
      </c>
      <c r="B207" t="s">
        <v>661</v>
      </c>
      <c r="C207" t="s">
        <v>662</v>
      </c>
      <c r="D207" s="1">
        <v>41050</v>
      </c>
      <c r="E207" s="1">
        <v>44027</v>
      </c>
      <c r="F207" s="1">
        <v>44028</v>
      </c>
      <c r="G207">
        <v>1</v>
      </c>
      <c r="H207">
        <v>103.07</v>
      </c>
      <c r="I207">
        <v>1236.8399999999999</v>
      </c>
      <c r="J207">
        <v>4000</v>
      </c>
      <c r="K207" t="s">
        <v>27</v>
      </c>
      <c r="L207">
        <v>4000</v>
      </c>
      <c r="M207">
        <v>6</v>
      </c>
      <c r="N207" t="s">
        <v>36</v>
      </c>
      <c r="O207">
        <v>72</v>
      </c>
      <c r="P207">
        <v>50</v>
      </c>
      <c r="Q207">
        <v>1</v>
      </c>
      <c r="R207">
        <v>7</v>
      </c>
      <c r="S207" t="s">
        <v>65</v>
      </c>
      <c r="T207" t="s">
        <v>30</v>
      </c>
      <c r="U207" t="s">
        <v>38</v>
      </c>
      <c r="V207" t="s">
        <v>39</v>
      </c>
      <c r="W207">
        <v>1</v>
      </c>
      <c r="X207">
        <v>1</v>
      </c>
      <c r="Y207" s="2">
        <f>Table1[[#This Row],[premium_yearly]]*Table1[[#This Row],[tenure_years]]</f>
        <v>7421.0399999999991</v>
      </c>
      <c r="Z207" s="2">
        <f>Table1[[#This Row],[total_collected_premiums]]*(1-$AD$2)</f>
        <v>5417.359199999999</v>
      </c>
      <c r="AA207" s="2">
        <f>Table1[[#This Row],[retained_premium]]-Table1[[#This Row],[claim_amount_paid]]</f>
        <v>1417.359199999999</v>
      </c>
    </row>
    <row r="208" spans="1:27" x14ac:dyDescent="0.35">
      <c r="A208" t="s">
        <v>663</v>
      </c>
      <c r="B208" t="s">
        <v>664</v>
      </c>
      <c r="C208" t="s">
        <v>665</v>
      </c>
      <c r="D208" s="1">
        <v>42271</v>
      </c>
      <c r="E208" s="1">
        <v>44013</v>
      </c>
      <c r="F208" s="1">
        <v>44018</v>
      </c>
      <c r="G208">
        <v>5</v>
      </c>
      <c r="H208">
        <v>74.09</v>
      </c>
      <c r="I208">
        <v>889.08</v>
      </c>
      <c r="J208">
        <v>9000</v>
      </c>
      <c r="K208" t="s">
        <v>27</v>
      </c>
      <c r="L208">
        <v>9000</v>
      </c>
      <c r="M208">
        <v>7.5</v>
      </c>
      <c r="N208" t="s">
        <v>36</v>
      </c>
      <c r="O208">
        <v>90</v>
      </c>
      <c r="P208">
        <v>25</v>
      </c>
      <c r="Q208">
        <v>1</v>
      </c>
      <c r="R208">
        <v>5</v>
      </c>
      <c r="S208" t="s">
        <v>65</v>
      </c>
      <c r="T208" t="s">
        <v>44</v>
      </c>
      <c r="U208" t="s">
        <v>38</v>
      </c>
      <c r="V208" t="s">
        <v>45</v>
      </c>
      <c r="W208">
        <v>1</v>
      </c>
      <c r="X208">
        <v>1</v>
      </c>
      <c r="Y208" s="2">
        <f>Table1[[#This Row],[premium_yearly]]*Table1[[#This Row],[tenure_years]]</f>
        <v>6668.1</v>
      </c>
      <c r="Z208" s="2">
        <f>Table1[[#This Row],[total_collected_premiums]]*(1-$AD$2)</f>
        <v>4867.7129999999997</v>
      </c>
      <c r="AA208" s="2">
        <f>Table1[[#This Row],[retained_premium]]-Table1[[#This Row],[claim_amount_paid]]</f>
        <v>-4132.2870000000003</v>
      </c>
    </row>
    <row r="209" spans="1:27" x14ac:dyDescent="0.35">
      <c r="A209" t="s">
        <v>666</v>
      </c>
      <c r="B209" t="s">
        <v>667</v>
      </c>
      <c r="C209" t="s">
        <v>668</v>
      </c>
      <c r="D209" s="1">
        <v>41640</v>
      </c>
      <c r="E209" s="1">
        <v>44015</v>
      </c>
      <c r="F209" s="1">
        <v>44020</v>
      </c>
      <c r="G209">
        <v>5</v>
      </c>
      <c r="H209">
        <v>139.68</v>
      </c>
      <c r="I209">
        <v>1676.16</v>
      </c>
      <c r="J209">
        <v>1000</v>
      </c>
      <c r="K209" t="s">
        <v>27</v>
      </c>
      <c r="L209">
        <v>1000</v>
      </c>
      <c r="M209">
        <v>9.67</v>
      </c>
      <c r="N209" t="s">
        <v>49</v>
      </c>
      <c r="O209">
        <v>116</v>
      </c>
      <c r="P209">
        <v>49</v>
      </c>
      <c r="Q209">
        <v>1</v>
      </c>
      <c r="R209">
        <v>7</v>
      </c>
      <c r="S209" t="s">
        <v>29</v>
      </c>
      <c r="T209" t="s">
        <v>30</v>
      </c>
      <c r="U209" t="s">
        <v>38</v>
      </c>
      <c r="V209" t="s">
        <v>45</v>
      </c>
      <c r="W209">
        <v>1</v>
      </c>
      <c r="X209">
        <v>0</v>
      </c>
      <c r="Y209" s="2">
        <f>Table1[[#This Row],[premium_yearly]]*Table1[[#This Row],[tenure_years]]</f>
        <v>16208.467200000001</v>
      </c>
      <c r="Z209" s="2">
        <f>Table1[[#This Row],[total_collected_premiums]]*(1-$AD$2)</f>
        <v>11832.181056000001</v>
      </c>
      <c r="AA209" s="2">
        <f>Table1[[#This Row],[retained_premium]]-Table1[[#This Row],[claim_amount_paid]]</f>
        <v>10832.181056000001</v>
      </c>
    </row>
    <row r="210" spans="1:27" x14ac:dyDescent="0.35">
      <c r="A210" t="s">
        <v>669</v>
      </c>
      <c r="B210" t="s">
        <v>670</v>
      </c>
      <c r="C210" t="s">
        <v>671</v>
      </c>
      <c r="D210" s="1">
        <v>42212</v>
      </c>
      <c r="E210" s="1">
        <v>44015</v>
      </c>
      <c r="F210" s="1">
        <v>44020</v>
      </c>
      <c r="G210">
        <v>5</v>
      </c>
      <c r="H210">
        <v>101.73</v>
      </c>
      <c r="I210">
        <v>1220.76</v>
      </c>
      <c r="J210">
        <v>2000</v>
      </c>
      <c r="K210" t="s">
        <v>27</v>
      </c>
      <c r="L210">
        <v>2000</v>
      </c>
      <c r="M210">
        <v>6.58</v>
      </c>
      <c r="N210" t="s">
        <v>36</v>
      </c>
      <c r="O210">
        <v>79</v>
      </c>
      <c r="P210">
        <v>44</v>
      </c>
      <c r="Q210">
        <v>0</v>
      </c>
      <c r="R210">
        <v>5</v>
      </c>
      <c r="S210" t="s">
        <v>29</v>
      </c>
      <c r="T210" t="s">
        <v>50</v>
      </c>
      <c r="U210" t="s">
        <v>38</v>
      </c>
      <c r="V210" t="s">
        <v>32</v>
      </c>
      <c r="W210">
        <v>0</v>
      </c>
      <c r="X210">
        <v>1</v>
      </c>
      <c r="Y210" s="2">
        <f>Table1[[#This Row],[premium_yearly]]*Table1[[#This Row],[tenure_years]]</f>
        <v>8032.6008000000002</v>
      </c>
      <c r="Z210" s="2">
        <f>Table1[[#This Row],[total_collected_premiums]]*(1-$AD$2)</f>
        <v>5863.7985840000001</v>
      </c>
      <c r="AA210" s="2">
        <f>Table1[[#This Row],[retained_premium]]-Table1[[#This Row],[claim_amount_paid]]</f>
        <v>3863.7985840000001</v>
      </c>
    </row>
    <row r="211" spans="1:27" x14ac:dyDescent="0.35">
      <c r="A211" t="s">
        <v>672</v>
      </c>
      <c r="B211" t="s">
        <v>673</v>
      </c>
      <c r="C211" t="s">
        <v>674</v>
      </c>
      <c r="D211" s="1">
        <v>42520</v>
      </c>
      <c r="E211" s="1">
        <v>44015</v>
      </c>
      <c r="F211" s="1">
        <v>44020</v>
      </c>
      <c r="G211">
        <v>5</v>
      </c>
      <c r="H211">
        <v>92.39</v>
      </c>
      <c r="I211">
        <v>1108.68</v>
      </c>
      <c r="J211">
        <v>7000</v>
      </c>
      <c r="K211" t="s">
        <v>27</v>
      </c>
      <c r="L211">
        <v>7000</v>
      </c>
      <c r="M211">
        <v>5.58</v>
      </c>
      <c r="N211" t="s">
        <v>36</v>
      </c>
      <c r="O211">
        <v>67</v>
      </c>
      <c r="P211">
        <v>39</v>
      </c>
      <c r="Q211">
        <v>1</v>
      </c>
      <c r="R211">
        <v>5</v>
      </c>
      <c r="S211" t="s">
        <v>29</v>
      </c>
      <c r="T211" t="s">
        <v>30</v>
      </c>
      <c r="U211" t="s">
        <v>38</v>
      </c>
      <c r="V211" t="s">
        <v>32</v>
      </c>
      <c r="W211">
        <v>1</v>
      </c>
      <c r="X211">
        <v>1</v>
      </c>
      <c r="Y211" s="2">
        <f>Table1[[#This Row],[premium_yearly]]*Table1[[#This Row],[tenure_years]]</f>
        <v>6186.4344000000001</v>
      </c>
      <c r="Z211" s="2">
        <f>Table1[[#This Row],[total_collected_premiums]]*(1-$AD$2)</f>
        <v>4516.0971120000004</v>
      </c>
      <c r="AA211" s="2">
        <f>Table1[[#This Row],[retained_premium]]-Table1[[#This Row],[claim_amount_paid]]</f>
        <v>-2483.9028879999996</v>
      </c>
    </row>
    <row r="212" spans="1:27" x14ac:dyDescent="0.35">
      <c r="A212" t="s">
        <v>675</v>
      </c>
      <c r="B212" t="s">
        <v>676</v>
      </c>
      <c r="C212" t="s">
        <v>677</v>
      </c>
      <c r="D212" s="1">
        <v>43795</v>
      </c>
      <c r="E212" s="1">
        <v>44016</v>
      </c>
      <c r="F212" s="1">
        <v>44021</v>
      </c>
      <c r="G212">
        <v>5</v>
      </c>
      <c r="H212">
        <v>112.59</v>
      </c>
      <c r="I212">
        <v>1351.08</v>
      </c>
      <c r="J212">
        <v>10000</v>
      </c>
      <c r="K212" t="s">
        <v>27</v>
      </c>
      <c r="L212">
        <v>10000</v>
      </c>
      <c r="M212">
        <v>7.42</v>
      </c>
      <c r="N212" t="s">
        <v>36</v>
      </c>
      <c r="O212">
        <v>89</v>
      </c>
      <c r="P212">
        <v>48</v>
      </c>
      <c r="Q212">
        <v>1</v>
      </c>
      <c r="R212">
        <v>7</v>
      </c>
      <c r="S212" t="s">
        <v>29</v>
      </c>
      <c r="T212" t="s">
        <v>50</v>
      </c>
      <c r="U212" t="s">
        <v>31</v>
      </c>
      <c r="V212" t="s">
        <v>39</v>
      </c>
      <c r="W212">
        <v>1</v>
      </c>
      <c r="X212">
        <v>0</v>
      </c>
      <c r="Y212" s="2">
        <f>Table1[[#This Row],[premium_yearly]]*Table1[[#This Row],[tenure_years]]</f>
        <v>10025.0136</v>
      </c>
      <c r="Z212" s="2">
        <f>Table1[[#This Row],[total_collected_premiums]]*(1-$AD$2)</f>
        <v>7318.2599280000004</v>
      </c>
      <c r="AA212" s="2">
        <f>Table1[[#This Row],[retained_premium]]-Table1[[#This Row],[claim_amount_paid]]</f>
        <v>-2681.7400719999996</v>
      </c>
    </row>
    <row r="213" spans="1:27" x14ac:dyDescent="0.35">
      <c r="A213" t="s">
        <v>678</v>
      </c>
      <c r="B213" t="s">
        <v>679</v>
      </c>
      <c r="C213" t="s">
        <v>680</v>
      </c>
      <c r="D213" s="1">
        <v>43079</v>
      </c>
      <c r="E213" s="1">
        <v>44014</v>
      </c>
      <c r="F213" s="1">
        <v>44019</v>
      </c>
      <c r="G213">
        <v>5</v>
      </c>
      <c r="H213">
        <v>74.92</v>
      </c>
      <c r="I213">
        <v>899.04</v>
      </c>
      <c r="J213">
        <v>1000</v>
      </c>
      <c r="K213" t="s">
        <v>27</v>
      </c>
      <c r="L213">
        <v>1000</v>
      </c>
      <c r="M213">
        <v>7.42</v>
      </c>
      <c r="N213" t="s">
        <v>49</v>
      </c>
      <c r="O213">
        <v>89</v>
      </c>
      <c r="P213">
        <v>37</v>
      </c>
      <c r="Q213">
        <v>1</v>
      </c>
      <c r="R213">
        <v>6</v>
      </c>
      <c r="S213" t="s">
        <v>37</v>
      </c>
      <c r="T213" t="s">
        <v>30</v>
      </c>
      <c r="U213" t="s">
        <v>38</v>
      </c>
      <c r="V213" t="s">
        <v>39</v>
      </c>
      <c r="W213">
        <v>1</v>
      </c>
      <c r="X213">
        <v>1</v>
      </c>
      <c r="Y213" s="2">
        <f>Table1[[#This Row],[premium_yearly]]*Table1[[#This Row],[tenure_years]]</f>
        <v>6670.8768</v>
      </c>
      <c r="Z213" s="2">
        <f>Table1[[#This Row],[total_collected_premiums]]*(1-$AD$2)</f>
        <v>4869.7400639999996</v>
      </c>
      <c r="AA213" s="2">
        <f>Table1[[#This Row],[retained_premium]]-Table1[[#This Row],[claim_amount_paid]]</f>
        <v>3869.7400639999996</v>
      </c>
    </row>
    <row r="214" spans="1:27" x14ac:dyDescent="0.35">
      <c r="A214" t="s">
        <v>681</v>
      </c>
      <c r="B214" t="s">
        <v>682</v>
      </c>
      <c r="C214" t="s">
        <v>683</v>
      </c>
      <c r="D214" s="1">
        <v>40486</v>
      </c>
      <c r="E214" s="1">
        <v>44026</v>
      </c>
      <c r="F214" s="1">
        <v>44028</v>
      </c>
      <c r="G214">
        <v>2</v>
      </c>
      <c r="H214">
        <v>75.430000000000007</v>
      </c>
      <c r="I214">
        <v>905.16</v>
      </c>
      <c r="J214">
        <v>6000</v>
      </c>
      <c r="K214" t="s">
        <v>27</v>
      </c>
      <c r="L214">
        <v>6000</v>
      </c>
      <c r="M214">
        <v>3.08</v>
      </c>
      <c r="N214" t="s">
        <v>49</v>
      </c>
      <c r="O214">
        <v>37</v>
      </c>
      <c r="P214">
        <v>49</v>
      </c>
      <c r="Q214">
        <v>1</v>
      </c>
      <c r="R214">
        <v>6</v>
      </c>
      <c r="S214" t="s">
        <v>29</v>
      </c>
      <c r="T214" t="s">
        <v>50</v>
      </c>
      <c r="U214" t="s">
        <v>66</v>
      </c>
      <c r="V214" t="s">
        <v>45</v>
      </c>
      <c r="W214">
        <v>1</v>
      </c>
      <c r="X214">
        <v>0</v>
      </c>
      <c r="Y214" s="2">
        <f>Table1[[#This Row],[premium_yearly]]*Table1[[#This Row],[tenure_years]]</f>
        <v>2787.8928000000001</v>
      </c>
      <c r="Z214" s="2">
        <f>Table1[[#This Row],[total_collected_premiums]]*(1-$AD$2)</f>
        <v>2035.161744</v>
      </c>
      <c r="AA214" s="2">
        <f>Table1[[#This Row],[retained_premium]]-Table1[[#This Row],[claim_amount_paid]]</f>
        <v>-3964.838256</v>
      </c>
    </row>
    <row r="215" spans="1:27" x14ac:dyDescent="0.35">
      <c r="A215" t="s">
        <v>684</v>
      </c>
      <c r="B215" t="s">
        <v>685</v>
      </c>
      <c r="C215" t="s">
        <v>686</v>
      </c>
      <c r="D215" s="1">
        <v>42408</v>
      </c>
      <c r="E215" s="1">
        <v>44026</v>
      </c>
      <c r="F215" s="1">
        <v>44028</v>
      </c>
      <c r="G215">
        <v>2</v>
      </c>
      <c r="H215">
        <v>87.03</v>
      </c>
      <c r="I215">
        <v>1044.3599999999999</v>
      </c>
      <c r="J215">
        <v>9000</v>
      </c>
      <c r="K215" t="s">
        <v>27</v>
      </c>
      <c r="L215">
        <v>9000</v>
      </c>
      <c r="M215">
        <v>2.33</v>
      </c>
      <c r="N215" t="s">
        <v>49</v>
      </c>
      <c r="O215">
        <v>28</v>
      </c>
      <c r="P215">
        <v>38</v>
      </c>
      <c r="Q215">
        <v>0</v>
      </c>
      <c r="R215">
        <v>2</v>
      </c>
      <c r="S215" t="s">
        <v>29</v>
      </c>
      <c r="T215" t="s">
        <v>30</v>
      </c>
      <c r="U215" t="s">
        <v>38</v>
      </c>
      <c r="V215" t="s">
        <v>45</v>
      </c>
      <c r="W215">
        <v>1</v>
      </c>
      <c r="X215">
        <v>1</v>
      </c>
      <c r="Y215" s="2">
        <f>Table1[[#This Row],[premium_yearly]]*Table1[[#This Row],[tenure_years]]</f>
        <v>2433.3588</v>
      </c>
      <c r="Z215" s="2">
        <f>Table1[[#This Row],[total_collected_premiums]]*(1-$AD$2)</f>
        <v>1776.3519239999998</v>
      </c>
      <c r="AA215" s="2">
        <f>Table1[[#This Row],[retained_premium]]-Table1[[#This Row],[claim_amount_paid]]</f>
        <v>-7223.6480760000004</v>
      </c>
    </row>
    <row r="216" spans="1:27" x14ac:dyDescent="0.35">
      <c r="A216" t="s">
        <v>687</v>
      </c>
      <c r="B216" t="s">
        <v>688</v>
      </c>
      <c r="C216" t="s">
        <v>689</v>
      </c>
      <c r="D216" s="1">
        <v>43599</v>
      </c>
      <c r="E216" s="1">
        <v>44019</v>
      </c>
      <c r="F216" s="1">
        <v>44024</v>
      </c>
      <c r="G216">
        <v>5</v>
      </c>
      <c r="H216">
        <v>122.06</v>
      </c>
      <c r="I216">
        <v>1464.72</v>
      </c>
      <c r="J216">
        <v>3000</v>
      </c>
      <c r="K216" t="s">
        <v>27</v>
      </c>
      <c r="L216">
        <v>3000</v>
      </c>
      <c r="M216">
        <v>1.25</v>
      </c>
      <c r="N216" t="s">
        <v>28</v>
      </c>
      <c r="O216">
        <v>15</v>
      </c>
      <c r="P216">
        <v>42</v>
      </c>
      <c r="Q216">
        <v>0</v>
      </c>
      <c r="R216">
        <v>3</v>
      </c>
      <c r="S216" t="s">
        <v>65</v>
      </c>
      <c r="T216" t="s">
        <v>44</v>
      </c>
      <c r="U216" t="s">
        <v>58</v>
      </c>
      <c r="V216" t="s">
        <v>39</v>
      </c>
      <c r="W216">
        <v>0</v>
      </c>
      <c r="X216">
        <v>0</v>
      </c>
      <c r="Y216" s="2">
        <f>Table1[[#This Row],[premium_yearly]]*Table1[[#This Row],[tenure_years]]</f>
        <v>1830.9</v>
      </c>
      <c r="Z216" s="2">
        <f>Table1[[#This Row],[total_collected_premiums]]*(1-$AD$2)</f>
        <v>1336.557</v>
      </c>
      <c r="AA216" s="2">
        <f>Table1[[#This Row],[retained_premium]]-Table1[[#This Row],[claim_amount_paid]]</f>
        <v>-1663.443</v>
      </c>
    </row>
    <row r="217" spans="1:27" x14ac:dyDescent="0.35">
      <c r="A217" t="s">
        <v>690</v>
      </c>
      <c r="B217" t="s">
        <v>691</v>
      </c>
      <c r="C217" t="s">
        <v>692</v>
      </c>
      <c r="D217" s="1">
        <v>40636</v>
      </c>
      <c r="E217" s="1">
        <v>44027</v>
      </c>
      <c r="F217" s="1">
        <v>44029</v>
      </c>
      <c r="G217">
        <v>2</v>
      </c>
      <c r="H217">
        <v>99.44</v>
      </c>
      <c r="I217">
        <v>1193.28</v>
      </c>
      <c r="J217">
        <v>8000</v>
      </c>
      <c r="K217" t="s">
        <v>27</v>
      </c>
      <c r="L217">
        <v>8000</v>
      </c>
      <c r="M217">
        <v>1.42</v>
      </c>
      <c r="N217" t="s">
        <v>49</v>
      </c>
      <c r="O217">
        <v>17</v>
      </c>
      <c r="P217">
        <v>48</v>
      </c>
      <c r="Q217">
        <v>0</v>
      </c>
      <c r="R217">
        <v>6</v>
      </c>
      <c r="S217" t="s">
        <v>37</v>
      </c>
      <c r="T217" t="s">
        <v>44</v>
      </c>
      <c r="U217" t="s">
        <v>66</v>
      </c>
      <c r="V217" t="s">
        <v>32</v>
      </c>
      <c r="W217">
        <v>1</v>
      </c>
      <c r="X217">
        <v>1</v>
      </c>
      <c r="Y217" s="2">
        <f>Table1[[#This Row],[premium_yearly]]*Table1[[#This Row],[tenure_years]]</f>
        <v>1694.4576</v>
      </c>
      <c r="Z217" s="2">
        <f>Table1[[#This Row],[total_collected_premiums]]*(1-$AD$2)</f>
        <v>1236.9540479999998</v>
      </c>
      <c r="AA217" s="2">
        <f>Table1[[#This Row],[retained_premium]]-Table1[[#This Row],[claim_amount_paid]]</f>
        <v>-6763.0459520000004</v>
      </c>
    </row>
    <row r="218" spans="1:27" x14ac:dyDescent="0.35">
      <c r="A218" t="s">
        <v>693</v>
      </c>
      <c r="B218" t="s">
        <v>694</v>
      </c>
      <c r="C218" t="s">
        <v>695</v>
      </c>
      <c r="D218" s="1">
        <v>43623</v>
      </c>
      <c r="E218" s="1">
        <v>44016</v>
      </c>
      <c r="F218" s="1">
        <v>44021</v>
      </c>
      <c r="G218">
        <v>5</v>
      </c>
      <c r="H218">
        <v>77.92</v>
      </c>
      <c r="I218">
        <v>935.04</v>
      </c>
      <c r="J218">
        <v>7000</v>
      </c>
      <c r="K218" t="s">
        <v>27</v>
      </c>
      <c r="L218">
        <v>7000</v>
      </c>
      <c r="M218">
        <v>1.75</v>
      </c>
      <c r="N218" t="s">
        <v>49</v>
      </c>
      <c r="O218">
        <v>21</v>
      </c>
      <c r="P218">
        <v>60</v>
      </c>
      <c r="Q218">
        <v>0</v>
      </c>
      <c r="R218">
        <v>3</v>
      </c>
      <c r="S218" t="s">
        <v>29</v>
      </c>
      <c r="T218" t="s">
        <v>50</v>
      </c>
      <c r="U218" t="s">
        <v>51</v>
      </c>
      <c r="V218" t="s">
        <v>45</v>
      </c>
      <c r="W218">
        <v>1</v>
      </c>
      <c r="X218">
        <v>0</v>
      </c>
      <c r="Y218" s="2">
        <f>Table1[[#This Row],[premium_yearly]]*Table1[[#This Row],[tenure_years]]</f>
        <v>1636.32</v>
      </c>
      <c r="Z218" s="2">
        <f>Table1[[#This Row],[total_collected_premiums]]*(1-$AD$2)</f>
        <v>1194.5136</v>
      </c>
      <c r="AA218" s="2">
        <f>Table1[[#This Row],[retained_premium]]-Table1[[#This Row],[claim_amount_paid]]</f>
        <v>-5805.4863999999998</v>
      </c>
    </row>
    <row r="219" spans="1:27" x14ac:dyDescent="0.35">
      <c r="A219" t="s">
        <v>696</v>
      </c>
      <c r="B219" t="s">
        <v>697</v>
      </c>
      <c r="C219" t="s">
        <v>698</v>
      </c>
      <c r="D219" s="1">
        <v>41064</v>
      </c>
      <c r="E219" s="1">
        <v>44030</v>
      </c>
      <c r="F219" s="1">
        <v>44030</v>
      </c>
      <c r="G219">
        <v>0</v>
      </c>
      <c r="H219">
        <v>89.54</v>
      </c>
      <c r="I219">
        <v>1074.48</v>
      </c>
      <c r="J219">
        <v>6000</v>
      </c>
      <c r="K219" t="s">
        <v>43</v>
      </c>
      <c r="L219">
        <v>0</v>
      </c>
      <c r="M219">
        <v>2.92</v>
      </c>
      <c r="N219" t="s">
        <v>28</v>
      </c>
      <c r="O219">
        <v>35</v>
      </c>
      <c r="P219">
        <v>31</v>
      </c>
      <c r="Q219">
        <v>0</v>
      </c>
      <c r="R219">
        <v>5</v>
      </c>
      <c r="S219" t="s">
        <v>65</v>
      </c>
      <c r="T219" t="s">
        <v>30</v>
      </c>
      <c r="U219" t="s">
        <v>38</v>
      </c>
      <c r="V219" t="s">
        <v>39</v>
      </c>
      <c r="W219">
        <v>1</v>
      </c>
      <c r="X219">
        <v>1</v>
      </c>
      <c r="Y219" s="2">
        <f>Table1[[#This Row],[premium_yearly]]*Table1[[#This Row],[tenure_years]]</f>
        <v>3137.4816000000001</v>
      </c>
      <c r="Z219" s="2">
        <f>Table1[[#This Row],[total_collected_premiums]]*(1-$AD$2)</f>
        <v>2290.3615679999998</v>
      </c>
      <c r="AA219" s="2">
        <f>Table1[[#This Row],[retained_premium]]-Table1[[#This Row],[claim_amount_paid]]</f>
        <v>2290.3615679999998</v>
      </c>
    </row>
    <row r="220" spans="1:27" x14ac:dyDescent="0.35">
      <c r="A220" t="s">
        <v>699</v>
      </c>
      <c r="B220" t="s">
        <v>700</v>
      </c>
      <c r="C220" t="s">
        <v>701</v>
      </c>
      <c r="D220" s="1">
        <v>42069</v>
      </c>
      <c r="E220" s="1">
        <v>44029</v>
      </c>
      <c r="F220" s="1">
        <v>44030</v>
      </c>
      <c r="G220">
        <v>1</v>
      </c>
      <c r="H220">
        <v>93.43</v>
      </c>
      <c r="I220">
        <v>1121.1600000000001</v>
      </c>
      <c r="J220">
        <v>7000</v>
      </c>
      <c r="K220" t="s">
        <v>27</v>
      </c>
      <c r="L220">
        <v>7000</v>
      </c>
      <c r="M220">
        <v>8</v>
      </c>
      <c r="N220" t="s">
        <v>36</v>
      </c>
      <c r="O220">
        <v>96</v>
      </c>
      <c r="P220">
        <v>53</v>
      </c>
      <c r="Q220">
        <v>0</v>
      </c>
      <c r="R220">
        <v>5</v>
      </c>
      <c r="S220" t="s">
        <v>29</v>
      </c>
      <c r="T220" t="s">
        <v>30</v>
      </c>
      <c r="U220" t="s">
        <v>66</v>
      </c>
      <c r="V220" t="s">
        <v>39</v>
      </c>
      <c r="W220">
        <v>1</v>
      </c>
      <c r="X220">
        <v>0</v>
      </c>
      <c r="Y220" s="2">
        <f>Table1[[#This Row],[premium_yearly]]*Table1[[#This Row],[tenure_years]]</f>
        <v>8969.2800000000007</v>
      </c>
      <c r="Z220" s="2">
        <f>Table1[[#This Row],[total_collected_premiums]]*(1-$AD$2)</f>
        <v>6547.5744000000004</v>
      </c>
      <c r="AA220" s="2">
        <f>Table1[[#This Row],[retained_premium]]-Table1[[#This Row],[claim_amount_paid]]</f>
        <v>-452.42559999999958</v>
      </c>
    </row>
    <row r="221" spans="1:27" x14ac:dyDescent="0.35">
      <c r="A221" t="s">
        <v>702</v>
      </c>
      <c r="B221" t="s">
        <v>703</v>
      </c>
      <c r="C221" t="s">
        <v>704</v>
      </c>
      <c r="D221" s="1">
        <v>43563</v>
      </c>
      <c r="E221" s="1">
        <v>44028</v>
      </c>
      <c r="F221" s="1">
        <v>44030</v>
      </c>
      <c r="G221">
        <v>2</v>
      </c>
      <c r="H221">
        <v>75.11</v>
      </c>
      <c r="I221">
        <v>901.32</v>
      </c>
      <c r="J221">
        <v>8000</v>
      </c>
      <c r="K221" t="s">
        <v>27</v>
      </c>
      <c r="L221">
        <v>8000</v>
      </c>
      <c r="M221">
        <v>7.42</v>
      </c>
      <c r="N221" t="s">
        <v>28</v>
      </c>
      <c r="O221">
        <v>89</v>
      </c>
      <c r="P221">
        <v>61</v>
      </c>
      <c r="Q221">
        <v>1</v>
      </c>
      <c r="R221">
        <v>2</v>
      </c>
      <c r="S221" t="s">
        <v>29</v>
      </c>
      <c r="T221" t="s">
        <v>44</v>
      </c>
      <c r="U221" t="s">
        <v>107</v>
      </c>
      <c r="V221" t="s">
        <v>39</v>
      </c>
      <c r="W221">
        <v>1</v>
      </c>
      <c r="X221">
        <v>0</v>
      </c>
      <c r="Y221" s="2">
        <f>Table1[[#This Row],[premium_yearly]]*Table1[[#This Row],[tenure_years]]</f>
        <v>6687.7944000000007</v>
      </c>
      <c r="Z221" s="2">
        <f>Table1[[#This Row],[total_collected_premiums]]*(1-$AD$2)</f>
        <v>4882.0899120000004</v>
      </c>
      <c r="AA221" s="2">
        <f>Table1[[#This Row],[retained_premium]]-Table1[[#This Row],[claim_amount_paid]]</f>
        <v>-3117.9100879999996</v>
      </c>
    </row>
    <row r="222" spans="1:27" x14ac:dyDescent="0.35">
      <c r="A222" t="s">
        <v>705</v>
      </c>
      <c r="B222" t="s">
        <v>706</v>
      </c>
      <c r="C222" t="s">
        <v>707</v>
      </c>
      <c r="D222" s="1">
        <v>40430</v>
      </c>
      <c r="E222" s="1">
        <v>44015</v>
      </c>
      <c r="F222" s="1">
        <v>44020</v>
      </c>
      <c r="G222">
        <v>5</v>
      </c>
      <c r="H222">
        <v>97.1</v>
      </c>
      <c r="I222">
        <v>1165.2</v>
      </c>
      <c r="J222">
        <v>1000</v>
      </c>
      <c r="K222" t="s">
        <v>27</v>
      </c>
      <c r="L222">
        <v>1000</v>
      </c>
      <c r="M222">
        <v>5.67</v>
      </c>
      <c r="N222" t="s">
        <v>28</v>
      </c>
      <c r="O222">
        <v>68</v>
      </c>
      <c r="P222">
        <v>64</v>
      </c>
      <c r="Q222">
        <v>1</v>
      </c>
      <c r="R222">
        <v>5</v>
      </c>
      <c r="S222" t="s">
        <v>65</v>
      </c>
      <c r="T222" t="s">
        <v>50</v>
      </c>
      <c r="U222" t="s">
        <v>38</v>
      </c>
      <c r="V222" t="s">
        <v>45</v>
      </c>
      <c r="W222">
        <v>1</v>
      </c>
      <c r="X222">
        <v>1</v>
      </c>
      <c r="Y222" s="2">
        <f>Table1[[#This Row],[premium_yearly]]*Table1[[#This Row],[tenure_years]]</f>
        <v>6606.6840000000002</v>
      </c>
      <c r="Z222" s="2">
        <f>Table1[[#This Row],[total_collected_premiums]]*(1-$AD$2)</f>
        <v>4822.87932</v>
      </c>
      <c r="AA222" s="2">
        <f>Table1[[#This Row],[retained_premium]]-Table1[[#This Row],[claim_amount_paid]]</f>
        <v>3822.87932</v>
      </c>
    </row>
    <row r="223" spans="1:27" x14ac:dyDescent="0.35">
      <c r="A223" t="s">
        <v>708</v>
      </c>
      <c r="B223" t="s">
        <v>709</v>
      </c>
      <c r="C223" t="s">
        <v>710</v>
      </c>
      <c r="D223" s="1">
        <v>43354</v>
      </c>
      <c r="E223" s="1">
        <v>44017</v>
      </c>
      <c r="F223" s="1">
        <v>44022</v>
      </c>
      <c r="G223">
        <v>5</v>
      </c>
      <c r="H223">
        <v>115.25</v>
      </c>
      <c r="I223">
        <v>1383</v>
      </c>
      <c r="J223">
        <v>8000</v>
      </c>
      <c r="K223" t="s">
        <v>27</v>
      </c>
      <c r="L223">
        <v>8000</v>
      </c>
      <c r="M223">
        <v>5</v>
      </c>
      <c r="N223" t="s">
        <v>36</v>
      </c>
      <c r="O223">
        <v>60</v>
      </c>
      <c r="P223">
        <v>36</v>
      </c>
      <c r="Q223">
        <v>0</v>
      </c>
      <c r="R223">
        <v>3</v>
      </c>
      <c r="S223" t="s">
        <v>29</v>
      </c>
      <c r="T223" t="s">
        <v>30</v>
      </c>
      <c r="U223" t="s">
        <v>88</v>
      </c>
      <c r="V223" t="s">
        <v>32</v>
      </c>
      <c r="W223">
        <v>1</v>
      </c>
      <c r="X223">
        <v>1</v>
      </c>
      <c r="Y223" s="2">
        <f>Table1[[#This Row],[premium_yearly]]*Table1[[#This Row],[tenure_years]]</f>
        <v>6915</v>
      </c>
      <c r="Z223" s="2">
        <f>Table1[[#This Row],[total_collected_premiums]]*(1-$AD$2)</f>
        <v>5047.95</v>
      </c>
      <c r="AA223" s="2">
        <f>Table1[[#This Row],[retained_premium]]-Table1[[#This Row],[claim_amount_paid]]</f>
        <v>-2952.05</v>
      </c>
    </row>
    <row r="224" spans="1:27" x14ac:dyDescent="0.35">
      <c r="A224" t="s">
        <v>711</v>
      </c>
      <c r="B224" t="s">
        <v>712</v>
      </c>
      <c r="C224" t="s">
        <v>713</v>
      </c>
      <c r="D224" s="1">
        <v>43633</v>
      </c>
      <c r="E224" s="1">
        <v>44021</v>
      </c>
      <c r="F224" s="1">
        <v>44026</v>
      </c>
      <c r="G224">
        <v>5</v>
      </c>
      <c r="H224">
        <v>95.96</v>
      </c>
      <c r="I224">
        <v>1151.52</v>
      </c>
      <c r="J224">
        <v>10000</v>
      </c>
      <c r="K224" t="s">
        <v>27</v>
      </c>
      <c r="L224">
        <v>10000</v>
      </c>
      <c r="M224">
        <v>6.83</v>
      </c>
      <c r="N224" t="s">
        <v>36</v>
      </c>
      <c r="O224">
        <v>82</v>
      </c>
      <c r="P224">
        <v>28</v>
      </c>
      <c r="Q224">
        <v>1</v>
      </c>
      <c r="R224">
        <v>4</v>
      </c>
      <c r="S224" t="s">
        <v>29</v>
      </c>
      <c r="T224" t="s">
        <v>44</v>
      </c>
      <c r="U224" t="s">
        <v>31</v>
      </c>
      <c r="V224" t="s">
        <v>45</v>
      </c>
      <c r="W224">
        <v>1</v>
      </c>
      <c r="X224">
        <v>1</v>
      </c>
      <c r="Y224" s="2">
        <f>Table1[[#This Row],[premium_yearly]]*Table1[[#This Row],[tenure_years]]</f>
        <v>7864.8815999999997</v>
      </c>
      <c r="Z224" s="2">
        <f>Table1[[#This Row],[total_collected_premiums]]*(1-$AD$2)</f>
        <v>5741.3635679999998</v>
      </c>
      <c r="AA224" s="2">
        <f>Table1[[#This Row],[retained_premium]]-Table1[[#This Row],[claim_amount_paid]]</f>
        <v>-4258.6364320000002</v>
      </c>
    </row>
    <row r="225" spans="1:27" x14ac:dyDescent="0.35">
      <c r="A225" t="s">
        <v>714</v>
      </c>
      <c r="B225" t="s">
        <v>715</v>
      </c>
      <c r="C225" t="s">
        <v>716</v>
      </c>
      <c r="D225" s="1">
        <v>41188</v>
      </c>
      <c r="E225" s="1">
        <v>44024</v>
      </c>
      <c r="F225" s="1">
        <v>44029</v>
      </c>
      <c r="G225">
        <v>5</v>
      </c>
      <c r="H225">
        <v>86.1</v>
      </c>
      <c r="I225">
        <v>1033.2</v>
      </c>
      <c r="J225">
        <v>8000</v>
      </c>
      <c r="K225" t="s">
        <v>27</v>
      </c>
      <c r="L225">
        <v>8000</v>
      </c>
      <c r="M225">
        <v>2.67</v>
      </c>
      <c r="N225" t="s">
        <v>36</v>
      </c>
      <c r="O225">
        <v>32</v>
      </c>
      <c r="P225">
        <v>63</v>
      </c>
      <c r="Q225">
        <v>1</v>
      </c>
      <c r="R225">
        <v>6</v>
      </c>
      <c r="S225" t="s">
        <v>29</v>
      </c>
      <c r="T225" t="s">
        <v>30</v>
      </c>
      <c r="U225" t="s">
        <v>58</v>
      </c>
      <c r="V225" t="s">
        <v>45</v>
      </c>
      <c r="W225">
        <v>1</v>
      </c>
      <c r="X225">
        <v>1</v>
      </c>
      <c r="Y225" s="2">
        <f>Table1[[#This Row],[premium_yearly]]*Table1[[#This Row],[tenure_years]]</f>
        <v>2758.6440000000002</v>
      </c>
      <c r="Z225" s="2">
        <f>Table1[[#This Row],[total_collected_premiums]]*(1-$AD$2)</f>
        <v>2013.8101200000001</v>
      </c>
      <c r="AA225" s="2">
        <f>Table1[[#This Row],[retained_premium]]-Table1[[#This Row],[claim_amount_paid]]</f>
        <v>-5986.1898799999999</v>
      </c>
    </row>
    <row r="226" spans="1:27" x14ac:dyDescent="0.35">
      <c r="A226" t="s">
        <v>717</v>
      </c>
      <c r="B226" t="s">
        <v>718</v>
      </c>
      <c r="C226" t="s">
        <v>719</v>
      </c>
      <c r="D226" s="1">
        <v>41255</v>
      </c>
      <c r="E226" s="1">
        <v>44016</v>
      </c>
      <c r="F226" s="1">
        <v>44021</v>
      </c>
      <c r="G226">
        <v>5</v>
      </c>
      <c r="H226">
        <v>100.91</v>
      </c>
      <c r="I226">
        <v>1210.92</v>
      </c>
      <c r="J226">
        <v>4000</v>
      </c>
      <c r="K226" t="s">
        <v>27</v>
      </c>
      <c r="L226">
        <v>4000</v>
      </c>
      <c r="M226">
        <v>5.67</v>
      </c>
      <c r="N226" t="s">
        <v>49</v>
      </c>
      <c r="O226">
        <v>68</v>
      </c>
      <c r="P226">
        <v>51</v>
      </c>
      <c r="Q226">
        <v>0</v>
      </c>
      <c r="R226">
        <v>6</v>
      </c>
      <c r="S226" t="s">
        <v>29</v>
      </c>
      <c r="T226" t="s">
        <v>44</v>
      </c>
      <c r="U226" t="s">
        <v>107</v>
      </c>
      <c r="V226" t="s">
        <v>32</v>
      </c>
      <c r="W226">
        <v>0</v>
      </c>
      <c r="X226">
        <v>1</v>
      </c>
      <c r="Y226" s="2">
        <f>Table1[[#This Row],[premium_yearly]]*Table1[[#This Row],[tenure_years]]</f>
        <v>6865.9164000000001</v>
      </c>
      <c r="Z226" s="2">
        <f>Table1[[#This Row],[total_collected_premiums]]*(1-$AD$2)</f>
        <v>5012.1189720000002</v>
      </c>
      <c r="AA226" s="2">
        <f>Table1[[#This Row],[retained_premium]]-Table1[[#This Row],[claim_amount_paid]]</f>
        <v>1012.1189720000002</v>
      </c>
    </row>
    <row r="227" spans="1:27" x14ac:dyDescent="0.35">
      <c r="A227" t="s">
        <v>720</v>
      </c>
      <c r="B227" t="s">
        <v>721</v>
      </c>
      <c r="C227" t="s">
        <v>722</v>
      </c>
      <c r="D227" s="1">
        <v>42741</v>
      </c>
      <c r="E227" s="1">
        <v>44029</v>
      </c>
      <c r="F227" s="1">
        <v>44031</v>
      </c>
      <c r="G227">
        <v>2</v>
      </c>
      <c r="H227">
        <v>105.23</v>
      </c>
      <c r="I227">
        <v>1262.76</v>
      </c>
      <c r="J227">
        <v>2000</v>
      </c>
      <c r="K227" t="s">
        <v>27</v>
      </c>
      <c r="L227">
        <v>2000</v>
      </c>
      <c r="M227">
        <v>2.42</v>
      </c>
      <c r="N227" t="s">
        <v>28</v>
      </c>
      <c r="O227">
        <v>29</v>
      </c>
      <c r="P227">
        <v>40</v>
      </c>
      <c r="Q227">
        <v>1</v>
      </c>
      <c r="R227">
        <v>4</v>
      </c>
      <c r="S227" t="s">
        <v>29</v>
      </c>
      <c r="T227" t="s">
        <v>44</v>
      </c>
      <c r="U227" t="s">
        <v>38</v>
      </c>
      <c r="V227" t="s">
        <v>32</v>
      </c>
      <c r="W227">
        <v>1</v>
      </c>
      <c r="X227">
        <v>0</v>
      </c>
      <c r="Y227" s="2">
        <f>Table1[[#This Row],[premium_yearly]]*Table1[[#This Row],[tenure_years]]</f>
        <v>3055.8791999999999</v>
      </c>
      <c r="Z227" s="2">
        <f>Table1[[#This Row],[total_collected_premiums]]*(1-$AD$2)</f>
        <v>2230.7918159999999</v>
      </c>
      <c r="AA227" s="2">
        <f>Table1[[#This Row],[retained_premium]]-Table1[[#This Row],[claim_amount_paid]]</f>
        <v>230.79181599999993</v>
      </c>
    </row>
    <row r="228" spans="1:27" x14ac:dyDescent="0.35">
      <c r="A228" t="s">
        <v>723</v>
      </c>
      <c r="B228" t="s">
        <v>724</v>
      </c>
      <c r="C228" t="s">
        <v>725</v>
      </c>
      <c r="D228" s="1">
        <v>40631</v>
      </c>
      <c r="E228" s="1">
        <v>44025</v>
      </c>
      <c r="F228" s="1">
        <v>44030</v>
      </c>
      <c r="G228">
        <v>5</v>
      </c>
      <c r="H228">
        <v>130.66999999999999</v>
      </c>
      <c r="I228">
        <v>1568.04</v>
      </c>
      <c r="J228">
        <v>8000</v>
      </c>
      <c r="K228" t="s">
        <v>27</v>
      </c>
      <c r="L228">
        <v>8000</v>
      </c>
      <c r="M228">
        <v>9.92</v>
      </c>
      <c r="N228" t="s">
        <v>49</v>
      </c>
      <c r="O228">
        <v>119</v>
      </c>
      <c r="P228">
        <v>38</v>
      </c>
      <c r="Q228">
        <v>1</v>
      </c>
      <c r="R228">
        <v>5</v>
      </c>
      <c r="S228" t="s">
        <v>29</v>
      </c>
      <c r="T228" t="s">
        <v>30</v>
      </c>
      <c r="U228" t="s">
        <v>31</v>
      </c>
      <c r="V228" t="s">
        <v>39</v>
      </c>
      <c r="W228">
        <v>1</v>
      </c>
      <c r="X228">
        <v>0</v>
      </c>
      <c r="Y228" s="2">
        <f>Table1[[#This Row],[premium_yearly]]*Table1[[#This Row],[tenure_years]]</f>
        <v>15554.9568</v>
      </c>
      <c r="Z228" s="2">
        <f>Table1[[#This Row],[total_collected_premiums]]*(1-$AD$2)</f>
        <v>11355.118463999999</v>
      </c>
      <c r="AA228" s="2">
        <f>Table1[[#This Row],[retained_premium]]-Table1[[#This Row],[claim_amount_paid]]</f>
        <v>3355.1184639999992</v>
      </c>
    </row>
    <row r="229" spans="1:27" x14ac:dyDescent="0.35">
      <c r="A229" t="s">
        <v>726</v>
      </c>
      <c r="B229" t="s">
        <v>727</v>
      </c>
      <c r="C229" t="s">
        <v>728</v>
      </c>
      <c r="D229" s="1">
        <v>40426</v>
      </c>
      <c r="E229" s="1">
        <v>44024</v>
      </c>
      <c r="F229" s="1">
        <v>44029</v>
      </c>
      <c r="G229">
        <v>5</v>
      </c>
      <c r="H229">
        <v>101.88</v>
      </c>
      <c r="I229">
        <v>1222.56</v>
      </c>
      <c r="J229">
        <v>4000</v>
      </c>
      <c r="K229" t="s">
        <v>27</v>
      </c>
      <c r="L229">
        <v>4000</v>
      </c>
      <c r="M229">
        <v>5.5</v>
      </c>
      <c r="N229" t="s">
        <v>36</v>
      </c>
      <c r="O229">
        <v>66</v>
      </c>
      <c r="P229">
        <v>42</v>
      </c>
      <c r="Q229">
        <v>1</v>
      </c>
      <c r="R229">
        <v>3</v>
      </c>
      <c r="S229" t="s">
        <v>29</v>
      </c>
      <c r="T229" t="s">
        <v>50</v>
      </c>
      <c r="U229" t="s">
        <v>66</v>
      </c>
      <c r="V229" t="s">
        <v>32</v>
      </c>
      <c r="W229">
        <v>1</v>
      </c>
      <c r="X229">
        <v>1</v>
      </c>
      <c r="Y229" s="2">
        <f>Table1[[#This Row],[premium_yearly]]*Table1[[#This Row],[tenure_years]]</f>
        <v>6724.08</v>
      </c>
      <c r="Z229" s="2">
        <f>Table1[[#This Row],[total_collected_premiums]]*(1-$AD$2)</f>
        <v>4908.5783999999994</v>
      </c>
      <c r="AA229" s="2">
        <f>Table1[[#This Row],[retained_premium]]-Table1[[#This Row],[claim_amount_paid]]</f>
        <v>908.57839999999942</v>
      </c>
    </row>
    <row r="230" spans="1:27" x14ac:dyDescent="0.35">
      <c r="A230" t="s">
        <v>729</v>
      </c>
      <c r="B230" t="s">
        <v>730</v>
      </c>
      <c r="C230" t="s">
        <v>731</v>
      </c>
      <c r="D230" s="1">
        <v>42931</v>
      </c>
      <c r="E230" s="1">
        <v>44020</v>
      </c>
      <c r="F230" s="1">
        <v>44025</v>
      </c>
      <c r="G230">
        <v>5</v>
      </c>
      <c r="H230">
        <v>106.99</v>
      </c>
      <c r="I230">
        <v>1283.8800000000001</v>
      </c>
      <c r="J230">
        <v>7000</v>
      </c>
      <c r="K230" t="s">
        <v>27</v>
      </c>
      <c r="L230">
        <v>7000</v>
      </c>
      <c r="M230">
        <v>2.83</v>
      </c>
      <c r="N230" t="s">
        <v>36</v>
      </c>
      <c r="O230">
        <v>34</v>
      </c>
      <c r="P230">
        <v>42</v>
      </c>
      <c r="Q230">
        <v>1</v>
      </c>
      <c r="R230">
        <v>5</v>
      </c>
      <c r="S230" t="s">
        <v>65</v>
      </c>
      <c r="T230" t="s">
        <v>30</v>
      </c>
      <c r="U230" t="s">
        <v>38</v>
      </c>
      <c r="V230" t="s">
        <v>32</v>
      </c>
      <c r="W230">
        <v>1</v>
      </c>
      <c r="X230">
        <v>0</v>
      </c>
      <c r="Y230" s="2">
        <f>Table1[[#This Row],[premium_yearly]]*Table1[[#This Row],[tenure_years]]</f>
        <v>3633.3804000000005</v>
      </c>
      <c r="Z230" s="2">
        <f>Table1[[#This Row],[total_collected_premiums]]*(1-$AD$2)</f>
        <v>2652.3676920000003</v>
      </c>
      <c r="AA230" s="2">
        <f>Table1[[#This Row],[retained_premium]]-Table1[[#This Row],[claim_amount_paid]]</f>
        <v>-4347.6323080000002</v>
      </c>
    </row>
    <row r="231" spans="1:27" x14ac:dyDescent="0.35">
      <c r="A231" t="s">
        <v>732</v>
      </c>
      <c r="B231" t="s">
        <v>733</v>
      </c>
      <c r="C231" t="s">
        <v>734</v>
      </c>
      <c r="D231" s="1">
        <v>42211</v>
      </c>
      <c r="E231" s="1">
        <v>44017</v>
      </c>
      <c r="F231" s="1">
        <v>44022</v>
      </c>
      <c r="G231">
        <v>5</v>
      </c>
      <c r="H231">
        <v>136.29</v>
      </c>
      <c r="I231">
        <v>1635.48</v>
      </c>
      <c r="J231">
        <v>7000</v>
      </c>
      <c r="K231" t="s">
        <v>27</v>
      </c>
      <c r="L231">
        <v>7000</v>
      </c>
      <c r="M231">
        <v>0.83</v>
      </c>
      <c r="N231" t="s">
        <v>28</v>
      </c>
      <c r="O231">
        <v>10</v>
      </c>
      <c r="P231">
        <v>29</v>
      </c>
      <c r="Q231">
        <v>0</v>
      </c>
      <c r="R231">
        <v>6</v>
      </c>
      <c r="S231" t="s">
        <v>29</v>
      </c>
      <c r="T231" t="s">
        <v>30</v>
      </c>
      <c r="U231" t="s">
        <v>107</v>
      </c>
      <c r="V231" t="s">
        <v>39</v>
      </c>
      <c r="W231">
        <v>0</v>
      </c>
      <c r="X231">
        <v>1</v>
      </c>
      <c r="Y231" s="2">
        <f>Table1[[#This Row],[premium_yearly]]*Table1[[#This Row],[tenure_years]]</f>
        <v>1357.4484</v>
      </c>
      <c r="Z231" s="2">
        <f>Table1[[#This Row],[total_collected_premiums]]*(1-$AD$2)</f>
        <v>990.93733199999997</v>
      </c>
      <c r="AA231" s="2">
        <f>Table1[[#This Row],[retained_premium]]-Table1[[#This Row],[claim_amount_paid]]</f>
        <v>-6009.0626680000005</v>
      </c>
    </row>
    <row r="232" spans="1:27" x14ac:dyDescent="0.35">
      <c r="A232" t="s">
        <v>735</v>
      </c>
      <c r="B232" t="s">
        <v>736</v>
      </c>
      <c r="C232" t="s">
        <v>737</v>
      </c>
      <c r="D232" s="1">
        <v>41159</v>
      </c>
      <c r="E232" s="1">
        <v>44035</v>
      </c>
      <c r="F232" s="1">
        <v>44035</v>
      </c>
      <c r="G232">
        <v>0</v>
      </c>
      <c r="H232">
        <v>115.5</v>
      </c>
      <c r="I232">
        <v>1386</v>
      </c>
      <c r="J232">
        <v>2000</v>
      </c>
      <c r="K232" t="s">
        <v>27</v>
      </c>
      <c r="L232">
        <v>2000</v>
      </c>
      <c r="M232">
        <v>4.17</v>
      </c>
      <c r="N232" t="s">
        <v>49</v>
      </c>
      <c r="O232">
        <v>50</v>
      </c>
      <c r="P232">
        <v>28</v>
      </c>
      <c r="Q232">
        <v>1</v>
      </c>
      <c r="R232">
        <v>5</v>
      </c>
      <c r="S232" t="s">
        <v>65</v>
      </c>
      <c r="T232" t="s">
        <v>44</v>
      </c>
      <c r="U232" t="s">
        <v>38</v>
      </c>
      <c r="V232" t="s">
        <v>45</v>
      </c>
      <c r="W232">
        <v>1</v>
      </c>
      <c r="X232">
        <v>0</v>
      </c>
      <c r="Y232" s="2">
        <f>Table1[[#This Row],[premium_yearly]]*Table1[[#This Row],[tenure_years]]</f>
        <v>5779.62</v>
      </c>
      <c r="Z232" s="2">
        <f>Table1[[#This Row],[total_collected_premiums]]*(1-$AD$2)</f>
        <v>4219.1225999999997</v>
      </c>
      <c r="AA232" s="2">
        <f>Table1[[#This Row],[retained_premium]]-Table1[[#This Row],[claim_amount_paid]]</f>
        <v>2219.1225999999997</v>
      </c>
    </row>
    <row r="233" spans="1:27" x14ac:dyDescent="0.35">
      <c r="A233" t="s">
        <v>738</v>
      </c>
      <c r="B233" t="s">
        <v>739</v>
      </c>
      <c r="C233" t="s">
        <v>740</v>
      </c>
      <c r="D233" s="1">
        <v>42595</v>
      </c>
      <c r="E233" s="1">
        <v>44032</v>
      </c>
      <c r="F233" s="1">
        <v>44033</v>
      </c>
      <c r="G233">
        <v>1</v>
      </c>
      <c r="H233">
        <v>77.23</v>
      </c>
      <c r="I233">
        <v>926.76</v>
      </c>
      <c r="J233">
        <v>7000</v>
      </c>
      <c r="K233" t="s">
        <v>27</v>
      </c>
      <c r="L233">
        <v>7000</v>
      </c>
      <c r="M233">
        <v>6</v>
      </c>
      <c r="N233" t="s">
        <v>28</v>
      </c>
      <c r="O233">
        <v>72</v>
      </c>
      <c r="P233">
        <v>63</v>
      </c>
      <c r="Q233">
        <v>1</v>
      </c>
      <c r="R233">
        <v>4</v>
      </c>
      <c r="S233" t="s">
        <v>65</v>
      </c>
      <c r="T233" t="s">
        <v>30</v>
      </c>
      <c r="U233" t="s">
        <v>38</v>
      </c>
      <c r="V233" t="s">
        <v>32</v>
      </c>
      <c r="W233">
        <v>1</v>
      </c>
      <c r="X233">
        <v>0</v>
      </c>
      <c r="Y233" s="2">
        <f>Table1[[#This Row],[premium_yearly]]*Table1[[#This Row],[tenure_years]]</f>
        <v>5560.5599999999995</v>
      </c>
      <c r="Z233" s="2">
        <f>Table1[[#This Row],[total_collected_premiums]]*(1-$AD$2)</f>
        <v>4059.2087999999994</v>
      </c>
      <c r="AA233" s="2">
        <f>Table1[[#This Row],[retained_premium]]-Table1[[#This Row],[claim_amount_paid]]</f>
        <v>-2940.7912000000006</v>
      </c>
    </row>
    <row r="234" spans="1:27" x14ac:dyDescent="0.35">
      <c r="A234" t="s">
        <v>741</v>
      </c>
      <c r="B234" t="s">
        <v>742</v>
      </c>
      <c r="C234" t="s">
        <v>743</v>
      </c>
      <c r="D234" s="1">
        <v>40556</v>
      </c>
      <c r="E234" s="1">
        <v>44017</v>
      </c>
      <c r="F234" s="1">
        <v>44022</v>
      </c>
      <c r="G234">
        <v>5</v>
      </c>
      <c r="H234">
        <v>105.57</v>
      </c>
      <c r="I234">
        <v>1266.8399999999999</v>
      </c>
      <c r="J234">
        <v>3000</v>
      </c>
      <c r="K234" t="s">
        <v>27</v>
      </c>
      <c r="L234">
        <v>3000</v>
      </c>
      <c r="M234">
        <v>0.67</v>
      </c>
      <c r="N234" t="s">
        <v>36</v>
      </c>
      <c r="O234">
        <v>8</v>
      </c>
      <c r="P234">
        <v>32</v>
      </c>
      <c r="Q234">
        <v>1</v>
      </c>
      <c r="R234">
        <v>7</v>
      </c>
      <c r="S234" t="s">
        <v>65</v>
      </c>
      <c r="T234" t="s">
        <v>44</v>
      </c>
      <c r="U234" t="s">
        <v>66</v>
      </c>
      <c r="V234" t="s">
        <v>45</v>
      </c>
      <c r="W234">
        <v>1</v>
      </c>
      <c r="X234">
        <v>1</v>
      </c>
      <c r="Y234" s="2">
        <f>Table1[[#This Row],[premium_yearly]]*Table1[[#This Row],[tenure_years]]</f>
        <v>848.78279999999995</v>
      </c>
      <c r="Z234" s="2">
        <f>Table1[[#This Row],[total_collected_premiums]]*(1-$AD$2)</f>
        <v>619.61144400000001</v>
      </c>
      <c r="AA234" s="2">
        <f>Table1[[#This Row],[retained_premium]]-Table1[[#This Row],[claim_amount_paid]]</f>
        <v>-2380.3885559999999</v>
      </c>
    </row>
    <row r="235" spans="1:27" x14ac:dyDescent="0.35">
      <c r="A235" t="s">
        <v>744</v>
      </c>
      <c r="B235" t="s">
        <v>745</v>
      </c>
      <c r="C235" t="s">
        <v>746</v>
      </c>
      <c r="D235" s="1">
        <v>43793</v>
      </c>
      <c r="E235" s="1">
        <v>44025</v>
      </c>
      <c r="F235" s="1">
        <v>44030</v>
      </c>
      <c r="G235">
        <v>5</v>
      </c>
      <c r="H235">
        <v>91.12</v>
      </c>
      <c r="I235">
        <v>1093.44</v>
      </c>
      <c r="J235">
        <v>8000</v>
      </c>
      <c r="K235" t="s">
        <v>27</v>
      </c>
      <c r="L235">
        <v>8000</v>
      </c>
      <c r="M235">
        <v>8.83</v>
      </c>
      <c r="N235" t="s">
        <v>36</v>
      </c>
      <c r="O235">
        <v>106</v>
      </c>
      <c r="P235">
        <v>57</v>
      </c>
      <c r="Q235">
        <v>1</v>
      </c>
      <c r="R235">
        <v>2</v>
      </c>
      <c r="S235" t="s">
        <v>65</v>
      </c>
      <c r="T235" t="s">
        <v>44</v>
      </c>
      <c r="U235" t="s">
        <v>38</v>
      </c>
      <c r="V235" t="s">
        <v>39</v>
      </c>
      <c r="W235">
        <v>1</v>
      </c>
      <c r="X235">
        <v>1</v>
      </c>
      <c r="Y235" s="2">
        <f>Table1[[#This Row],[premium_yearly]]*Table1[[#This Row],[tenure_years]]</f>
        <v>9655.0752000000011</v>
      </c>
      <c r="Z235" s="2">
        <f>Table1[[#This Row],[total_collected_premiums]]*(1-$AD$2)</f>
        <v>7048.2048960000011</v>
      </c>
      <c r="AA235" s="2">
        <f>Table1[[#This Row],[retained_premium]]-Table1[[#This Row],[claim_amount_paid]]</f>
        <v>-951.7951039999989</v>
      </c>
    </row>
    <row r="236" spans="1:27" x14ac:dyDescent="0.35">
      <c r="A236" t="s">
        <v>747</v>
      </c>
      <c r="B236" t="s">
        <v>748</v>
      </c>
      <c r="C236" t="s">
        <v>749</v>
      </c>
      <c r="D236" s="1">
        <v>43387</v>
      </c>
      <c r="E236" s="1">
        <v>44021</v>
      </c>
      <c r="F236" s="1">
        <v>44026</v>
      </c>
      <c r="G236">
        <v>5</v>
      </c>
      <c r="H236">
        <v>128.58000000000001</v>
      </c>
      <c r="I236">
        <v>1542.96</v>
      </c>
      <c r="J236">
        <v>9000</v>
      </c>
      <c r="K236" t="s">
        <v>27</v>
      </c>
      <c r="L236">
        <v>9000</v>
      </c>
      <c r="M236">
        <v>6.08</v>
      </c>
      <c r="N236" t="s">
        <v>49</v>
      </c>
      <c r="O236">
        <v>73</v>
      </c>
      <c r="P236">
        <v>26</v>
      </c>
      <c r="Q236">
        <v>1</v>
      </c>
      <c r="R236">
        <v>7</v>
      </c>
      <c r="S236" t="s">
        <v>65</v>
      </c>
      <c r="T236" t="s">
        <v>50</v>
      </c>
      <c r="U236" t="s">
        <v>38</v>
      </c>
      <c r="V236" t="s">
        <v>32</v>
      </c>
      <c r="W236">
        <v>1</v>
      </c>
      <c r="X236">
        <v>1</v>
      </c>
      <c r="Y236" s="2">
        <f>Table1[[#This Row],[premium_yearly]]*Table1[[#This Row],[tenure_years]]</f>
        <v>9381.1967999999997</v>
      </c>
      <c r="Z236" s="2">
        <f>Table1[[#This Row],[total_collected_premiums]]*(1-$AD$2)</f>
        <v>6848.2736639999994</v>
      </c>
      <c r="AA236" s="2">
        <f>Table1[[#This Row],[retained_premium]]-Table1[[#This Row],[claim_amount_paid]]</f>
        <v>-2151.7263360000006</v>
      </c>
    </row>
    <row r="237" spans="1:27" x14ac:dyDescent="0.35">
      <c r="A237" t="s">
        <v>750</v>
      </c>
      <c r="B237" t="s">
        <v>751</v>
      </c>
      <c r="C237" t="s">
        <v>752</v>
      </c>
      <c r="D237" s="1">
        <v>41434</v>
      </c>
      <c r="E237" s="1">
        <v>44025</v>
      </c>
      <c r="F237" s="1">
        <v>44030</v>
      </c>
      <c r="G237">
        <v>5</v>
      </c>
      <c r="H237">
        <v>102.83</v>
      </c>
      <c r="I237">
        <v>1233.96</v>
      </c>
      <c r="J237">
        <v>10000</v>
      </c>
      <c r="K237" t="s">
        <v>27</v>
      </c>
      <c r="L237">
        <v>10000</v>
      </c>
      <c r="M237">
        <v>6.75</v>
      </c>
      <c r="N237" t="s">
        <v>36</v>
      </c>
      <c r="O237">
        <v>81</v>
      </c>
      <c r="P237">
        <v>34</v>
      </c>
      <c r="Q237">
        <v>1</v>
      </c>
      <c r="R237">
        <v>3</v>
      </c>
      <c r="S237" t="s">
        <v>29</v>
      </c>
      <c r="T237" t="s">
        <v>50</v>
      </c>
      <c r="U237" t="s">
        <v>31</v>
      </c>
      <c r="V237" t="s">
        <v>39</v>
      </c>
      <c r="W237">
        <v>0</v>
      </c>
      <c r="X237">
        <v>1</v>
      </c>
      <c r="Y237" s="2">
        <f>Table1[[#This Row],[premium_yearly]]*Table1[[#This Row],[tenure_years]]</f>
        <v>8329.23</v>
      </c>
      <c r="Z237" s="2">
        <f>Table1[[#This Row],[total_collected_premiums]]*(1-$AD$2)</f>
        <v>6080.3378999999995</v>
      </c>
      <c r="AA237" s="2">
        <f>Table1[[#This Row],[retained_premium]]-Table1[[#This Row],[claim_amount_paid]]</f>
        <v>-3919.6621000000005</v>
      </c>
    </row>
    <row r="238" spans="1:27" x14ac:dyDescent="0.35">
      <c r="A238" t="s">
        <v>753</v>
      </c>
      <c r="B238" t="s">
        <v>754</v>
      </c>
      <c r="C238" t="s">
        <v>755</v>
      </c>
      <c r="D238" s="1">
        <v>41429</v>
      </c>
      <c r="E238" s="1">
        <v>44025</v>
      </c>
      <c r="F238" s="1">
        <v>44030</v>
      </c>
      <c r="G238">
        <v>5</v>
      </c>
      <c r="H238">
        <v>103.96</v>
      </c>
      <c r="I238">
        <v>1247.52</v>
      </c>
      <c r="J238">
        <v>9000</v>
      </c>
      <c r="K238" t="s">
        <v>27</v>
      </c>
      <c r="L238">
        <v>9000</v>
      </c>
      <c r="M238">
        <v>6.17</v>
      </c>
      <c r="N238" t="s">
        <v>49</v>
      </c>
      <c r="O238">
        <v>74</v>
      </c>
      <c r="P238">
        <v>33</v>
      </c>
      <c r="Q238">
        <v>1</v>
      </c>
      <c r="R238">
        <v>3</v>
      </c>
      <c r="S238" t="s">
        <v>29</v>
      </c>
      <c r="T238" t="s">
        <v>44</v>
      </c>
      <c r="U238" t="s">
        <v>38</v>
      </c>
      <c r="V238" t="s">
        <v>32</v>
      </c>
      <c r="W238">
        <v>1</v>
      </c>
      <c r="X238">
        <v>1</v>
      </c>
      <c r="Y238" s="2">
        <f>Table1[[#This Row],[premium_yearly]]*Table1[[#This Row],[tenure_years]]</f>
        <v>7697.1984000000002</v>
      </c>
      <c r="Z238" s="2">
        <f>Table1[[#This Row],[total_collected_premiums]]*(1-$AD$2)</f>
        <v>5618.9548320000004</v>
      </c>
      <c r="AA238" s="2">
        <f>Table1[[#This Row],[retained_premium]]-Table1[[#This Row],[claim_amount_paid]]</f>
        <v>-3381.0451679999996</v>
      </c>
    </row>
    <row r="239" spans="1:27" x14ac:dyDescent="0.35">
      <c r="A239" t="s">
        <v>756</v>
      </c>
      <c r="B239" t="s">
        <v>757</v>
      </c>
      <c r="C239" t="s">
        <v>758</v>
      </c>
      <c r="D239" s="1">
        <v>43700</v>
      </c>
      <c r="E239" s="1">
        <v>44037</v>
      </c>
      <c r="F239" s="1">
        <v>44037</v>
      </c>
      <c r="G239">
        <v>0</v>
      </c>
      <c r="H239">
        <v>96.36</v>
      </c>
      <c r="I239">
        <v>1156.32</v>
      </c>
      <c r="J239">
        <v>7000</v>
      </c>
      <c r="K239" t="s">
        <v>27</v>
      </c>
      <c r="L239">
        <v>7000</v>
      </c>
      <c r="M239">
        <v>1.25</v>
      </c>
      <c r="N239" t="s">
        <v>49</v>
      </c>
      <c r="O239">
        <v>15</v>
      </c>
      <c r="P239">
        <v>56</v>
      </c>
      <c r="Q239">
        <v>1</v>
      </c>
      <c r="R239">
        <v>6</v>
      </c>
      <c r="S239" t="s">
        <v>29</v>
      </c>
      <c r="T239" t="s">
        <v>30</v>
      </c>
      <c r="U239" t="s">
        <v>51</v>
      </c>
      <c r="V239" t="s">
        <v>32</v>
      </c>
      <c r="W239">
        <v>0</v>
      </c>
      <c r="X239">
        <v>1</v>
      </c>
      <c r="Y239" s="2">
        <f>Table1[[#This Row],[premium_yearly]]*Table1[[#This Row],[tenure_years]]</f>
        <v>1445.3999999999999</v>
      </c>
      <c r="Z239" s="2">
        <f>Table1[[#This Row],[total_collected_premiums]]*(1-$AD$2)</f>
        <v>1055.1419999999998</v>
      </c>
      <c r="AA239" s="2">
        <f>Table1[[#This Row],[retained_premium]]-Table1[[#This Row],[claim_amount_paid]]</f>
        <v>-5944.8580000000002</v>
      </c>
    </row>
    <row r="240" spans="1:27" x14ac:dyDescent="0.35">
      <c r="A240" t="s">
        <v>759</v>
      </c>
      <c r="B240" t="s">
        <v>760</v>
      </c>
      <c r="C240" t="s">
        <v>761</v>
      </c>
      <c r="D240" s="1">
        <v>40588</v>
      </c>
      <c r="E240" s="1">
        <v>44022</v>
      </c>
      <c r="F240" s="1">
        <v>44027</v>
      </c>
      <c r="G240">
        <v>5</v>
      </c>
      <c r="H240">
        <v>134.53</v>
      </c>
      <c r="I240">
        <v>1614.36</v>
      </c>
      <c r="J240">
        <v>5000</v>
      </c>
      <c r="K240" t="s">
        <v>27</v>
      </c>
      <c r="L240">
        <v>5000</v>
      </c>
      <c r="M240">
        <v>4.17</v>
      </c>
      <c r="N240" t="s">
        <v>36</v>
      </c>
      <c r="O240">
        <v>50</v>
      </c>
      <c r="P240">
        <v>28</v>
      </c>
      <c r="Q240">
        <v>1</v>
      </c>
      <c r="R240">
        <v>4</v>
      </c>
      <c r="S240" t="s">
        <v>29</v>
      </c>
      <c r="T240" t="s">
        <v>30</v>
      </c>
      <c r="U240" t="s">
        <v>88</v>
      </c>
      <c r="V240" t="s">
        <v>45</v>
      </c>
      <c r="W240">
        <v>1</v>
      </c>
      <c r="X240">
        <v>0</v>
      </c>
      <c r="Y240" s="2">
        <f>Table1[[#This Row],[premium_yearly]]*Table1[[#This Row],[tenure_years]]</f>
        <v>6731.8811999999998</v>
      </c>
      <c r="Z240" s="2">
        <f>Table1[[#This Row],[total_collected_premiums]]*(1-$AD$2)</f>
        <v>4914.2732759999999</v>
      </c>
      <c r="AA240" s="2">
        <f>Table1[[#This Row],[retained_premium]]-Table1[[#This Row],[claim_amount_paid]]</f>
        <v>-85.726724000000104</v>
      </c>
    </row>
    <row r="241" spans="1:27" x14ac:dyDescent="0.35">
      <c r="A241" t="s">
        <v>762</v>
      </c>
      <c r="B241" t="s">
        <v>763</v>
      </c>
      <c r="C241" t="s">
        <v>764</v>
      </c>
      <c r="D241" s="1">
        <v>43741</v>
      </c>
      <c r="E241" s="1">
        <v>44027</v>
      </c>
      <c r="F241" s="1">
        <v>44032</v>
      </c>
      <c r="G241">
        <v>5</v>
      </c>
      <c r="H241">
        <v>132.97999999999999</v>
      </c>
      <c r="I241">
        <v>1595.76</v>
      </c>
      <c r="J241">
        <v>1000</v>
      </c>
      <c r="K241" t="s">
        <v>27</v>
      </c>
      <c r="L241">
        <v>1000</v>
      </c>
      <c r="M241">
        <v>9.83</v>
      </c>
      <c r="N241" t="s">
        <v>28</v>
      </c>
      <c r="O241">
        <v>118</v>
      </c>
      <c r="P241">
        <v>39</v>
      </c>
      <c r="Q241">
        <v>1</v>
      </c>
      <c r="R241">
        <v>6</v>
      </c>
      <c r="S241" t="s">
        <v>29</v>
      </c>
      <c r="T241" t="s">
        <v>50</v>
      </c>
      <c r="U241" t="s">
        <v>31</v>
      </c>
      <c r="V241" t="s">
        <v>45</v>
      </c>
      <c r="W241">
        <v>1</v>
      </c>
      <c r="X241">
        <v>1</v>
      </c>
      <c r="Y241" s="2">
        <f>Table1[[#This Row],[premium_yearly]]*Table1[[#This Row],[tenure_years]]</f>
        <v>15686.3208</v>
      </c>
      <c r="Z241" s="2">
        <f>Table1[[#This Row],[total_collected_premiums]]*(1-$AD$2)</f>
        <v>11451.014184</v>
      </c>
      <c r="AA241" s="2">
        <f>Table1[[#This Row],[retained_premium]]-Table1[[#This Row],[claim_amount_paid]]</f>
        <v>10451.014184</v>
      </c>
    </row>
    <row r="242" spans="1:27" x14ac:dyDescent="0.35">
      <c r="A242" t="s">
        <v>765</v>
      </c>
      <c r="B242" t="s">
        <v>766</v>
      </c>
      <c r="C242" t="s">
        <v>767</v>
      </c>
      <c r="D242" s="1">
        <v>40857</v>
      </c>
      <c r="E242" s="1">
        <v>44027</v>
      </c>
      <c r="F242" s="1">
        <v>44032</v>
      </c>
      <c r="G242">
        <v>5</v>
      </c>
      <c r="H242">
        <v>89.02</v>
      </c>
      <c r="I242">
        <v>1068.24</v>
      </c>
      <c r="J242">
        <v>2000</v>
      </c>
      <c r="K242" t="s">
        <v>27</v>
      </c>
      <c r="L242">
        <v>2000</v>
      </c>
      <c r="M242">
        <v>4.33</v>
      </c>
      <c r="N242" t="s">
        <v>49</v>
      </c>
      <c r="O242">
        <v>52</v>
      </c>
      <c r="P242">
        <v>49</v>
      </c>
      <c r="Q242">
        <v>0</v>
      </c>
      <c r="R242">
        <v>3</v>
      </c>
      <c r="S242" t="s">
        <v>65</v>
      </c>
      <c r="T242" t="s">
        <v>50</v>
      </c>
      <c r="U242" t="s">
        <v>38</v>
      </c>
      <c r="V242" t="s">
        <v>32</v>
      </c>
      <c r="W242">
        <v>1</v>
      </c>
      <c r="X242">
        <v>0</v>
      </c>
      <c r="Y242" s="2">
        <f>Table1[[#This Row],[premium_yearly]]*Table1[[#This Row],[tenure_years]]</f>
        <v>4625.4791999999998</v>
      </c>
      <c r="Z242" s="2">
        <f>Table1[[#This Row],[total_collected_premiums]]*(1-$AD$2)</f>
        <v>3376.5998159999999</v>
      </c>
      <c r="AA242" s="2">
        <f>Table1[[#This Row],[retained_premium]]-Table1[[#This Row],[claim_amount_paid]]</f>
        <v>1376.5998159999999</v>
      </c>
    </row>
    <row r="243" spans="1:27" x14ac:dyDescent="0.35">
      <c r="A243" t="s">
        <v>768</v>
      </c>
      <c r="B243" t="s">
        <v>769</v>
      </c>
      <c r="C243" t="s">
        <v>770</v>
      </c>
      <c r="D243" s="1">
        <v>43382</v>
      </c>
      <c r="E243" s="1">
        <v>44028</v>
      </c>
      <c r="F243" s="1">
        <v>44031</v>
      </c>
      <c r="G243">
        <v>3</v>
      </c>
      <c r="H243">
        <v>95.38</v>
      </c>
      <c r="I243">
        <v>1144.56</v>
      </c>
      <c r="J243">
        <v>4000</v>
      </c>
      <c r="K243" t="s">
        <v>27</v>
      </c>
      <c r="L243">
        <v>4000</v>
      </c>
      <c r="M243">
        <v>8</v>
      </c>
      <c r="N243" t="s">
        <v>36</v>
      </c>
      <c r="O243">
        <v>96</v>
      </c>
      <c r="P243">
        <v>33</v>
      </c>
      <c r="Q243">
        <v>1</v>
      </c>
      <c r="R243">
        <v>3</v>
      </c>
      <c r="S243" t="s">
        <v>29</v>
      </c>
      <c r="T243" t="s">
        <v>44</v>
      </c>
      <c r="U243" t="s">
        <v>31</v>
      </c>
      <c r="V243" t="s">
        <v>45</v>
      </c>
      <c r="W243">
        <v>0</v>
      </c>
      <c r="X243">
        <v>0</v>
      </c>
      <c r="Y243" s="2">
        <f>Table1[[#This Row],[premium_yearly]]*Table1[[#This Row],[tenure_years]]</f>
        <v>9156.48</v>
      </c>
      <c r="Z243" s="2">
        <f>Table1[[#This Row],[total_collected_premiums]]*(1-$AD$2)</f>
        <v>6684.2303999999995</v>
      </c>
      <c r="AA243" s="2">
        <f>Table1[[#This Row],[retained_premium]]-Table1[[#This Row],[claim_amount_paid]]</f>
        <v>2684.2303999999995</v>
      </c>
    </row>
    <row r="244" spans="1:27" x14ac:dyDescent="0.35">
      <c r="A244" t="s">
        <v>771</v>
      </c>
      <c r="B244" t="s">
        <v>772</v>
      </c>
      <c r="C244" t="s">
        <v>773</v>
      </c>
      <c r="D244" s="1">
        <v>43630</v>
      </c>
      <c r="E244" s="1">
        <v>44036</v>
      </c>
      <c r="F244" s="1">
        <v>44036</v>
      </c>
      <c r="G244">
        <v>0</v>
      </c>
      <c r="H244">
        <v>91.27</v>
      </c>
      <c r="I244">
        <v>1095.24</v>
      </c>
      <c r="J244">
        <v>9000</v>
      </c>
      <c r="K244" t="s">
        <v>43</v>
      </c>
      <c r="L244">
        <v>0</v>
      </c>
      <c r="M244">
        <v>5.67</v>
      </c>
      <c r="N244" t="s">
        <v>28</v>
      </c>
      <c r="O244">
        <v>68</v>
      </c>
      <c r="P244">
        <v>36</v>
      </c>
      <c r="Q244">
        <v>0</v>
      </c>
      <c r="R244">
        <v>3</v>
      </c>
      <c r="S244" t="s">
        <v>29</v>
      </c>
      <c r="T244" t="s">
        <v>30</v>
      </c>
      <c r="U244" t="s">
        <v>38</v>
      </c>
      <c r="V244" t="s">
        <v>45</v>
      </c>
      <c r="W244">
        <v>1</v>
      </c>
      <c r="X244">
        <v>1</v>
      </c>
      <c r="Y244" s="2">
        <f>Table1[[#This Row],[premium_yearly]]*Table1[[#This Row],[tenure_years]]</f>
        <v>6210.0108</v>
      </c>
      <c r="Z244" s="2">
        <f>Table1[[#This Row],[total_collected_premiums]]*(1-$AD$2)</f>
        <v>4533.3078839999998</v>
      </c>
      <c r="AA244" s="2">
        <f>Table1[[#This Row],[retained_premium]]-Table1[[#This Row],[claim_amount_paid]]</f>
        <v>4533.3078839999998</v>
      </c>
    </row>
    <row r="245" spans="1:27" x14ac:dyDescent="0.35">
      <c r="A245" t="s">
        <v>774</v>
      </c>
      <c r="B245" t="s">
        <v>775</v>
      </c>
      <c r="C245" t="s">
        <v>776</v>
      </c>
      <c r="D245" s="1">
        <v>41721</v>
      </c>
      <c r="E245" s="1">
        <v>44027</v>
      </c>
      <c r="F245" s="1">
        <v>44032</v>
      </c>
      <c r="G245">
        <v>5</v>
      </c>
      <c r="H245">
        <v>73.13</v>
      </c>
      <c r="I245">
        <v>877.56</v>
      </c>
      <c r="J245">
        <v>10000</v>
      </c>
      <c r="K245" t="s">
        <v>27</v>
      </c>
      <c r="L245">
        <v>10000</v>
      </c>
      <c r="M245">
        <v>5.83</v>
      </c>
      <c r="N245" t="s">
        <v>28</v>
      </c>
      <c r="O245">
        <v>70</v>
      </c>
      <c r="P245">
        <v>42</v>
      </c>
      <c r="Q245">
        <v>1</v>
      </c>
      <c r="R245">
        <v>7</v>
      </c>
      <c r="S245" t="s">
        <v>29</v>
      </c>
      <c r="T245" t="s">
        <v>30</v>
      </c>
      <c r="U245" t="s">
        <v>31</v>
      </c>
      <c r="V245" t="s">
        <v>39</v>
      </c>
      <c r="W245">
        <v>1</v>
      </c>
      <c r="X245">
        <v>1</v>
      </c>
      <c r="Y245" s="2">
        <f>Table1[[#This Row],[premium_yearly]]*Table1[[#This Row],[tenure_years]]</f>
        <v>5116.1747999999998</v>
      </c>
      <c r="Z245" s="2">
        <f>Table1[[#This Row],[total_collected_premiums]]*(1-$AD$2)</f>
        <v>3734.8076039999996</v>
      </c>
      <c r="AA245" s="2">
        <f>Table1[[#This Row],[retained_premium]]-Table1[[#This Row],[claim_amount_paid]]</f>
        <v>-6265.1923960000004</v>
      </c>
    </row>
    <row r="246" spans="1:27" x14ac:dyDescent="0.35">
      <c r="A246" t="s">
        <v>777</v>
      </c>
      <c r="B246" t="s">
        <v>778</v>
      </c>
      <c r="C246" t="s">
        <v>779</v>
      </c>
      <c r="D246" s="1">
        <v>40434</v>
      </c>
      <c r="E246" s="1">
        <v>44020</v>
      </c>
      <c r="F246" s="1">
        <v>44025</v>
      </c>
      <c r="G246">
        <v>5</v>
      </c>
      <c r="H246">
        <v>95.33</v>
      </c>
      <c r="I246">
        <v>1143.96</v>
      </c>
      <c r="J246">
        <v>10000</v>
      </c>
      <c r="K246" t="s">
        <v>27</v>
      </c>
      <c r="L246">
        <v>10000</v>
      </c>
      <c r="M246">
        <v>4.33</v>
      </c>
      <c r="N246" t="s">
        <v>28</v>
      </c>
      <c r="O246">
        <v>52</v>
      </c>
      <c r="P246">
        <v>51</v>
      </c>
      <c r="Q246">
        <v>1</v>
      </c>
      <c r="R246">
        <v>7</v>
      </c>
      <c r="S246" t="s">
        <v>29</v>
      </c>
      <c r="T246" t="s">
        <v>50</v>
      </c>
      <c r="U246" t="s">
        <v>51</v>
      </c>
      <c r="V246" t="s">
        <v>32</v>
      </c>
      <c r="W246">
        <v>0</v>
      </c>
      <c r="X246">
        <v>0</v>
      </c>
      <c r="Y246" s="2">
        <f>Table1[[#This Row],[premium_yearly]]*Table1[[#This Row],[tenure_years]]</f>
        <v>4953.3468000000003</v>
      </c>
      <c r="Z246" s="2">
        <f>Table1[[#This Row],[total_collected_premiums]]*(1-$AD$2)</f>
        <v>3615.9431640000003</v>
      </c>
      <c r="AA246" s="2">
        <f>Table1[[#This Row],[retained_premium]]-Table1[[#This Row],[claim_amount_paid]]</f>
        <v>-6384.0568359999997</v>
      </c>
    </row>
    <row r="247" spans="1:27" x14ac:dyDescent="0.35">
      <c r="A247" t="s">
        <v>780</v>
      </c>
      <c r="B247" t="s">
        <v>781</v>
      </c>
      <c r="C247" t="s">
        <v>782</v>
      </c>
      <c r="D247" s="1">
        <v>42014</v>
      </c>
      <c r="E247" s="1">
        <v>44027</v>
      </c>
      <c r="F247" s="1">
        <v>44032</v>
      </c>
      <c r="G247">
        <v>5</v>
      </c>
      <c r="H247">
        <v>122.61</v>
      </c>
      <c r="I247">
        <v>1471.32</v>
      </c>
      <c r="J247">
        <v>3000</v>
      </c>
      <c r="K247" t="s">
        <v>27</v>
      </c>
      <c r="L247">
        <v>3000</v>
      </c>
      <c r="M247">
        <v>5.92</v>
      </c>
      <c r="N247" t="s">
        <v>36</v>
      </c>
      <c r="O247">
        <v>71</v>
      </c>
      <c r="P247">
        <v>56</v>
      </c>
      <c r="Q247">
        <v>1</v>
      </c>
      <c r="R247">
        <v>7</v>
      </c>
      <c r="S247" t="s">
        <v>29</v>
      </c>
      <c r="T247" t="s">
        <v>50</v>
      </c>
      <c r="U247" t="s">
        <v>66</v>
      </c>
      <c r="V247" t="s">
        <v>32</v>
      </c>
      <c r="W247">
        <v>0</v>
      </c>
      <c r="X247">
        <v>1</v>
      </c>
      <c r="Y247" s="2">
        <f>Table1[[#This Row],[premium_yearly]]*Table1[[#This Row],[tenure_years]]</f>
        <v>8710.2143999999989</v>
      </c>
      <c r="Z247" s="2">
        <f>Table1[[#This Row],[total_collected_premiums]]*(1-$AD$2)</f>
        <v>6358.4565119999988</v>
      </c>
      <c r="AA247" s="2">
        <f>Table1[[#This Row],[retained_premium]]-Table1[[#This Row],[claim_amount_paid]]</f>
        <v>3358.4565119999988</v>
      </c>
    </row>
    <row r="248" spans="1:27" x14ac:dyDescent="0.35">
      <c r="A248" t="s">
        <v>783</v>
      </c>
      <c r="B248" t="s">
        <v>784</v>
      </c>
      <c r="C248" t="s">
        <v>785</v>
      </c>
      <c r="D248" s="1">
        <v>40723</v>
      </c>
      <c r="E248" s="1">
        <v>44029</v>
      </c>
      <c r="F248" s="1">
        <v>44032</v>
      </c>
      <c r="G248">
        <v>3</v>
      </c>
      <c r="H248">
        <v>122.18</v>
      </c>
      <c r="I248">
        <v>1466.16</v>
      </c>
      <c r="J248">
        <v>2000</v>
      </c>
      <c r="K248" t="s">
        <v>27</v>
      </c>
      <c r="L248">
        <v>2000</v>
      </c>
      <c r="M248">
        <v>8.83</v>
      </c>
      <c r="N248" t="s">
        <v>49</v>
      </c>
      <c r="O248">
        <v>106</v>
      </c>
      <c r="P248">
        <v>56</v>
      </c>
      <c r="Q248">
        <v>0</v>
      </c>
      <c r="R248">
        <v>2</v>
      </c>
      <c r="S248" t="s">
        <v>65</v>
      </c>
      <c r="T248" t="s">
        <v>50</v>
      </c>
      <c r="U248" t="s">
        <v>38</v>
      </c>
      <c r="V248" t="s">
        <v>39</v>
      </c>
      <c r="W248">
        <v>0</v>
      </c>
      <c r="X248">
        <v>1</v>
      </c>
      <c r="Y248" s="2">
        <f>Table1[[#This Row],[premium_yearly]]*Table1[[#This Row],[tenure_years]]</f>
        <v>12946.192800000001</v>
      </c>
      <c r="Z248" s="2">
        <f>Table1[[#This Row],[total_collected_premiums]]*(1-$AD$2)</f>
        <v>9450.7207440000002</v>
      </c>
      <c r="AA248" s="2">
        <f>Table1[[#This Row],[retained_premium]]-Table1[[#This Row],[claim_amount_paid]]</f>
        <v>7450.7207440000002</v>
      </c>
    </row>
    <row r="249" spans="1:27" x14ac:dyDescent="0.35">
      <c r="A249" t="s">
        <v>786</v>
      </c>
      <c r="B249" t="s">
        <v>787</v>
      </c>
      <c r="C249" t="s">
        <v>788</v>
      </c>
      <c r="D249" s="1">
        <v>40479</v>
      </c>
      <c r="E249" s="1">
        <v>44035</v>
      </c>
      <c r="F249" s="1">
        <v>44036</v>
      </c>
      <c r="G249">
        <v>1</v>
      </c>
      <c r="H249">
        <v>93.8</v>
      </c>
      <c r="I249">
        <v>1125.5999999999999</v>
      </c>
      <c r="J249">
        <v>9000</v>
      </c>
      <c r="K249" t="s">
        <v>27</v>
      </c>
      <c r="L249">
        <v>9000</v>
      </c>
      <c r="M249">
        <v>6.83</v>
      </c>
      <c r="N249" t="s">
        <v>49</v>
      </c>
      <c r="O249">
        <v>82</v>
      </c>
      <c r="P249">
        <v>48</v>
      </c>
      <c r="Q249">
        <v>0</v>
      </c>
      <c r="R249">
        <v>3</v>
      </c>
      <c r="S249" t="s">
        <v>65</v>
      </c>
      <c r="T249" t="s">
        <v>50</v>
      </c>
      <c r="U249" t="s">
        <v>88</v>
      </c>
      <c r="V249" t="s">
        <v>45</v>
      </c>
      <c r="W249">
        <v>1</v>
      </c>
      <c r="X249">
        <v>1</v>
      </c>
      <c r="Y249" s="2">
        <f>Table1[[#This Row],[premium_yearly]]*Table1[[#This Row],[tenure_years]]</f>
        <v>7687.847999999999</v>
      </c>
      <c r="Z249" s="2">
        <f>Table1[[#This Row],[total_collected_premiums]]*(1-$AD$2)</f>
        <v>5612.1290399999989</v>
      </c>
      <c r="AA249" s="2">
        <f>Table1[[#This Row],[retained_premium]]-Table1[[#This Row],[claim_amount_paid]]</f>
        <v>-3387.8709600000011</v>
      </c>
    </row>
    <row r="250" spans="1:27" x14ac:dyDescent="0.35">
      <c r="A250" t="s">
        <v>789</v>
      </c>
      <c r="B250" t="s">
        <v>790</v>
      </c>
      <c r="C250" t="s">
        <v>791</v>
      </c>
      <c r="D250" s="1">
        <v>41572</v>
      </c>
      <c r="E250" s="1">
        <v>44032</v>
      </c>
      <c r="F250" s="1">
        <v>44035</v>
      </c>
      <c r="G250">
        <v>3</v>
      </c>
      <c r="H250">
        <v>74.75</v>
      </c>
      <c r="I250">
        <v>897</v>
      </c>
      <c r="J250">
        <v>6000</v>
      </c>
      <c r="K250" t="s">
        <v>27</v>
      </c>
      <c r="L250">
        <v>6000</v>
      </c>
      <c r="M250">
        <v>8.42</v>
      </c>
      <c r="N250" t="s">
        <v>28</v>
      </c>
      <c r="O250">
        <v>101</v>
      </c>
      <c r="P250">
        <v>30</v>
      </c>
      <c r="Q250">
        <v>1</v>
      </c>
      <c r="R250">
        <v>6</v>
      </c>
      <c r="S250" t="s">
        <v>29</v>
      </c>
      <c r="T250" t="s">
        <v>50</v>
      </c>
      <c r="U250" t="s">
        <v>58</v>
      </c>
      <c r="V250" t="s">
        <v>39</v>
      </c>
      <c r="W250">
        <v>0</v>
      </c>
      <c r="X250">
        <v>1</v>
      </c>
      <c r="Y250" s="2">
        <f>Table1[[#This Row],[premium_yearly]]*Table1[[#This Row],[tenure_years]]</f>
        <v>7552.74</v>
      </c>
      <c r="Z250" s="2">
        <f>Table1[[#This Row],[total_collected_premiums]]*(1-$AD$2)</f>
        <v>5513.5001999999995</v>
      </c>
      <c r="AA250" s="2">
        <f>Table1[[#This Row],[retained_premium]]-Table1[[#This Row],[claim_amount_paid]]</f>
        <v>-486.4998000000005</v>
      </c>
    </row>
    <row r="251" spans="1:27" x14ac:dyDescent="0.35">
      <c r="A251" t="s">
        <v>792</v>
      </c>
      <c r="B251" t="s">
        <v>793</v>
      </c>
      <c r="C251" t="s">
        <v>794</v>
      </c>
      <c r="D251" s="1">
        <v>42386</v>
      </c>
      <c r="E251" s="1">
        <v>44036</v>
      </c>
      <c r="F251" s="1">
        <v>44037</v>
      </c>
      <c r="G251">
        <v>1</v>
      </c>
      <c r="H251">
        <v>81.099999999999994</v>
      </c>
      <c r="I251">
        <v>973.2</v>
      </c>
      <c r="J251">
        <v>10000</v>
      </c>
      <c r="K251" t="s">
        <v>27</v>
      </c>
      <c r="L251">
        <v>10000</v>
      </c>
      <c r="M251">
        <v>8.83</v>
      </c>
      <c r="N251" t="s">
        <v>36</v>
      </c>
      <c r="O251">
        <v>106</v>
      </c>
      <c r="P251">
        <v>29</v>
      </c>
      <c r="Q251">
        <v>1</v>
      </c>
      <c r="R251">
        <v>3</v>
      </c>
      <c r="S251" t="s">
        <v>29</v>
      </c>
      <c r="T251" t="s">
        <v>50</v>
      </c>
      <c r="U251" t="s">
        <v>31</v>
      </c>
      <c r="V251" t="s">
        <v>32</v>
      </c>
      <c r="W251">
        <v>1</v>
      </c>
      <c r="X251">
        <v>1</v>
      </c>
      <c r="Y251" s="2">
        <f>Table1[[#This Row],[premium_yearly]]*Table1[[#This Row],[tenure_years]]</f>
        <v>8593.3559999999998</v>
      </c>
      <c r="Z251" s="2">
        <f>Table1[[#This Row],[total_collected_premiums]]*(1-$AD$2)</f>
        <v>6273.1498799999999</v>
      </c>
      <c r="AA251" s="2">
        <f>Table1[[#This Row],[retained_premium]]-Table1[[#This Row],[claim_amount_paid]]</f>
        <v>-3726.8501200000001</v>
      </c>
    </row>
    <row r="252" spans="1:27" x14ac:dyDescent="0.35">
      <c r="A252" t="s">
        <v>795</v>
      </c>
      <c r="B252" t="s">
        <v>796</v>
      </c>
      <c r="C252" t="s">
        <v>797</v>
      </c>
      <c r="D252" s="1">
        <v>42373</v>
      </c>
      <c r="E252" s="1">
        <v>44037</v>
      </c>
      <c r="F252" s="1">
        <v>44037</v>
      </c>
      <c r="G252">
        <v>0</v>
      </c>
      <c r="H252">
        <v>71.319999999999993</v>
      </c>
      <c r="I252">
        <v>855.84</v>
      </c>
      <c r="J252">
        <v>3000</v>
      </c>
      <c r="K252" t="s">
        <v>27</v>
      </c>
      <c r="L252">
        <v>3000</v>
      </c>
      <c r="M252">
        <v>6.58</v>
      </c>
      <c r="N252" t="s">
        <v>28</v>
      </c>
      <c r="O252">
        <v>79</v>
      </c>
      <c r="P252">
        <v>48</v>
      </c>
      <c r="Q252">
        <v>1</v>
      </c>
      <c r="R252">
        <v>2</v>
      </c>
      <c r="S252" t="s">
        <v>29</v>
      </c>
      <c r="T252" t="s">
        <v>50</v>
      </c>
      <c r="U252" t="s">
        <v>58</v>
      </c>
      <c r="V252" t="s">
        <v>45</v>
      </c>
      <c r="W252">
        <v>1</v>
      </c>
      <c r="X252">
        <v>0</v>
      </c>
      <c r="Y252" s="2">
        <f>Table1[[#This Row],[premium_yearly]]*Table1[[#This Row],[tenure_years]]</f>
        <v>5631.4272000000001</v>
      </c>
      <c r="Z252" s="2">
        <f>Table1[[#This Row],[total_collected_premiums]]*(1-$AD$2)</f>
        <v>4110.9418560000004</v>
      </c>
      <c r="AA252" s="2">
        <f>Table1[[#This Row],[retained_premium]]-Table1[[#This Row],[claim_amount_paid]]</f>
        <v>1110.9418560000004</v>
      </c>
    </row>
    <row r="253" spans="1:27" x14ac:dyDescent="0.35">
      <c r="A253" t="s">
        <v>798</v>
      </c>
      <c r="B253" t="s">
        <v>799</v>
      </c>
      <c r="C253" t="s">
        <v>800</v>
      </c>
      <c r="D253" s="1">
        <v>43475</v>
      </c>
      <c r="E253" s="1">
        <v>44036</v>
      </c>
      <c r="F253" s="1">
        <v>44037</v>
      </c>
      <c r="G253">
        <v>1</v>
      </c>
      <c r="H253">
        <v>73.92</v>
      </c>
      <c r="I253">
        <v>887.04</v>
      </c>
      <c r="J253">
        <v>6000</v>
      </c>
      <c r="K253" t="s">
        <v>27</v>
      </c>
      <c r="L253">
        <v>6000</v>
      </c>
      <c r="M253">
        <v>4.83</v>
      </c>
      <c r="N253" t="s">
        <v>36</v>
      </c>
      <c r="O253">
        <v>58</v>
      </c>
      <c r="P253">
        <v>28</v>
      </c>
      <c r="Q253">
        <v>1</v>
      </c>
      <c r="R253">
        <v>4</v>
      </c>
      <c r="S253" t="s">
        <v>37</v>
      </c>
      <c r="T253" t="s">
        <v>30</v>
      </c>
      <c r="U253" t="s">
        <v>38</v>
      </c>
      <c r="V253" t="s">
        <v>32</v>
      </c>
      <c r="W253">
        <v>0</v>
      </c>
      <c r="X253">
        <v>1</v>
      </c>
      <c r="Y253" s="2">
        <f>Table1[[#This Row],[premium_yearly]]*Table1[[#This Row],[tenure_years]]</f>
        <v>4284.4031999999997</v>
      </c>
      <c r="Z253" s="2">
        <f>Table1[[#This Row],[total_collected_premiums]]*(1-$AD$2)</f>
        <v>3127.6143359999996</v>
      </c>
      <c r="AA253" s="2">
        <f>Table1[[#This Row],[retained_premium]]-Table1[[#This Row],[claim_amount_paid]]</f>
        <v>-2872.3856640000004</v>
      </c>
    </row>
    <row r="254" spans="1:27" x14ac:dyDescent="0.35">
      <c r="A254" t="s">
        <v>801</v>
      </c>
      <c r="B254" t="s">
        <v>802</v>
      </c>
      <c r="C254" t="s">
        <v>803</v>
      </c>
      <c r="D254" s="1">
        <v>42938</v>
      </c>
      <c r="E254" s="1">
        <v>44026</v>
      </c>
      <c r="F254" s="1">
        <v>44031</v>
      </c>
      <c r="G254">
        <v>5</v>
      </c>
      <c r="H254">
        <v>125.11</v>
      </c>
      <c r="I254">
        <v>1501.32</v>
      </c>
      <c r="J254">
        <v>9000</v>
      </c>
      <c r="K254" t="s">
        <v>27</v>
      </c>
      <c r="L254">
        <v>9000</v>
      </c>
      <c r="M254">
        <v>9.75</v>
      </c>
      <c r="N254" t="s">
        <v>36</v>
      </c>
      <c r="O254">
        <v>117</v>
      </c>
      <c r="P254">
        <v>53</v>
      </c>
      <c r="Q254">
        <v>0</v>
      </c>
      <c r="R254">
        <v>3</v>
      </c>
      <c r="S254" t="s">
        <v>65</v>
      </c>
      <c r="T254" t="s">
        <v>30</v>
      </c>
      <c r="U254" t="s">
        <v>38</v>
      </c>
      <c r="V254" t="s">
        <v>39</v>
      </c>
      <c r="W254">
        <v>1</v>
      </c>
      <c r="X254">
        <v>1</v>
      </c>
      <c r="Y254" s="2">
        <f>Table1[[#This Row],[premium_yearly]]*Table1[[#This Row],[tenure_years]]</f>
        <v>14637.869999999999</v>
      </c>
      <c r="Z254" s="2">
        <f>Table1[[#This Row],[total_collected_premiums]]*(1-$AD$2)</f>
        <v>10685.6451</v>
      </c>
      <c r="AA254" s="2">
        <f>Table1[[#This Row],[retained_premium]]-Table1[[#This Row],[claim_amount_paid]]</f>
        <v>1685.6450999999997</v>
      </c>
    </row>
    <row r="255" spans="1:27" x14ac:dyDescent="0.35">
      <c r="A255" t="s">
        <v>804</v>
      </c>
      <c r="B255" t="s">
        <v>805</v>
      </c>
      <c r="C255" t="s">
        <v>806</v>
      </c>
      <c r="D255" s="1">
        <v>43734</v>
      </c>
      <c r="E255" s="1">
        <v>44020</v>
      </c>
      <c r="F255" s="1">
        <v>44025</v>
      </c>
      <c r="G255">
        <v>5</v>
      </c>
      <c r="H255">
        <v>93.99</v>
      </c>
      <c r="I255">
        <v>1127.8800000000001</v>
      </c>
      <c r="J255">
        <v>3000</v>
      </c>
      <c r="K255" t="s">
        <v>27</v>
      </c>
      <c r="L255">
        <v>3000</v>
      </c>
      <c r="M255">
        <v>8.08</v>
      </c>
      <c r="N255" t="s">
        <v>28</v>
      </c>
      <c r="O255">
        <v>97</v>
      </c>
      <c r="P255">
        <v>46</v>
      </c>
      <c r="Q255">
        <v>1</v>
      </c>
      <c r="R255">
        <v>6</v>
      </c>
      <c r="S255" t="s">
        <v>29</v>
      </c>
      <c r="T255" t="s">
        <v>50</v>
      </c>
      <c r="U255" t="s">
        <v>38</v>
      </c>
      <c r="V255" t="s">
        <v>39</v>
      </c>
      <c r="W255">
        <v>0</v>
      </c>
      <c r="X255">
        <v>1</v>
      </c>
      <c r="Y255" s="2">
        <f>Table1[[#This Row],[premium_yearly]]*Table1[[#This Row],[tenure_years]]</f>
        <v>9113.2704000000012</v>
      </c>
      <c r="Z255" s="2">
        <f>Table1[[#This Row],[total_collected_premiums]]*(1-$AD$2)</f>
        <v>6652.6873920000007</v>
      </c>
      <c r="AA255" s="2">
        <f>Table1[[#This Row],[retained_premium]]-Table1[[#This Row],[claim_amount_paid]]</f>
        <v>3652.6873920000007</v>
      </c>
    </row>
    <row r="256" spans="1:27" x14ac:dyDescent="0.35">
      <c r="A256" t="s">
        <v>807</v>
      </c>
      <c r="B256" t="s">
        <v>808</v>
      </c>
      <c r="C256" t="s">
        <v>809</v>
      </c>
      <c r="D256" s="1">
        <v>42026</v>
      </c>
      <c r="E256" s="1">
        <v>44027</v>
      </c>
      <c r="F256" s="1">
        <v>44032</v>
      </c>
      <c r="G256">
        <v>5</v>
      </c>
      <c r="H256">
        <v>103.78</v>
      </c>
      <c r="I256">
        <v>1245.3599999999999</v>
      </c>
      <c r="J256">
        <v>2000</v>
      </c>
      <c r="K256" t="s">
        <v>27</v>
      </c>
      <c r="L256">
        <v>2000</v>
      </c>
      <c r="M256">
        <v>6.08</v>
      </c>
      <c r="N256" t="s">
        <v>28</v>
      </c>
      <c r="O256">
        <v>73</v>
      </c>
      <c r="P256">
        <v>44</v>
      </c>
      <c r="Q256">
        <v>1</v>
      </c>
      <c r="R256">
        <v>4</v>
      </c>
      <c r="S256" t="s">
        <v>65</v>
      </c>
      <c r="T256" t="s">
        <v>30</v>
      </c>
      <c r="U256" t="s">
        <v>31</v>
      </c>
      <c r="V256" t="s">
        <v>32</v>
      </c>
      <c r="W256">
        <v>1</v>
      </c>
      <c r="X256">
        <v>0</v>
      </c>
      <c r="Y256" s="2">
        <f>Table1[[#This Row],[premium_yearly]]*Table1[[#This Row],[tenure_years]]</f>
        <v>7571.7887999999994</v>
      </c>
      <c r="Z256" s="2">
        <f>Table1[[#This Row],[total_collected_premiums]]*(1-$AD$2)</f>
        <v>5527.4058239999995</v>
      </c>
      <c r="AA256" s="2">
        <f>Table1[[#This Row],[retained_premium]]-Table1[[#This Row],[claim_amount_paid]]</f>
        <v>3527.4058239999995</v>
      </c>
    </row>
    <row r="257" spans="1:27" x14ac:dyDescent="0.35">
      <c r="A257" t="s">
        <v>810</v>
      </c>
      <c r="B257" t="s">
        <v>811</v>
      </c>
      <c r="C257" t="s">
        <v>812</v>
      </c>
      <c r="D257" s="1">
        <v>42904</v>
      </c>
      <c r="E257" s="1">
        <v>44032</v>
      </c>
      <c r="F257" s="1">
        <v>44035</v>
      </c>
      <c r="G257">
        <v>3</v>
      </c>
      <c r="H257">
        <v>75.62</v>
      </c>
      <c r="I257">
        <v>907.44</v>
      </c>
      <c r="J257">
        <v>9000</v>
      </c>
      <c r="K257" t="s">
        <v>27</v>
      </c>
      <c r="L257">
        <v>9000</v>
      </c>
      <c r="M257">
        <v>4.5</v>
      </c>
      <c r="N257" t="s">
        <v>49</v>
      </c>
      <c r="O257">
        <v>54</v>
      </c>
      <c r="P257">
        <v>50</v>
      </c>
      <c r="Q257">
        <v>1</v>
      </c>
      <c r="R257">
        <v>6</v>
      </c>
      <c r="S257" t="s">
        <v>65</v>
      </c>
      <c r="T257" t="s">
        <v>50</v>
      </c>
      <c r="U257" t="s">
        <v>58</v>
      </c>
      <c r="V257" t="s">
        <v>45</v>
      </c>
      <c r="W257">
        <v>0</v>
      </c>
      <c r="X257">
        <v>1</v>
      </c>
      <c r="Y257" s="2">
        <f>Table1[[#This Row],[premium_yearly]]*Table1[[#This Row],[tenure_years]]</f>
        <v>4083.4800000000005</v>
      </c>
      <c r="Z257" s="2">
        <f>Table1[[#This Row],[total_collected_premiums]]*(1-$AD$2)</f>
        <v>2980.9404000000004</v>
      </c>
      <c r="AA257" s="2">
        <f>Table1[[#This Row],[retained_premium]]-Table1[[#This Row],[claim_amount_paid]]</f>
        <v>-6019.0595999999996</v>
      </c>
    </row>
    <row r="258" spans="1:27" x14ac:dyDescent="0.35">
      <c r="A258" t="s">
        <v>813</v>
      </c>
      <c r="B258" t="s">
        <v>814</v>
      </c>
      <c r="C258" t="s">
        <v>815</v>
      </c>
      <c r="D258" s="1">
        <v>40643</v>
      </c>
      <c r="E258" s="1">
        <v>44027</v>
      </c>
      <c r="F258" s="1">
        <v>44032</v>
      </c>
      <c r="G258">
        <v>5</v>
      </c>
      <c r="H258">
        <v>84.23</v>
      </c>
      <c r="I258">
        <v>1010.76</v>
      </c>
      <c r="J258">
        <v>7000</v>
      </c>
      <c r="K258" t="s">
        <v>43</v>
      </c>
      <c r="L258">
        <v>0</v>
      </c>
      <c r="M258">
        <v>9.33</v>
      </c>
      <c r="N258" t="s">
        <v>36</v>
      </c>
      <c r="O258">
        <v>112</v>
      </c>
      <c r="P258">
        <v>29</v>
      </c>
      <c r="Q258">
        <v>1</v>
      </c>
      <c r="R258">
        <v>3</v>
      </c>
      <c r="S258" t="s">
        <v>65</v>
      </c>
      <c r="T258" t="s">
        <v>30</v>
      </c>
      <c r="U258" t="s">
        <v>31</v>
      </c>
      <c r="V258" t="s">
        <v>45</v>
      </c>
      <c r="W258">
        <v>1</v>
      </c>
      <c r="X258">
        <v>0</v>
      </c>
      <c r="Y258" s="2">
        <f>Table1[[#This Row],[premium_yearly]]*Table1[[#This Row],[tenure_years]]</f>
        <v>9430.3907999999992</v>
      </c>
      <c r="Z258" s="2">
        <f>Table1[[#This Row],[total_collected_premiums]]*(1-$AD$2)</f>
        <v>6884.1852839999992</v>
      </c>
      <c r="AA258" s="2">
        <f>Table1[[#This Row],[retained_premium]]-Table1[[#This Row],[claim_amount_paid]]</f>
        <v>6884.1852839999992</v>
      </c>
    </row>
    <row r="259" spans="1:27" x14ac:dyDescent="0.35">
      <c r="A259" t="s">
        <v>816</v>
      </c>
      <c r="B259" t="s">
        <v>817</v>
      </c>
      <c r="C259" t="s">
        <v>818</v>
      </c>
      <c r="D259" s="1">
        <v>43821</v>
      </c>
      <c r="E259" s="1">
        <v>44032</v>
      </c>
      <c r="F259" s="1">
        <v>44035</v>
      </c>
      <c r="G259">
        <v>3</v>
      </c>
      <c r="H259">
        <v>82.4</v>
      </c>
      <c r="I259">
        <v>988.8</v>
      </c>
      <c r="J259">
        <v>7000</v>
      </c>
      <c r="K259" t="s">
        <v>27</v>
      </c>
      <c r="L259">
        <v>7000</v>
      </c>
      <c r="M259">
        <v>2.83</v>
      </c>
      <c r="N259" t="s">
        <v>28</v>
      </c>
      <c r="O259">
        <v>34</v>
      </c>
      <c r="P259">
        <v>62</v>
      </c>
      <c r="Q259">
        <v>1</v>
      </c>
      <c r="R259">
        <v>3</v>
      </c>
      <c r="S259" t="s">
        <v>29</v>
      </c>
      <c r="T259" t="s">
        <v>50</v>
      </c>
      <c r="U259" t="s">
        <v>38</v>
      </c>
      <c r="V259" t="s">
        <v>39</v>
      </c>
      <c r="W259">
        <v>1</v>
      </c>
      <c r="X259">
        <v>1</v>
      </c>
      <c r="Y259" s="2">
        <f>Table1[[#This Row],[premium_yearly]]*Table1[[#This Row],[tenure_years]]</f>
        <v>2798.3040000000001</v>
      </c>
      <c r="Z259" s="2">
        <f>Table1[[#This Row],[total_collected_premiums]]*(1-$AD$2)</f>
        <v>2042.7619199999999</v>
      </c>
      <c r="AA259" s="2">
        <f>Table1[[#This Row],[retained_premium]]-Table1[[#This Row],[claim_amount_paid]]</f>
        <v>-4957.2380800000001</v>
      </c>
    </row>
    <row r="260" spans="1:27" x14ac:dyDescent="0.35">
      <c r="A260" t="s">
        <v>819</v>
      </c>
      <c r="B260" t="s">
        <v>820</v>
      </c>
      <c r="C260" t="s">
        <v>821</v>
      </c>
      <c r="D260" s="1">
        <v>41360</v>
      </c>
      <c r="E260" s="1">
        <v>44022</v>
      </c>
      <c r="F260" s="1">
        <v>44027</v>
      </c>
      <c r="G260">
        <v>5</v>
      </c>
      <c r="H260">
        <v>120.92</v>
      </c>
      <c r="I260">
        <v>1451.04</v>
      </c>
      <c r="J260">
        <v>9000</v>
      </c>
      <c r="K260" t="s">
        <v>27</v>
      </c>
      <c r="L260">
        <v>9000</v>
      </c>
      <c r="M260">
        <v>9.42</v>
      </c>
      <c r="N260" t="s">
        <v>49</v>
      </c>
      <c r="O260">
        <v>113</v>
      </c>
      <c r="P260">
        <v>38</v>
      </c>
      <c r="Q260">
        <v>1</v>
      </c>
      <c r="R260">
        <v>2</v>
      </c>
      <c r="S260" t="s">
        <v>65</v>
      </c>
      <c r="T260" t="s">
        <v>30</v>
      </c>
      <c r="U260" t="s">
        <v>31</v>
      </c>
      <c r="V260" t="s">
        <v>39</v>
      </c>
      <c r="W260">
        <v>1</v>
      </c>
      <c r="X260">
        <v>0</v>
      </c>
      <c r="Y260" s="2">
        <f>Table1[[#This Row],[premium_yearly]]*Table1[[#This Row],[tenure_years]]</f>
        <v>13668.7968</v>
      </c>
      <c r="Z260" s="2">
        <f>Table1[[#This Row],[total_collected_premiums]]*(1-$AD$2)</f>
        <v>9978.2216640000006</v>
      </c>
      <c r="AA260" s="2">
        <f>Table1[[#This Row],[retained_premium]]-Table1[[#This Row],[claim_amount_paid]]</f>
        <v>978.2216640000006</v>
      </c>
    </row>
    <row r="261" spans="1:27" x14ac:dyDescent="0.35">
      <c r="A261" t="s">
        <v>822</v>
      </c>
      <c r="B261" t="s">
        <v>823</v>
      </c>
      <c r="C261" t="s">
        <v>824</v>
      </c>
      <c r="D261" s="1">
        <v>41531</v>
      </c>
      <c r="E261" s="1">
        <v>44022</v>
      </c>
      <c r="F261" s="1">
        <v>44027</v>
      </c>
      <c r="G261">
        <v>5</v>
      </c>
      <c r="H261">
        <v>101.72</v>
      </c>
      <c r="I261">
        <v>1220.6400000000001</v>
      </c>
      <c r="J261">
        <v>8000</v>
      </c>
      <c r="K261" t="s">
        <v>27</v>
      </c>
      <c r="L261">
        <v>8000</v>
      </c>
      <c r="M261">
        <v>5.42</v>
      </c>
      <c r="N261" t="s">
        <v>49</v>
      </c>
      <c r="O261">
        <v>65</v>
      </c>
      <c r="P261">
        <v>46</v>
      </c>
      <c r="Q261">
        <v>0</v>
      </c>
      <c r="R261">
        <v>7</v>
      </c>
      <c r="S261" t="s">
        <v>65</v>
      </c>
      <c r="T261" t="s">
        <v>44</v>
      </c>
      <c r="U261" t="s">
        <v>88</v>
      </c>
      <c r="V261" t="s">
        <v>32</v>
      </c>
      <c r="W261">
        <v>1</v>
      </c>
      <c r="X261">
        <v>0</v>
      </c>
      <c r="Y261" s="2">
        <f>Table1[[#This Row],[premium_yearly]]*Table1[[#This Row],[tenure_years]]</f>
        <v>6615.8688000000002</v>
      </c>
      <c r="Z261" s="2">
        <f>Table1[[#This Row],[total_collected_premiums]]*(1-$AD$2)</f>
        <v>4829.5842240000002</v>
      </c>
      <c r="AA261" s="2">
        <f>Table1[[#This Row],[retained_premium]]-Table1[[#This Row],[claim_amount_paid]]</f>
        <v>-3170.4157759999998</v>
      </c>
    </row>
    <row r="262" spans="1:27" x14ac:dyDescent="0.35">
      <c r="A262" t="s">
        <v>825</v>
      </c>
      <c r="B262" t="s">
        <v>826</v>
      </c>
      <c r="C262" t="s">
        <v>827</v>
      </c>
      <c r="D262" s="1">
        <v>41482</v>
      </c>
      <c r="E262" s="1">
        <v>44039</v>
      </c>
      <c r="F262" s="1">
        <v>44040</v>
      </c>
      <c r="G262">
        <v>1</v>
      </c>
      <c r="H262">
        <v>113.27</v>
      </c>
      <c r="I262">
        <v>1359.24</v>
      </c>
      <c r="J262">
        <v>10000</v>
      </c>
      <c r="K262" t="s">
        <v>27</v>
      </c>
      <c r="L262">
        <v>10000</v>
      </c>
      <c r="M262">
        <v>9.25</v>
      </c>
      <c r="N262" t="s">
        <v>36</v>
      </c>
      <c r="O262">
        <v>111</v>
      </c>
      <c r="P262">
        <v>47</v>
      </c>
      <c r="Q262">
        <v>0</v>
      </c>
      <c r="R262">
        <v>2</v>
      </c>
      <c r="S262" t="s">
        <v>37</v>
      </c>
      <c r="T262" t="s">
        <v>30</v>
      </c>
      <c r="U262" t="s">
        <v>31</v>
      </c>
      <c r="V262" t="s">
        <v>32</v>
      </c>
      <c r="W262">
        <v>1</v>
      </c>
      <c r="X262">
        <v>1</v>
      </c>
      <c r="Y262" s="2">
        <f>Table1[[#This Row],[premium_yearly]]*Table1[[#This Row],[tenure_years]]</f>
        <v>12572.97</v>
      </c>
      <c r="Z262" s="2">
        <f>Table1[[#This Row],[total_collected_premiums]]*(1-$AD$2)</f>
        <v>9178.2680999999993</v>
      </c>
      <c r="AA262" s="2">
        <f>Table1[[#This Row],[retained_premium]]-Table1[[#This Row],[claim_amount_paid]]</f>
        <v>-821.73190000000068</v>
      </c>
    </row>
    <row r="263" spans="1:27" x14ac:dyDescent="0.35">
      <c r="A263" t="s">
        <v>828</v>
      </c>
      <c r="B263" t="s">
        <v>829</v>
      </c>
      <c r="C263" t="s">
        <v>830</v>
      </c>
      <c r="D263" s="1">
        <v>40492</v>
      </c>
      <c r="E263" s="1">
        <v>44035</v>
      </c>
      <c r="F263" s="1">
        <v>44038</v>
      </c>
      <c r="G263">
        <v>3</v>
      </c>
      <c r="H263">
        <v>95.85</v>
      </c>
      <c r="I263">
        <v>1150.2</v>
      </c>
      <c r="J263">
        <v>1000</v>
      </c>
      <c r="K263" t="s">
        <v>27</v>
      </c>
      <c r="L263">
        <v>1000</v>
      </c>
      <c r="M263">
        <v>7.83</v>
      </c>
      <c r="N263" t="s">
        <v>36</v>
      </c>
      <c r="O263">
        <v>94</v>
      </c>
      <c r="P263">
        <v>36</v>
      </c>
      <c r="Q263">
        <v>1</v>
      </c>
      <c r="R263">
        <v>2</v>
      </c>
      <c r="S263" t="s">
        <v>29</v>
      </c>
      <c r="T263" t="s">
        <v>50</v>
      </c>
      <c r="U263" t="s">
        <v>31</v>
      </c>
      <c r="V263" t="s">
        <v>45</v>
      </c>
      <c r="W263">
        <v>1</v>
      </c>
      <c r="X263">
        <v>1</v>
      </c>
      <c r="Y263" s="2">
        <f>Table1[[#This Row],[premium_yearly]]*Table1[[#This Row],[tenure_years]]</f>
        <v>9006.0660000000007</v>
      </c>
      <c r="Z263" s="2">
        <f>Table1[[#This Row],[total_collected_premiums]]*(1-$AD$2)</f>
        <v>6574.4281800000008</v>
      </c>
      <c r="AA263" s="2">
        <f>Table1[[#This Row],[retained_premium]]-Table1[[#This Row],[claim_amount_paid]]</f>
        <v>5574.4281800000008</v>
      </c>
    </row>
    <row r="264" spans="1:27" x14ac:dyDescent="0.35">
      <c r="A264" t="s">
        <v>831</v>
      </c>
      <c r="B264" t="s">
        <v>832</v>
      </c>
      <c r="C264" t="s">
        <v>833</v>
      </c>
      <c r="D264" s="1">
        <v>43817</v>
      </c>
      <c r="E264" s="1">
        <v>44032</v>
      </c>
      <c r="F264" s="1">
        <v>44037</v>
      </c>
      <c r="G264">
        <v>5</v>
      </c>
      <c r="H264">
        <v>135.49</v>
      </c>
      <c r="I264">
        <v>1625.88</v>
      </c>
      <c r="J264">
        <v>7000</v>
      </c>
      <c r="K264" t="s">
        <v>27</v>
      </c>
      <c r="L264">
        <v>7000</v>
      </c>
      <c r="M264">
        <v>4</v>
      </c>
      <c r="N264" t="s">
        <v>28</v>
      </c>
      <c r="O264">
        <v>48</v>
      </c>
      <c r="P264">
        <v>41</v>
      </c>
      <c r="Q264">
        <v>1</v>
      </c>
      <c r="R264">
        <v>6</v>
      </c>
      <c r="S264" t="s">
        <v>29</v>
      </c>
      <c r="T264" t="s">
        <v>30</v>
      </c>
      <c r="U264" t="s">
        <v>38</v>
      </c>
      <c r="V264" t="s">
        <v>32</v>
      </c>
      <c r="W264">
        <v>0</v>
      </c>
      <c r="X264">
        <v>1</v>
      </c>
      <c r="Y264" s="2">
        <f>Table1[[#This Row],[premium_yearly]]*Table1[[#This Row],[tenure_years]]</f>
        <v>6503.52</v>
      </c>
      <c r="Z264" s="2">
        <f>Table1[[#This Row],[total_collected_premiums]]*(1-$AD$2)</f>
        <v>4747.5695999999998</v>
      </c>
      <c r="AA264" s="2">
        <f>Table1[[#This Row],[retained_premium]]-Table1[[#This Row],[claim_amount_paid]]</f>
        <v>-2252.4304000000002</v>
      </c>
    </row>
    <row r="265" spans="1:27" x14ac:dyDescent="0.35">
      <c r="A265" t="s">
        <v>834</v>
      </c>
      <c r="B265" t="s">
        <v>835</v>
      </c>
      <c r="C265" t="s">
        <v>836</v>
      </c>
      <c r="D265" s="1">
        <v>41679</v>
      </c>
      <c r="E265" s="1">
        <v>44026</v>
      </c>
      <c r="F265" s="1">
        <v>44031</v>
      </c>
      <c r="G265">
        <v>5</v>
      </c>
      <c r="H265">
        <v>132.93</v>
      </c>
      <c r="I265">
        <v>1595.16</v>
      </c>
      <c r="J265">
        <v>2000</v>
      </c>
      <c r="K265" t="s">
        <v>27</v>
      </c>
      <c r="L265">
        <v>2000</v>
      </c>
      <c r="M265">
        <v>2.83</v>
      </c>
      <c r="N265" t="s">
        <v>49</v>
      </c>
      <c r="O265">
        <v>34</v>
      </c>
      <c r="P265">
        <v>52</v>
      </c>
      <c r="Q265">
        <v>0</v>
      </c>
      <c r="R265">
        <v>2</v>
      </c>
      <c r="S265" t="s">
        <v>37</v>
      </c>
      <c r="T265" t="s">
        <v>30</v>
      </c>
      <c r="U265" t="s">
        <v>38</v>
      </c>
      <c r="V265" t="s">
        <v>45</v>
      </c>
      <c r="W265">
        <v>1</v>
      </c>
      <c r="X265">
        <v>0</v>
      </c>
      <c r="Y265" s="2">
        <f>Table1[[#This Row],[premium_yearly]]*Table1[[#This Row],[tenure_years]]</f>
        <v>4514.3028000000004</v>
      </c>
      <c r="Z265" s="2">
        <f>Table1[[#This Row],[total_collected_premiums]]*(1-$AD$2)</f>
        <v>3295.4410440000001</v>
      </c>
      <c r="AA265" s="2">
        <f>Table1[[#This Row],[retained_premium]]-Table1[[#This Row],[claim_amount_paid]]</f>
        <v>1295.4410440000001</v>
      </c>
    </row>
    <row r="266" spans="1:27" x14ac:dyDescent="0.35">
      <c r="A266" t="s">
        <v>837</v>
      </c>
      <c r="B266" t="s">
        <v>838</v>
      </c>
      <c r="C266" t="s">
        <v>839</v>
      </c>
      <c r="D266" s="1">
        <v>43232</v>
      </c>
      <c r="E266" s="1">
        <v>44038</v>
      </c>
      <c r="F266" s="1">
        <v>44040</v>
      </c>
      <c r="G266">
        <v>2</v>
      </c>
      <c r="H266">
        <v>77.150000000000006</v>
      </c>
      <c r="I266">
        <v>925.8</v>
      </c>
      <c r="J266">
        <v>8000</v>
      </c>
      <c r="K266" t="s">
        <v>27</v>
      </c>
      <c r="L266">
        <v>8000</v>
      </c>
      <c r="M266">
        <v>4.92</v>
      </c>
      <c r="N266" t="s">
        <v>36</v>
      </c>
      <c r="O266">
        <v>59</v>
      </c>
      <c r="P266">
        <v>44</v>
      </c>
      <c r="Q266">
        <v>1</v>
      </c>
      <c r="R266">
        <v>6</v>
      </c>
      <c r="S266" t="s">
        <v>65</v>
      </c>
      <c r="T266" t="s">
        <v>30</v>
      </c>
      <c r="U266" t="s">
        <v>38</v>
      </c>
      <c r="V266" t="s">
        <v>39</v>
      </c>
      <c r="W266">
        <v>1</v>
      </c>
      <c r="X266">
        <v>1</v>
      </c>
      <c r="Y266" s="2">
        <f>Table1[[#This Row],[premium_yearly]]*Table1[[#This Row],[tenure_years]]</f>
        <v>4554.9359999999997</v>
      </c>
      <c r="Z266" s="2">
        <f>Table1[[#This Row],[total_collected_premiums]]*(1-$AD$2)</f>
        <v>3325.1032799999998</v>
      </c>
      <c r="AA266" s="2">
        <f>Table1[[#This Row],[retained_premium]]-Table1[[#This Row],[claim_amount_paid]]</f>
        <v>-4674.8967200000006</v>
      </c>
    </row>
    <row r="267" spans="1:27" x14ac:dyDescent="0.35">
      <c r="A267" t="s">
        <v>840</v>
      </c>
      <c r="B267" t="s">
        <v>841</v>
      </c>
      <c r="C267" t="s">
        <v>842</v>
      </c>
      <c r="D267" s="1">
        <v>41141</v>
      </c>
      <c r="E267" s="1">
        <v>44035</v>
      </c>
      <c r="F267" s="1">
        <v>44038</v>
      </c>
      <c r="G267">
        <v>3</v>
      </c>
      <c r="H267">
        <v>112.02</v>
      </c>
      <c r="I267">
        <v>1344.24</v>
      </c>
      <c r="J267">
        <v>1000</v>
      </c>
      <c r="K267" t="s">
        <v>27</v>
      </c>
      <c r="L267">
        <v>1000</v>
      </c>
      <c r="M267">
        <v>3</v>
      </c>
      <c r="N267" t="s">
        <v>28</v>
      </c>
      <c r="O267">
        <v>36</v>
      </c>
      <c r="P267">
        <v>25</v>
      </c>
      <c r="Q267">
        <v>0</v>
      </c>
      <c r="R267">
        <v>7</v>
      </c>
      <c r="S267" t="s">
        <v>65</v>
      </c>
      <c r="T267" t="s">
        <v>50</v>
      </c>
      <c r="U267" t="s">
        <v>66</v>
      </c>
      <c r="V267" t="s">
        <v>32</v>
      </c>
      <c r="W267">
        <v>1</v>
      </c>
      <c r="X267">
        <v>1</v>
      </c>
      <c r="Y267" s="2">
        <f>Table1[[#This Row],[premium_yearly]]*Table1[[#This Row],[tenure_years]]</f>
        <v>4032.7200000000003</v>
      </c>
      <c r="Z267" s="2">
        <f>Table1[[#This Row],[total_collected_premiums]]*(1-$AD$2)</f>
        <v>2943.8856000000001</v>
      </c>
      <c r="AA267" s="2">
        <f>Table1[[#This Row],[retained_premium]]-Table1[[#This Row],[claim_amount_paid]]</f>
        <v>1943.8856000000001</v>
      </c>
    </row>
    <row r="268" spans="1:27" x14ac:dyDescent="0.35">
      <c r="A268" t="s">
        <v>843</v>
      </c>
      <c r="B268" t="s">
        <v>844</v>
      </c>
      <c r="C268" t="s">
        <v>845</v>
      </c>
      <c r="D268" s="1">
        <v>41608</v>
      </c>
      <c r="E268" s="1">
        <v>44040</v>
      </c>
      <c r="F268" s="1">
        <v>44041</v>
      </c>
      <c r="G268">
        <v>1</v>
      </c>
      <c r="H268">
        <v>94.66</v>
      </c>
      <c r="I268">
        <v>1135.92</v>
      </c>
      <c r="J268">
        <v>5000</v>
      </c>
      <c r="K268" t="s">
        <v>27</v>
      </c>
      <c r="L268">
        <v>5000</v>
      </c>
      <c r="M268">
        <v>2.25</v>
      </c>
      <c r="N268" t="s">
        <v>49</v>
      </c>
      <c r="O268">
        <v>27</v>
      </c>
      <c r="P268">
        <v>36</v>
      </c>
      <c r="Q268">
        <v>1</v>
      </c>
      <c r="R268">
        <v>3</v>
      </c>
      <c r="S268" t="s">
        <v>37</v>
      </c>
      <c r="T268" t="s">
        <v>44</v>
      </c>
      <c r="U268" t="s">
        <v>38</v>
      </c>
      <c r="V268" t="s">
        <v>39</v>
      </c>
      <c r="W268">
        <v>1</v>
      </c>
      <c r="X268">
        <v>1</v>
      </c>
      <c r="Y268" s="2">
        <f>Table1[[#This Row],[premium_yearly]]*Table1[[#This Row],[tenure_years]]</f>
        <v>2555.8200000000002</v>
      </c>
      <c r="Z268" s="2">
        <f>Table1[[#This Row],[total_collected_premiums]]*(1-$AD$2)</f>
        <v>1865.7486000000001</v>
      </c>
      <c r="AA268" s="2">
        <f>Table1[[#This Row],[retained_premium]]-Table1[[#This Row],[claim_amount_paid]]</f>
        <v>-3134.2514000000001</v>
      </c>
    </row>
    <row r="269" spans="1:27" x14ac:dyDescent="0.35">
      <c r="A269" t="s">
        <v>846</v>
      </c>
      <c r="B269" t="s">
        <v>847</v>
      </c>
      <c r="C269" t="s">
        <v>848</v>
      </c>
      <c r="D269" s="1">
        <v>41152</v>
      </c>
      <c r="E269" s="1">
        <v>44036</v>
      </c>
      <c r="F269" s="1">
        <v>44039</v>
      </c>
      <c r="G269">
        <v>3</v>
      </c>
      <c r="H269">
        <v>116.28</v>
      </c>
      <c r="I269">
        <v>1395.36</v>
      </c>
      <c r="J269">
        <v>5000</v>
      </c>
      <c r="K269" t="s">
        <v>27</v>
      </c>
      <c r="L269">
        <v>5000</v>
      </c>
      <c r="M269">
        <v>1.5</v>
      </c>
      <c r="N269" t="s">
        <v>36</v>
      </c>
      <c r="O269">
        <v>18</v>
      </c>
      <c r="P269">
        <v>56</v>
      </c>
      <c r="Q269">
        <v>1</v>
      </c>
      <c r="R269">
        <v>6</v>
      </c>
      <c r="S269" t="s">
        <v>37</v>
      </c>
      <c r="T269" t="s">
        <v>44</v>
      </c>
      <c r="U269" t="s">
        <v>31</v>
      </c>
      <c r="V269" t="s">
        <v>39</v>
      </c>
      <c r="W269">
        <v>1</v>
      </c>
      <c r="X269">
        <v>0</v>
      </c>
      <c r="Y269" s="2">
        <f>Table1[[#This Row],[premium_yearly]]*Table1[[#This Row],[tenure_years]]</f>
        <v>2093.04</v>
      </c>
      <c r="Z269" s="2">
        <f>Table1[[#This Row],[total_collected_premiums]]*(1-$AD$2)</f>
        <v>1527.9192</v>
      </c>
      <c r="AA269" s="2">
        <f>Table1[[#This Row],[retained_premium]]-Table1[[#This Row],[claim_amount_paid]]</f>
        <v>-3472.0807999999997</v>
      </c>
    </row>
    <row r="270" spans="1:27" x14ac:dyDescent="0.35">
      <c r="A270" t="s">
        <v>849</v>
      </c>
      <c r="B270" t="s">
        <v>850</v>
      </c>
      <c r="C270" t="s">
        <v>851</v>
      </c>
      <c r="D270" s="1">
        <v>40557</v>
      </c>
      <c r="E270" s="1">
        <v>44044</v>
      </c>
      <c r="F270" s="1">
        <v>44044</v>
      </c>
      <c r="G270">
        <v>0</v>
      </c>
      <c r="H270">
        <v>129.79</v>
      </c>
      <c r="I270">
        <v>1557.48</v>
      </c>
      <c r="J270">
        <v>7000</v>
      </c>
      <c r="K270" t="s">
        <v>27</v>
      </c>
      <c r="L270">
        <v>7000</v>
      </c>
      <c r="M270">
        <v>3.17</v>
      </c>
      <c r="N270" t="s">
        <v>28</v>
      </c>
      <c r="O270">
        <v>38</v>
      </c>
      <c r="P270">
        <v>29</v>
      </c>
      <c r="Q270">
        <v>0</v>
      </c>
      <c r="R270">
        <v>6</v>
      </c>
      <c r="S270" t="s">
        <v>37</v>
      </c>
      <c r="T270" t="s">
        <v>30</v>
      </c>
      <c r="U270" t="s">
        <v>31</v>
      </c>
      <c r="V270" t="s">
        <v>39</v>
      </c>
      <c r="W270">
        <v>1</v>
      </c>
      <c r="X270">
        <v>0</v>
      </c>
      <c r="Y270" s="2">
        <f>Table1[[#This Row],[premium_yearly]]*Table1[[#This Row],[tenure_years]]</f>
        <v>4937.2115999999996</v>
      </c>
      <c r="Z270" s="2">
        <f>Table1[[#This Row],[total_collected_premiums]]*(1-$AD$2)</f>
        <v>3604.1644679999995</v>
      </c>
      <c r="AA270" s="2">
        <f>Table1[[#This Row],[retained_premium]]-Table1[[#This Row],[claim_amount_paid]]</f>
        <v>-3395.8355320000005</v>
      </c>
    </row>
    <row r="271" spans="1:27" x14ac:dyDescent="0.35">
      <c r="A271" t="s">
        <v>852</v>
      </c>
      <c r="B271" t="s">
        <v>853</v>
      </c>
      <c r="C271" t="s">
        <v>854</v>
      </c>
      <c r="D271" s="1">
        <v>42609</v>
      </c>
      <c r="E271" s="1">
        <v>44028</v>
      </c>
      <c r="F271" s="1">
        <v>44033</v>
      </c>
      <c r="G271">
        <v>5</v>
      </c>
      <c r="H271">
        <v>110.19</v>
      </c>
      <c r="I271">
        <v>1322.28</v>
      </c>
      <c r="J271">
        <v>10000</v>
      </c>
      <c r="K271" t="s">
        <v>27</v>
      </c>
      <c r="L271">
        <v>10000</v>
      </c>
      <c r="M271">
        <v>2.08</v>
      </c>
      <c r="N271" t="s">
        <v>28</v>
      </c>
      <c r="O271">
        <v>25</v>
      </c>
      <c r="P271">
        <v>42</v>
      </c>
      <c r="Q271">
        <v>1</v>
      </c>
      <c r="R271">
        <v>5</v>
      </c>
      <c r="S271" t="s">
        <v>65</v>
      </c>
      <c r="T271" t="s">
        <v>30</v>
      </c>
      <c r="U271" t="s">
        <v>38</v>
      </c>
      <c r="V271" t="s">
        <v>39</v>
      </c>
      <c r="W271">
        <v>0</v>
      </c>
      <c r="X271">
        <v>0</v>
      </c>
      <c r="Y271" s="2">
        <f>Table1[[#This Row],[premium_yearly]]*Table1[[#This Row],[tenure_years]]</f>
        <v>2750.3424</v>
      </c>
      <c r="Z271" s="2">
        <f>Table1[[#This Row],[total_collected_premiums]]*(1-$AD$2)</f>
        <v>2007.7499519999999</v>
      </c>
      <c r="AA271" s="2">
        <f>Table1[[#This Row],[retained_premium]]-Table1[[#This Row],[claim_amount_paid]]</f>
        <v>-7992.2500479999999</v>
      </c>
    </row>
    <row r="272" spans="1:27" x14ac:dyDescent="0.35">
      <c r="A272" t="s">
        <v>855</v>
      </c>
      <c r="B272" t="s">
        <v>856</v>
      </c>
      <c r="C272" t="s">
        <v>857</v>
      </c>
      <c r="D272" s="1">
        <v>43335</v>
      </c>
      <c r="E272" s="1">
        <v>44026</v>
      </c>
      <c r="F272" s="1">
        <v>44031</v>
      </c>
      <c r="G272">
        <v>5</v>
      </c>
      <c r="H272">
        <v>87.66</v>
      </c>
      <c r="I272">
        <v>1051.92</v>
      </c>
      <c r="J272">
        <v>5000</v>
      </c>
      <c r="K272" t="s">
        <v>27</v>
      </c>
      <c r="L272">
        <v>5000</v>
      </c>
      <c r="M272">
        <v>5.92</v>
      </c>
      <c r="N272" t="s">
        <v>28</v>
      </c>
      <c r="O272">
        <v>71</v>
      </c>
      <c r="P272">
        <v>28</v>
      </c>
      <c r="Q272">
        <v>1</v>
      </c>
      <c r="R272">
        <v>3</v>
      </c>
      <c r="S272" t="s">
        <v>65</v>
      </c>
      <c r="T272" t="s">
        <v>50</v>
      </c>
      <c r="U272" t="s">
        <v>38</v>
      </c>
      <c r="V272" t="s">
        <v>32</v>
      </c>
      <c r="W272">
        <v>1</v>
      </c>
      <c r="X272">
        <v>0</v>
      </c>
      <c r="Y272" s="2">
        <f>Table1[[#This Row],[premium_yearly]]*Table1[[#This Row],[tenure_years]]</f>
        <v>6227.3664000000008</v>
      </c>
      <c r="Z272" s="2">
        <f>Table1[[#This Row],[total_collected_premiums]]*(1-$AD$2)</f>
        <v>4545.9774720000005</v>
      </c>
      <c r="AA272" s="2">
        <f>Table1[[#This Row],[retained_premium]]-Table1[[#This Row],[claim_amount_paid]]</f>
        <v>-454.02252799999951</v>
      </c>
    </row>
    <row r="273" spans="1:27" x14ac:dyDescent="0.35">
      <c r="A273" t="s">
        <v>858</v>
      </c>
      <c r="B273" t="s">
        <v>859</v>
      </c>
      <c r="C273" t="s">
        <v>860</v>
      </c>
      <c r="D273" s="1">
        <v>40669</v>
      </c>
      <c r="E273" s="1">
        <v>44044</v>
      </c>
      <c r="F273" s="1">
        <v>44044</v>
      </c>
      <c r="G273">
        <v>0</v>
      </c>
      <c r="H273">
        <v>124.2</v>
      </c>
      <c r="I273">
        <v>1490.4</v>
      </c>
      <c r="J273">
        <v>1000</v>
      </c>
      <c r="K273" t="s">
        <v>27</v>
      </c>
      <c r="L273">
        <v>1000</v>
      </c>
      <c r="M273">
        <v>7.5</v>
      </c>
      <c r="N273" t="s">
        <v>28</v>
      </c>
      <c r="O273">
        <v>90</v>
      </c>
      <c r="P273">
        <v>28</v>
      </c>
      <c r="Q273">
        <v>1</v>
      </c>
      <c r="R273">
        <v>6</v>
      </c>
      <c r="S273" t="s">
        <v>65</v>
      </c>
      <c r="T273" t="s">
        <v>44</v>
      </c>
      <c r="U273" t="s">
        <v>38</v>
      </c>
      <c r="V273" t="s">
        <v>45</v>
      </c>
      <c r="W273">
        <v>1</v>
      </c>
      <c r="X273">
        <v>0</v>
      </c>
      <c r="Y273" s="2">
        <f>Table1[[#This Row],[premium_yearly]]*Table1[[#This Row],[tenure_years]]</f>
        <v>11178</v>
      </c>
      <c r="Z273" s="2">
        <f>Table1[[#This Row],[total_collected_premiums]]*(1-$AD$2)</f>
        <v>8159.94</v>
      </c>
      <c r="AA273" s="2">
        <f>Table1[[#This Row],[retained_premium]]-Table1[[#This Row],[claim_amount_paid]]</f>
        <v>7159.94</v>
      </c>
    </row>
    <row r="274" spans="1:27" x14ac:dyDescent="0.35">
      <c r="A274" t="s">
        <v>861</v>
      </c>
      <c r="B274" t="s">
        <v>862</v>
      </c>
      <c r="C274" t="s">
        <v>863</v>
      </c>
      <c r="D274" s="1">
        <v>41262</v>
      </c>
      <c r="E274" s="1">
        <v>44034</v>
      </c>
      <c r="F274" s="1">
        <v>44039</v>
      </c>
      <c r="G274">
        <v>5</v>
      </c>
      <c r="H274">
        <v>78.010000000000005</v>
      </c>
      <c r="I274">
        <v>936.12</v>
      </c>
      <c r="J274">
        <v>5000</v>
      </c>
      <c r="K274" t="s">
        <v>27</v>
      </c>
      <c r="L274">
        <v>5000</v>
      </c>
      <c r="M274">
        <v>7.58</v>
      </c>
      <c r="N274" t="s">
        <v>36</v>
      </c>
      <c r="O274">
        <v>91</v>
      </c>
      <c r="P274">
        <v>63</v>
      </c>
      <c r="Q274">
        <v>1</v>
      </c>
      <c r="R274">
        <v>4</v>
      </c>
      <c r="S274" t="s">
        <v>29</v>
      </c>
      <c r="T274" t="s">
        <v>30</v>
      </c>
      <c r="U274" t="s">
        <v>51</v>
      </c>
      <c r="V274" t="s">
        <v>45</v>
      </c>
      <c r="W274">
        <v>1</v>
      </c>
      <c r="X274">
        <v>1</v>
      </c>
      <c r="Y274" s="2">
        <f>Table1[[#This Row],[premium_yearly]]*Table1[[#This Row],[tenure_years]]</f>
        <v>7095.7896000000001</v>
      </c>
      <c r="Z274" s="2">
        <f>Table1[[#This Row],[total_collected_premiums]]*(1-$AD$2)</f>
        <v>5179.9264080000003</v>
      </c>
      <c r="AA274" s="2">
        <f>Table1[[#This Row],[retained_premium]]-Table1[[#This Row],[claim_amount_paid]]</f>
        <v>179.92640800000027</v>
      </c>
    </row>
    <row r="275" spans="1:27" x14ac:dyDescent="0.35">
      <c r="A275" t="s">
        <v>864</v>
      </c>
      <c r="B275" t="s">
        <v>865</v>
      </c>
      <c r="C275" t="s">
        <v>866</v>
      </c>
      <c r="D275" s="1">
        <v>42876</v>
      </c>
      <c r="E275" s="1">
        <v>44029</v>
      </c>
      <c r="F275" s="1">
        <v>44034</v>
      </c>
      <c r="G275">
        <v>5</v>
      </c>
      <c r="H275">
        <v>98.83</v>
      </c>
      <c r="I275">
        <v>1185.96</v>
      </c>
      <c r="J275">
        <v>1000</v>
      </c>
      <c r="K275" t="s">
        <v>27</v>
      </c>
      <c r="L275">
        <v>1000</v>
      </c>
      <c r="M275">
        <v>4.58</v>
      </c>
      <c r="N275" t="s">
        <v>49</v>
      </c>
      <c r="O275">
        <v>55</v>
      </c>
      <c r="P275">
        <v>31</v>
      </c>
      <c r="Q275">
        <v>1</v>
      </c>
      <c r="R275">
        <v>3</v>
      </c>
      <c r="S275" t="s">
        <v>29</v>
      </c>
      <c r="T275" t="s">
        <v>50</v>
      </c>
      <c r="U275" t="s">
        <v>38</v>
      </c>
      <c r="V275" t="s">
        <v>32</v>
      </c>
      <c r="W275">
        <v>0</v>
      </c>
      <c r="X275">
        <v>1</v>
      </c>
      <c r="Y275" s="2">
        <f>Table1[[#This Row],[premium_yearly]]*Table1[[#This Row],[tenure_years]]</f>
        <v>5431.6968000000006</v>
      </c>
      <c r="Z275" s="2">
        <f>Table1[[#This Row],[total_collected_premiums]]*(1-$AD$2)</f>
        <v>3965.1386640000005</v>
      </c>
      <c r="AA275" s="2">
        <f>Table1[[#This Row],[retained_premium]]-Table1[[#This Row],[claim_amount_paid]]</f>
        <v>2965.1386640000005</v>
      </c>
    </row>
    <row r="276" spans="1:27" x14ac:dyDescent="0.35">
      <c r="A276" t="s">
        <v>867</v>
      </c>
      <c r="B276" t="s">
        <v>868</v>
      </c>
      <c r="C276" t="s">
        <v>869</v>
      </c>
      <c r="D276" s="1">
        <v>43451</v>
      </c>
      <c r="E276" s="1">
        <v>44026</v>
      </c>
      <c r="F276" s="1">
        <v>44031</v>
      </c>
      <c r="G276">
        <v>5</v>
      </c>
      <c r="H276">
        <v>89.13</v>
      </c>
      <c r="I276">
        <v>1069.56</v>
      </c>
      <c r="J276">
        <v>6000</v>
      </c>
      <c r="K276" t="s">
        <v>27</v>
      </c>
      <c r="L276">
        <v>6000</v>
      </c>
      <c r="M276">
        <v>3.5</v>
      </c>
      <c r="N276" t="s">
        <v>49</v>
      </c>
      <c r="O276">
        <v>42</v>
      </c>
      <c r="P276">
        <v>64</v>
      </c>
      <c r="Q276">
        <v>1</v>
      </c>
      <c r="R276">
        <v>3</v>
      </c>
      <c r="S276" t="s">
        <v>37</v>
      </c>
      <c r="T276" t="s">
        <v>44</v>
      </c>
      <c r="U276" t="s">
        <v>38</v>
      </c>
      <c r="V276" t="s">
        <v>32</v>
      </c>
      <c r="W276">
        <v>1</v>
      </c>
      <c r="X276">
        <v>0</v>
      </c>
      <c r="Y276" s="2">
        <f>Table1[[#This Row],[premium_yearly]]*Table1[[#This Row],[tenure_years]]</f>
        <v>3743.46</v>
      </c>
      <c r="Z276" s="2">
        <f>Table1[[#This Row],[total_collected_premiums]]*(1-$AD$2)</f>
        <v>2732.7258000000002</v>
      </c>
      <c r="AA276" s="2">
        <f>Table1[[#This Row],[retained_premium]]-Table1[[#This Row],[claim_amount_paid]]</f>
        <v>-3267.2741999999998</v>
      </c>
    </row>
    <row r="277" spans="1:27" x14ac:dyDescent="0.35">
      <c r="A277" t="s">
        <v>870</v>
      </c>
      <c r="B277" t="s">
        <v>871</v>
      </c>
      <c r="C277" t="s">
        <v>872</v>
      </c>
      <c r="D277" s="1">
        <v>40393</v>
      </c>
      <c r="E277" s="1">
        <v>44038</v>
      </c>
      <c r="F277" s="1">
        <v>44041</v>
      </c>
      <c r="G277">
        <v>3</v>
      </c>
      <c r="H277">
        <v>92.26</v>
      </c>
      <c r="I277">
        <v>1107.1199999999999</v>
      </c>
      <c r="J277">
        <v>5000</v>
      </c>
      <c r="K277" t="s">
        <v>27</v>
      </c>
      <c r="L277">
        <v>5000</v>
      </c>
      <c r="M277">
        <v>9.92</v>
      </c>
      <c r="N277" t="s">
        <v>28</v>
      </c>
      <c r="O277">
        <v>119</v>
      </c>
      <c r="P277">
        <v>26</v>
      </c>
      <c r="Q277">
        <v>0</v>
      </c>
      <c r="R277">
        <v>4</v>
      </c>
      <c r="S277" t="s">
        <v>65</v>
      </c>
      <c r="T277" t="s">
        <v>30</v>
      </c>
      <c r="U277" t="s">
        <v>58</v>
      </c>
      <c r="V277" t="s">
        <v>45</v>
      </c>
      <c r="W277">
        <v>1</v>
      </c>
      <c r="X277">
        <v>1</v>
      </c>
      <c r="Y277" s="2">
        <f>Table1[[#This Row],[premium_yearly]]*Table1[[#This Row],[tenure_years]]</f>
        <v>10982.630399999998</v>
      </c>
      <c r="Z277" s="2">
        <f>Table1[[#This Row],[total_collected_premiums]]*(1-$AD$2)</f>
        <v>8017.3201919999983</v>
      </c>
      <c r="AA277" s="2">
        <f>Table1[[#This Row],[retained_premium]]-Table1[[#This Row],[claim_amount_paid]]</f>
        <v>3017.3201919999983</v>
      </c>
    </row>
    <row r="278" spans="1:27" x14ac:dyDescent="0.35">
      <c r="A278" t="s">
        <v>873</v>
      </c>
      <c r="B278" t="s">
        <v>874</v>
      </c>
      <c r="C278" t="s">
        <v>875</v>
      </c>
      <c r="D278" s="1">
        <v>42402</v>
      </c>
      <c r="E278" s="1">
        <v>44044</v>
      </c>
      <c r="F278" s="1">
        <v>44044</v>
      </c>
      <c r="G278">
        <v>0</v>
      </c>
      <c r="H278">
        <v>87.29</v>
      </c>
      <c r="I278">
        <v>1047.48</v>
      </c>
      <c r="J278">
        <v>9000</v>
      </c>
      <c r="K278" t="s">
        <v>27</v>
      </c>
      <c r="L278">
        <v>9000</v>
      </c>
      <c r="M278">
        <v>1.5</v>
      </c>
      <c r="N278" t="s">
        <v>49</v>
      </c>
      <c r="O278">
        <v>18</v>
      </c>
      <c r="P278">
        <v>29</v>
      </c>
      <c r="Q278">
        <v>0</v>
      </c>
      <c r="R278">
        <v>7</v>
      </c>
      <c r="S278" t="s">
        <v>29</v>
      </c>
      <c r="T278" t="s">
        <v>50</v>
      </c>
      <c r="U278" t="s">
        <v>38</v>
      </c>
      <c r="V278" t="s">
        <v>45</v>
      </c>
      <c r="W278">
        <v>0</v>
      </c>
      <c r="X278">
        <v>1</v>
      </c>
      <c r="Y278" s="2">
        <f>Table1[[#This Row],[premium_yearly]]*Table1[[#This Row],[tenure_years]]</f>
        <v>1571.22</v>
      </c>
      <c r="Z278" s="2">
        <f>Table1[[#This Row],[total_collected_premiums]]*(1-$AD$2)</f>
        <v>1146.9906000000001</v>
      </c>
      <c r="AA278" s="2">
        <f>Table1[[#This Row],[retained_premium]]-Table1[[#This Row],[claim_amount_paid]]</f>
        <v>-7853.0093999999999</v>
      </c>
    </row>
    <row r="279" spans="1:27" x14ac:dyDescent="0.35">
      <c r="A279" t="s">
        <v>876</v>
      </c>
      <c r="B279" t="s">
        <v>877</v>
      </c>
      <c r="C279" t="s">
        <v>878</v>
      </c>
      <c r="D279" s="1">
        <v>42118</v>
      </c>
      <c r="E279" s="1">
        <v>44045</v>
      </c>
      <c r="F279" s="1">
        <v>44045</v>
      </c>
      <c r="G279">
        <v>0</v>
      </c>
      <c r="H279">
        <v>84.96</v>
      </c>
      <c r="I279">
        <v>1019.52</v>
      </c>
      <c r="J279">
        <v>7000</v>
      </c>
      <c r="K279" t="s">
        <v>27</v>
      </c>
      <c r="L279">
        <v>7000</v>
      </c>
      <c r="M279">
        <v>5.17</v>
      </c>
      <c r="N279" t="s">
        <v>36</v>
      </c>
      <c r="O279">
        <v>62</v>
      </c>
      <c r="P279">
        <v>57</v>
      </c>
      <c r="Q279">
        <v>1</v>
      </c>
      <c r="R279">
        <v>4</v>
      </c>
      <c r="S279" t="s">
        <v>65</v>
      </c>
      <c r="T279" t="s">
        <v>44</v>
      </c>
      <c r="U279" t="s">
        <v>66</v>
      </c>
      <c r="V279" t="s">
        <v>32</v>
      </c>
      <c r="W279">
        <v>1</v>
      </c>
      <c r="X279">
        <v>1</v>
      </c>
      <c r="Y279" s="2">
        <f>Table1[[#This Row],[premium_yearly]]*Table1[[#This Row],[tenure_years]]</f>
        <v>5270.9183999999996</v>
      </c>
      <c r="Z279" s="2">
        <f>Table1[[#This Row],[total_collected_premiums]]*(1-$AD$2)</f>
        <v>3847.7704319999998</v>
      </c>
      <c r="AA279" s="2">
        <f>Table1[[#This Row],[retained_premium]]-Table1[[#This Row],[claim_amount_paid]]</f>
        <v>-3152.2295680000002</v>
      </c>
    </row>
    <row r="280" spans="1:27" x14ac:dyDescent="0.35">
      <c r="A280" t="s">
        <v>879</v>
      </c>
      <c r="B280" t="s">
        <v>880</v>
      </c>
      <c r="C280" t="s">
        <v>881</v>
      </c>
      <c r="D280" s="1">
        <v>41938</v>
      </c>
      <c r="E280" s="1">
        <v>44029</v>
      </c>
      <c r="F280" s="1">
        <v>44034</v>
      </c>
      <c r="G280">
        <v>5</v>
      </c>
      <c r="H280">
        <v>82.97</v>
      </c>
      <c r="I280">
        <v>995.64</v>
      </c>
      <c r="J280">
        <v>5000</v>
      </c>
      <c r="K280" t="s">
        <v>27</v>
      </c>
      <c r="L280">
        <v>5000</v>
      </c>
      <c r="M280">
        <v>1.58</v>
      </c>
      <c r="N280" t="s">
        <v>49</v>
      </c>
      <c r="O280">
        <v>19</v>
      </c>
      <c r="P280">
        <v>54</v>
      </c>
      <c r="Q280">
        <v>1</v>
      </c>
      <c r="R280">
        <v>4</v>
      </c>
      <c r="S280" t="s">
        <v>65</v>
      </c>
      <c r="T280" t="s">
        <v>30</v>
      </c>
      <c r="U280" t="s">
        <v>38</v>
      </c>
      <c r="V280" t="s">
        <v>39</v>
      </c>
      <c r="W280">
        <v>1</v>
      </c>
      <c r="X280">
        <v>1</v>
      </c>
      <c r="Y280" s="2">
        <f>Table1[[#This Row],[premium_yearly]]*Table1[[#This Row],[tenure_years]]</f>
        <v>1573.1112000000001</v>
      </c>
      <c r="Z280" s="2">
        <f>Table1[[#This Row],[total_collected_premiums]]*(1-$AD$2)</f>
        <v>1148.3711760000001</v>
      </c>
      <c r="AA280" s="2">
        <f>Table1[[#This Row],[retained_premium]]-Table1[[#This Row],[claim_amount_paid]]</f>
        <v>-3851.6288239999999</v>
      </c>
    </row>
    <row r="281" spans="1:27" x14ac:dyDescent="0.35">
      <c r="A281" t="s">
        <v>882</v>
      </c>
      <c r="B281" t="s">
        <v>883</v>
      </c>
      <c r="C281" t="s">
        <v>884</v>
      </c>
      <c r="D281" s="1">
        <v>42076</v>
      </c>
      <c r="E281" s="1">
        <v>44042</v>
      </c>
      <c r="F281" s="1">
        <v>44043</v>
      </c>
      <c r="G281">
        <v>1</v>
      </c>
      <c r="H281">
        <v>105.45</v>
      </c>
      <c r="I281">
        <v>1265.4000000000001</v>
      </c>
      <c r="J281">
        <v>10000</v>
      </c>
      <c r="K281" t="s">
        <v>27</v>
      </c>
      <c r="L281">
        <v>10000</v>
      </c>
      <c r="M281">
        <v>2.08</v>
      </c>
      <c r="N281" t="s">
        <v>49</v>
      </c>
      <c r="O281">
        <v>25</v>
      </c>
      <c r="P281">
        <v>49</v>
      </c>
      <c r="Q281">
        <v>1</v>
      </c>
      <c r="R281">
        <v>2</v>
      </c>
      <c r="S281" t="s">
        <v>65</v>
      </c>
      <c r="T281" t="s">
        <v>50</v>
      </c>
      <c r="U281" t="s">
        <v>107</v>
      </c>
      <c r="V281" t="s">
        <v>32</v>
      </c>
      <c r="W281">
        <v>1</v>
      </c>
      <c r="X281">
        <v>1</v>
      </c>
      <c r="Y281" s="2">
        <f>Table1[[#This Row],[premium_yearly]]*Table1[[#This Row],[tenure_years]]</f>
        <v>2632.0320000000002</v>
      </c>
      <c r="Z281" s="2">
        <f>Table1[[#This Row],[total_collected_premiums]]*(1-$AD$2)</f>
        <v>1921.38336</v>
      </c>
      <c r="AA281" s="2">
        <f>Table1[[#This Row],[retained_premium]]-Table1[[#This Row],[claim_amount_paid]]</f>
        <v>-8078.6166400000002</v>
      </c>
    </row>
    <row r="282" spans="1:27" x14ac:dyDescent="0.35">
      <c r="A282" t="s">
        <v>885</v>
      </c>
      <c r="B282" t="s">
        <v>886</v>
      </c>
      <c r="C282" t="s">
        <v>887</v>
      </c>
      <c r="D282" s="1">
        <v>40996</v>
      </c>
      <c r="E282" s="1">
        <v>44041</v>
      </c>
      <c r="F282" s="1">
        <v>44043</v>
      </c>
      <c r="G282">
        <v>2</v>
      </c>
      <c r="H282">
        <v>101.01</v>
      </c>
      <c r="I282">
        <v>1212.1199999999999</v>
      </c>
      <c r="J282">
        <v>8000</v>
      </c>
      <c r="K282" t="s">
        <v>27</v>
      </c>
      <c r="L282">
        <v>8000</v>
      </c>
      <c r="M282">
        <v>6.83</v>
      </c>
      <c r="N282" t="s">
        <v>28</v>
      </c>
      <c r="O282">
        <v>82</v>
      </c>
      <c r="P282">
        <v>30</v>
      </c>
      <c r="Q282">
        <v>1</v>
      </c>
      <c r="R282">
        <v>6</v>
      </c>
      <c r="S282" t="s">
        <v>37</v>
      </c>
      <c r="T282" t="s">
        <v>44</v>
      </c>
      <c r="U282" t="s">
        <v>51</v>
      </c>
      <c r="V282" t="s">
        <v>39</v>
      </c>
      <c r="W282">
        <v>0</v>
      </c>
      <c r="X282">
        <v>1</v>
      </c>
      <c r="Y282" s="2">
        <f>Table1[[#This Row],[premium_yearly]]*Table1[[#This Row],[tenure_years]]</f>
        <v>8278.7795999999998</v>
      </c>
      <c r="Z282" s="2">
        <f>Table1[[#This Row],[total_collected_premiums]]*(1-$AD$2)</f>
        <v>6043.5091079999993</v>
      </c>
      <c r="AA282" s="2">
        <f>Table1[[#This Row],[retained_premium]]-Table1[[#This Row],[claim_amount_paid]]</f>
        <v>-1956.4908920000007</v>
      </c>
    </row>
    <row r="283" spans="1:27" x14ac:dyDescent="0.35">
      <c r="A283" t="s">
        <v>888</v>
      </c>
      <c r="B283" t="s">
        <v>889</v>
      </c>
      <c r="C283" t="s">
        <v>890</v>
      </c>
      <c r="D283" s="1">
        <v>40758</v>
      </c>
      <c r="E283" s="1">
        <v>44029</v>
      </c>
      <c r="F283" s="1">
        <v>44034</v>
      </c>
      <c r="G283">
        <v>5</v>
      </c>
      <c r="H283">
        <v>111.1</v>
      </c>
      <c r="I283">
        <v>1333.2</v>
      </c>
      <c r="J283">
        <v>7000</v>
      </c>
      <c r="K283" t="s">
        <v>27</v>
      </c>
      <c r="L283">
        <v>7000</v>
      </c>
      <c r="M283">
        <v>1.5</v>
      </c>
      <c r="N283" t="s">
        <v>36</v>
      </c>
      <c r="O283">
        <v>18</v>
      </c>
      <c r="P283">
        <v>26</v>
      </c>
      <c r="Q283">
        <v>0</v>
      </c>
      <c r="R283">
        <v>4</v>
      </c>
      <c r="S283" t="s">
        <v>65</v>
      </c>
      <c r="T283" t="s">
        <v>50</v>
      </c>
      <c r="U283" t="s">
        <v>31</v>
      </c>
      <c r="V283" t="s">
        <v>32</v>
      </c>
      <c r="W283">
        <v>1</v>
      </c>
      <c r="X283">
        <v>0</v>
      </c>
      <c r="Y283" s="2">
        <f>Table1[[#This Row],[premium_yearly]]*Table1[[#This Row],[tenure_years]]</f>
        <v>1999.8000000000002</v>
      </c>
      <c r="Z283" s="2">
        <f>Table1[[#This Row],[total_collected_premiums]]*(1-$AD$2)</f>
        <v>1459.854</v>
      </c>
      <c r="AA283" s="2">
        <f>Table1[[#This Row],[retained_premium]]-Table1[[#This Row],[claim_amount_paid]]</f>
        <v>-5540.1459999999997</v>
      </c>
    </row>
    <row r="284" spans="1:27" x14ac:dyDescent="0.35">
      <c r="A284" t="s">
        <v>891</v>
      </c>
      <c r="B284" t="s">
        <v>892</v>
      </c>
      <c r="C284" t="s">
        <v>893</v>
      </c>
      <c r="D284" s="1">
        <v>41439</v>
      </c>
      <c r="E284" s="1">
        <v>44032</v>
      </c>
      <c r="F284" s="1">
        <v>44037</v>
      </c>
      <c r="G284">
        <v>5</v>
      </c>
      <c r="H284">
        <v>99.91</v>
      </c>
      <c r="I284">
        <v>1198.92</v>
      </c>
      <c r="J284">
        <v>1000</v>
      </c>
      <c r="K284" t="s">
        <v>27</v>
      </c>
      <c r="L284">
        <v>1000</v>
      </c>
      <c r="M284">
        <v>3.67</v>
      </c>
      <c r="N284" t="s">
        <v>49</v>
      </c>
      <c r="O284">
        <v>44</v>
      </c>
      <c r="P284">
        <v>49</v>
      </c>
      <c r="Q284">
        <v>1</v>
      </c>
      <c r="R284">
        <v>7</v>
      </c>
      <c r="S284" t="s">
        <v>65</v>
      </c>
      <c r="T284" t="s">
        <v>30</v>
      </c>
      <c r="U284" t="s">
        <v>66</v>
      </c>
      <c r="V284" t="s">
        <v>45</v>
      </c>
      <c r="W284">
        <v>1</v>
      </c>
      <c r="X284">
        <v>0</v>
      </c>
      <c r="Y284" s="2">
        <f>Table1[[#This Row],[premium_yearly]]*Table1[[#This Row],[tenure_years]]</f>
        <v>4400.0364</v>
      </c>
      <c r="Z284" s="2">
        <f>Table1[[#This Row],[total_collected_premiums]]*(1-$AD$2)</f>
        <v>3212.0265719999998</v>
      </c>
      <c r="AA284" s="2">
        <f>Table1[[#This Row],[retained_premium]]-Table1[[#This Row],[claim_amount_paid]]</f>
        <v>2212.0265719999998</v>
      </c>
    </row>
    <row r="285" spans="1:27" x14ac:dyDescent="0.35">
      <c r="A285" t="s">
        <v>894</v>
      </c>
      <c r="B285" t="s">
        <v>895</v>
      </c>
      <c r="C285" t="s">
        <v>896</v>
      </c>
      <c r="D285" s="1">
        <v>41163</v>
      </c>
      <c r="E285" s="1">
        <v>44037</v>
      </c>
      <c r="F285" s="1">
        <v>44040</v>
      </c>
      <c r="G285">
        <v>3</v>
      </c>
      <c r="H285">
        <v>76.52</v>
      </c>
      <c r="I285">
        <v>918.24</v>
      </c>
      <c r="J285">
        <v>2000</v>
      </c>
      <c r="K285" t="s">
        <v>27</v>
      </c>
      <c r="L285">
        <v>2000</v>
      </c>
      <c r="M285">
        <v>8.83</v>
      </c>
      <c r="N285" t="s">
        <v>49</v>
      </c>
      <c r="O285">
        <v>106</v>
      </c>
      <c r="P285">
        <v>52</v>
      </c>
      <c r="Q285">
        <v>0</v>
      </c>
      <c r="R285">
        <v>6</v>
      </c>
      <c r="S285" t="s">
        <v>65</v>
      </c>
      <c r="T285" t="s">
        <v>44</v>
      </c>
      <c r="U285" t="s">
        <v>31</v>
      </c>
      <c r="V285" t="s">
        <v>39</v>
      </c>
      <c r="W285">
        <v>0</v>
      </c>
      <c r="X285">
        <v>0</v>
      </c>
      <c r="Y285" s="2">
        <f>Table1[[#This Row],[premium_yearly]]*Table1[[#This Row],[tenure_years]]</f>
        <v>8108.0591999999997</v>
      </c>
      <c r="Z285" s="2">
        <f>Table1[[#This Row],[total_collected_premiums]]*(1-$AD$2)</f>
        <v>5918.8832159999993</v>
      </c>
      <c r="AA285" s="2">
        <f>Table1[[#This Row],[retained_premium]]-Table1[[#This Row],[claim_amount_paid]]</f>
        <v>3918.8832159999993</v>
      </c>
    </row>
    <row r="286" spans="1:27" x14ac:dyDescent="0.35">
      <c r="A286" t="s">
        <v>897</v>
      </c>
      <c r="B286" t="s">
        <v>898</v>
      </c>
      <c r="C286" t="s">
        <v>899</v>
      </c>
      <c r="D286" s="1">
        <v>41780</v>
      </c>
      <c r="E286" s="1">
        <v>44042</v>
      </c>
      <c r="F286" s="1">
        <v>44044</v>
      </c>
      <c r="G286">
        <v>2</v>
      </c>
      <c r="H286">
        <v>116.92</v>
      </c>
      <c r="I286">
        <v>1403.04</v>
      </c>
      <c r="J286">
        <v>1000</v>
      </c>
      <c r="K286" t="s">
        <v>27</v>
      </c>
      <c r="L286">
        <v>1000</v>
      </c>
      <c r="M286">
        <v>7.83</v>
      </c>
      <c r="N286" t="s">
        <v>28</v>
      </c>
      <c r="O286">
        <v>94</v>
      </c>
      <c r="P286">
        <v>44</v>
      </c>
      <c r="Q286">
        <v>1</v>
      </c>
      <c r="R286">
        <v>5</v>
      </c>
      <c r="S286" t="s">
        <v>29</v>
      </c>
      <c r="T286" t="s">
        <v>30</v>
      </c>
      <c r="U286" t="s">
        <v>38</v>
      </c>
      <c r="V286" t="s">
        <v>32</v>
      </c>
      <c r="W286">
        <v>0</v>
      </c>
      <c r="X286">
        <v>1</v>
      </c>
      <c r="Y286" s="2">
        <f>Table1[[#This Row],[premium_yearly]]*Table1[[#This Row],[tenure_years]]</f>
        <v>10985.8032</v>
      </c>
      <c r="Z286" s="2">
        <f>Table1[[#This Row],[total_collected_premiums]]*(1-$AD$2)</f>
        <v>8019.6363359999996</v>
      </c>
      <c r="AA286" s="2">
        <f>Table1[[#This Row],[retained_premium]]-Table1[[#This Row],[claim_amount_paid]]</f>
        <v>7019.6363359999996</v>
      </c>
    </row>
    <row r="287" spans="1:27" x14ac:dyDescent="0.35">
      <c r="A287" t="s">
        <v>900</v>
      </c>
      <c r="B287" t="s">
        <v>901</v>
      </c>
      <c r="C287" t="s">
        <v>902</v>
      </c>
      <c r="D287" s="1">
        <v>42244</v>
      </c>
      <c r="E287" s="1">
        <v>44038</v>
      </c>
      <c r="F287" s="1">
        <v>44041</v>
      </c>
      <c r="G287">
        <v>3</v>
      </c>
      <c r="H287">
        <v>95.05</v>
      </c>
      <c r="I287">
        <v>1140.5999999999999</v>
      </c>
      <c r="J287">
        <v>8000</v>
      </c>
      <c r="K287" t="s">
        <v>27</v>
      </c>
      <c r="L287">
        <v>8000</v>
      </c>
      <c r="M287">
        <v>3.67</v>
      </c>
      <c r="N287" t="s">
        <v>36</v>
      </c>
      <c r="O287">
        <v>44</v>
      </c>
      <c r="P287">
        <v>62</v>
      </c>
      <c r="Q287">
        <v>0</v>
      </c>
      <c r="R287">
        <v>6</v>
      </c>
      <c r="S287" t="s">
        <v>65</v>
      </c>
      <c r="T287" t="s">
        <v>30</v>
      </c>
      <c r="U287" t="s">
        <v>88</v>
      </c>
      <c r="V287" t="s">
        <v>39</v>
      </c>
      <c r="W287">
        <v>1</v>
      </c>
      <c r="X287">
        <v>1</v>
      </c>
      <c r="Y287" s="2">
        <f>Table1[[#This Row],[premium_yearly]]*Table1[[#This Row],[tenure_years]]</f>
        <v>4186.0019999999995</v>
      </c>
      <c r="Z287" s="2">
        <f>Table1[[#This Row],[total_collected_premiums]]*(1-$AD$2)</f>
        <v>3055.7814599999997</v>
      </c>
      <c r="AA287" s="2">
        <f>Table1[[#This Row],[retained_premium]]-Table1[[#This Row],[claim_amount_paid]]</f>
        <v>-4944.2185399999998</v>
      </c>
    </row>
    <row r="288" spans="1:27" x14ac:dyDescent="0.35">
      <c r="A288" t="s">
        <v>903</v>
      </c>
      <c r="B288" t="s">
        <v>904</v>
      </c>
      <c r="C288" t="s">
        <v>905</v>
      </c>
      <c r="D288" s="1">
        <v>41845</v>
      </c>
      <c r="E288" s="1">
        <v>44043</v>
      </c>
      <c r="F288" s="1">
        <v>44044</v>
      </c>
      <c r="G288">
        <v>1</v>
      </c>
      <c r="H288">
        <v>95.82</v>
      </c>
      <c r="I288">
        <v>1149.8399999999999</v>
      </c>
      <c r="J288">
        <v>1000</v>
      </c>
      <c r="K288" t="s">
        <v>27</v>
      </c>
      <c r="L288">
        <v>1000</v>
      </c>
      <c r="M288">
        <v>1.58</v>
      </c>
      <c r="N288" t="s">
        <v>36</v>
      </c>
      <c r="O288">
        <v>19</v>
      </c>
      <c r="P288">
        <v>40</v>
      </c>
      <c r="Q288">
        <v>1</v>
      </c>
      <c r="R288">
        <v>6</v>
      </c>
      <c r="S288" t="s">
        <v>65</v>
      </c>
      <c r="T288" t="s">
        <v>44</v>
      </c>
      <c r="U288" t="s">
        <v>38</v>
      </c>
      <c r="V288" t="s">
        <v>39</v>
      </c>
      <c r="W288">
        <v>0</v>
      </c>
      <c r="X288">
        <v>1</v>
      </c>
      <c r="Y288" s="2">
        <f>Table1[[#This Row],[premium_yearly]]*Table1[[#This Row],[tenure_years]]</f>
        <v>1816.7472</v>
      </c>
      <c r="Z288" s="2">
        <f>Table1[[#This Row],[total_collected_premiums]]*(1-$AD$2)</f>
        <v>1326.2254559999999</v>
      </c>
      <c r="AA288" s="2">
        <f>Table1[[#This Row],[retained_premium]]-Table1[[#This Row],[claim_amount_paid]]</f>
        <v>326.22545599999989</v>
      </c>
    </row>
    <row r="289" spans="1:27" x14ac:dyDescent="0.35">
      <c r="A289" t="s">
        <v>906</v>
      </c>
      <c r="B289" t="s">
        <v>907</v>
      </c>
      <c r="C289" t="s">
        <v>908</v>
      </c>
      <c r="D289" s="1">
        <v>41243</v>
      </c>
      <c r="E289" s="1">
        <v>44035</v>
      </c>
      <c r="F289" s="1">
        <v>44040</v>
      </c>
      <c r="G289">
        <v>5</v>
      </c>
      <c r="H289">
        <v>72.56</v>
      </c>
      <c r="I289">
        <v>870.72</v>
      </c>
      <c r="J289">
        <v>5000</v>
      </c>
      <c r="K289" t="s">
        <v>43</v>
      </c>
      <c r="L289">
        <v>0</v>
      </c>
      <c r="M289">
        <v>7.08</v>
      </c>
      <c r="N289" t="s">
        <v>36</v>
      </c>
      <c r="O289">
        <v>85</v>
      </c>
      <c r="P289">
        <v>41</v>
      </c>
      <c r="Q289">
        <v>1</v>
      </c>
      <c r="R289">
        <v>2</v>
      </c>
      <c r="S289" t="s">
        <v>29</v>
      </c>
      <c r="T289" t="s">
        <v>44</v>
      </c>
      <c r="U289" t="s">
        <v>31</v>
      </c>
      <c r="V289" t="s">
        <v>39</v>
      </c>
      <c r="W289">
        <v>1</v>
      </c>
      <c r="X289">
        <v>1</v>
      </c>
      <c r="Y289" s="2">
        <f>Table1[[#This Row],[premium_yearly]]*Table1[[#This Row],[tenure_years]]</f>
        <v>6164.6976000000004</v>
      </c>
      <c r="Z289" s="2">
        <f>Table1[[#This Row],[total_collected_premiums]]*(1-$AD$2)</f>
        <v>4500.2292480000006</v>
      </c>
      <c r="AA289" s="2">
        <f>Table1[[#This Row],[retained_premium]]-Table1[[#This Row],[claim_amount_paid]]</f>
        <v>4500.2292480000006</v>
      </c>
    </row>
    <row r="290" spans="1:27" x14ac:dyDescent="0.35">
      <c r="A290" t="s">
        <v>909</v>
      </c>
      <c r="B290" t="s">
        <v>910</v>
      </c>
      <c r="C290" t="s">
        <v>911</v>
      </c>
      <c r="D290" s="1">
        <v>41615</v>
      </c>
      <c r="E290" s="1">
        <v>44038</v>
      </c>
      <c r="F290" s="1">
        <v>44043</v>
      </c>
      <c r="G290">
        <v>5</v>
      </c>
      <c r="H290">
        <v>132.65</v>
      </c>
      <c r="I290">
        <v>1591.8</v>
      </c>
      <c r="J290">
        <v>2000</v>
      </c>
      <c r="K290" t="s">
        <v>27</v>
      </c>
      <c r="L290">
        <v>2000</v>
      </c>
      <c r="M290">
        <v>2.83</v>
      </c>
      <c r="N290" t="s">
        <v>49</v>
      </c>
      <c r="O290">
        <v>34</v>
      </c>
      <c r="P290">
        <v>57</v>
      </c>
      <c r="Q290">
        <v>0</v>
      </c>
      <c r="R290">
        <v>5</v>
      </c>
      <c r="S290" t="s">
        <v>65</v>
      </c>
      <c r="T290" t="s">
        <v>50</v>
      </c>
      <c r="U290" t="s">
        <v>38</v>
      </c>
      <c r="V290" t="s">
        <v>32</v>
      </c>
      <c r="W290">
        <v>0</v>
      </c>
      <c r="X290">
        <v>0</v>
      </c>
      <c r="Y290" s="2">
        <f>Table1[[#This Row],[premium_yearly]]*Table1[[#This Row],[tenure_years]]</f>
        <v>4504.7939999999999</v>
      </c>
      <c r="Z290" s="2">
        <f>Table1[[#This Row],[total_collected_premiums]]*(1-$AD$2)</f>
        <v>3288.49962</v>
      </c>
      <c r="AA290" s="2">
        <f>Table1[[#This Row],[retained_premium]]-Table1[[#This Row],[claim_amount_paid]]</f>
        <v>1288.49962</v>
      </c>
    </row>
    <row r="291" spans="1:27" x14ac:dyDescent="0.35">
      <c r="A291" t="s">
        <v>912</v>
      </c>
      <c r="B291" t="s">
        <v>913</v>
      </c>
      <c r="C291" t="s">
        <v>914</v>
      </c>
      <c r="D291" s="1">
        <v>42626</v>
      </c>
      <c r="E291" s="1">
        <v>44030</v>
      </c>
      <c r="F291" s="1">
        <v>44035</v>
      </c>
      <c r="G291">
        <v>5</v>
      </c>
      <c r="H291">
        <v>90.07</v>
      </c>
      <c r="I291">
        <v>1080.8399999999999</v>
      </c>
      <c r="J291">
        <v>5000</v>
      </c>
      <c r="K291" t="s">
        <v>27</v>
      </c>
      <c r="L291">
        <v>5000</v>
      </c>
      <c r="M291">
        <v>1.83</v>
      </c>
      <c r="N291" t="s">
        <v>28</v>
      </c>
      <c r="O291">
        <v>22</v>
      </c>
      <c r="P291">
        <v>34</v>
      </c>
      <c r="Q291">
        <v>1</v>
      </c>
      <c r="R291">
        <v>7</v>
      </c>
      <c r="S291" t="s">
        <v>29</v>
      </c>
      <c r="T291" t="s">
        <v>44</v>
      </c>
      <c r="U291" t="s">
        <v>51</v>
      </c>
      <c r="V291" t="s">
        <v>32</v>
      </c>
      <c r="W291">
        <v>1</v>
      </c>
      <c r="X291">
        <v>0</v>
      </c>
      <c r="Y291" s="2">
        <f>Table1[[#This Row],[premium_yearly]]*Table1[[#This Row],[tenure_years]]</f>
        <v>1977.9371999999998</v>
      </c>
      <c r="Z291" s="2">
        <f>Table1[[#This Row],[total_collected_premiums]]*(1-$AD$2)</f>
        <v>1443.8941559999998</v>
      </c>
      <c r="AA291" s="2">
        <f>Table1[[#This Row],[retained_premium]]-Table1[[#This Row],[claim_amount_paid]]</f>
        <v>-3556.1058440000002</v>
      </c>
    </row>
    <row r="292" spans="1:27" x14ac:dyDescent="0.35">
      <c r="A292" t="s">
        <v>915</v>
      </c>
      <c r="B292" t="s">
        <v>916</v>
      </c>
      <c r="C292" t="s">
        <v>917</v>
      </c>
      <c r="D292" s="1">
        <v>41289</v>
      </c>
      <c r="E292" s="1">
        <v>44032</v>
      </c>
      <c r="F292" s="1">
        <v>44037</v>
      </c>
      <c r="G292">
        <v>5</v>
      </c>
      <c r="H292">
        <v>111.37</v>
      </c>
      <c r="I292">
        <v>1336.44</v>
      </c>
      <c r="J292">
        <v>7000</v>
      </c>
      <c r="K292" t="s">
        <v>27</v>
      </c>
      <c r="L292">
        <v>7000</v>
      </c>
      <c r="M292">
        <v>1.25</v>
      </c>
      <c r="N292" t="s">
        <v>36</v>
      </c>
      <c r="O292">
        <v>15</v>
      </c>
      <c r="P292">
        <v>51</v>
      </c>
      <c r="Q292">
        <v>1</v>
      </c>
      <c r="R292">
        <v>5</v>
      </c>
      <c r="S292" t="s">
        <v>37</v>
      </c>
      <c r="T292" t="s">
        <v>30</v>
      </c>
      <c r="U292" t="s">
        <v>88</v>
      </c>
      <c r="V292" t="s">
        <v>45</v>
      </c>
      <c r="W292">
        <v>1</v>
      </c>
      <c r="X292">
        <v>0</v>
      </c>
      <c r="Y292" s="2">
        <f>Table1[[#This Row],[premium_yearly]]*Table1[[#This Row],[tenure_years]]</f>
        <v>1670.5500000000002</v>
      </c>
      <c r="Z292" s="2">
        <f>Table1[[#This Row],[total_collected_premiums]]*(1-$AD$2)</f>
        <v>1219.5015000000001</v>
      </c>
      <c r="AA292" s="2">
        <f>Table1[[#This Row],[retained_premium]]-Table1[[#This Row],[claim_amount_paid]]</f>
        <v>-5780.4984999999997</v>
      </c>
    </row>
    <row r="293" spans="1:27" x14ac:dyDescent="0.35">
      <c r="A293" t="s">
        <v>918</v>
      </c>
      <c r="B293" t="s">
        <v>919</v>
      </c>
      <c r="C293" t="s">
        <v>920</v>
      </c>
      <c r="D293" s="1">
        <v>42968</v>
      </c>
      <c r="E293" s="1">
        <v>44037</v>
      </c>
      <c r="F293" s="1">
        <v>44042</v>
      </c>
      <c r="G293">
        <v>5</v>
      </c>
      <c r="H293">
        <v>70.78</v>
      </c>
      <c r="I293">
        <v>849.36</v>
      </c>
      <c r="J293">
        <v>4000</v>
      </c>
      <c r="K293" t="s">
        <v>27</v>
      </c>
      <c r="L293">
        <v>4000</v>
      </c>
      <c r="M293">
        <v>1.08</v>
      </c>
      <c r="N293" t="s">
        <v>28</v>
      </c>
      <c r="O293">
        <v>13</v>
      </c>
      <c r="P293">
        <v>50</v>
      </c>
      <c r="Q293">
        <v>1</v>
      </c>
      <c r="R293">
        <v>3</v>
      </c>
      <c r="S293" t="s">
        <v>29</v>
      </c>
      <c r="T293" t="s">
        <v>44</v>
      </c>
      <c r="U293" t="s">
        <v>38</v>
      </c>
      <c r="V293" t="s">
        <v>45</v>
      </c>
      <c r="W293">
        <v>0</v>
      </c>
      <c r="X293">
        <v>1</v>
      </c>
      <c r="Y293" s="2">
        <f>Table1[[#This Row],[premium_yearly]]*Table1[[#This Row],[tenure_years]]</f>
        <v>917.30880000000002</v>
      </c>
      <c r="Z293" s="2">
        <f>Table1[[#This Row],[total_collected_premiums]]*(1-$AD$2)</f>
        <v>669.63542399999994</v>
      </c>
      <c r="AA293" s="2">
        <f>Table1[[#This Row],[retained_premium]]-Table1[[#This Row],[claim_amount_paid]]</f>
        <v>-3330.3645759999999</v>
      </c>
    </row>
    <row r="294" spans="1:27" x14ac:dyDescent="0.35">
      <c r="A294" t="s">
        <v>921</v>
      </c>
      <c r="B294" t="s">
        <v>922</v>
      </c>
      <c r="C294" t="s">
        <v>923</v>
      </c>
      <c r="D294" s="1">
        <v>43247</v>
      </c>
      <c r="E294" s="1">
        <v>44040</v>
      </c>
      <c r="F294" s="1">
        <v>44043</v>
      </c>
      <c r="G294">
        <v>3</v>
      </c>
      <c r="H294">
        <v>74.989999999999995</v>
      </c>
      <c r="I294">
        <v>899.88</v>
      </c>
      <c r="J294">
        <v>8000</v>
      </c>
      <c r="K294" t="s">
        <v>27</v>
      </c>
      <c r="L294">
        <v>8000</v>
      </c>
      <c r="M294">
        <v>6.58</v>
      </c>
      <c r="N294" t="s">
        <v>36</v>
      </c>
      <c r="O294">
        <v>79</v>
      </c>
      <c r="P294">
        <v>46</v>
      </c>
      <c r="Q294">
        <v>0</v>
      </c>
      <c r="R294">
        <v>7</v>
      </c>
      <c r="S294" t="s">
        <v>29</v>
      </c>
      <c r="T294" t="s">
        <v>50</v>
      </c>
      <c r="U294" t="s">
        <v>31</v>
      </c>
      <c r="V294" t="s">
        <v>39</v>
      </c>
      <c r="W294">
        <v>1</v>
      </c>
      <c r="X294">
        <v>1</v>
      </c>
      <c r="Y294" s="2">
        <f>Table1[[#This Row],[premium_yearly]]*Table1[[#This Row],[tenure_years]]</f>
        <v>5921.2103999999999</v>
      </c>
      <c r="Z294" s="2">
        <f>Table1[[#This Row],[total_collected_premiums]]*(1-$AD$2)</f>
        <v>4322.4835919999996</v>
      </c>
      <c r="AA294" s="2">
        <f>Table1[[#This Row],[retained_premium]]-Table1[[#This Row],[claim_amount_paid]]</f>
        <v>-3677.5164080000004</v>
      </c>
    </row>
    <row r="295" spans="1:27" x14ac:dyDescent="0.35">
      <c r="A295" t="s">
        <v>924</v>
      </c>
      <c r="B295" t="s">
        <v>925</v>
      </c>
      <c r="C295" t="s">
        <v>926</v>
      </c>
      <c r="D295" s="1">
        <v>42935</v>
      </c>
      <c r="E295" s="1">
        <v>44040</v>
      </c>
      <c r="F295" s="1">
        <v>44043</v>
      </c>
      <c r="G295">
        <v>3</v>
      </c>
      <c r="H295">
        <v>118.17</v>
      </c>
      <c r="I295">
        <v>1418.04</v>
      </c>
      <c r="J295">
        <v>1000</v>
      </c>
      <c r="K295" t="s">
        <v>27</v>
      </c>
      <c r="L295">
        <v>1000</v>
      </c>
      <c r="M295">
        <v>2.33</v>
      </c>
      <c r="N295" t="s">
        <v>36</v>
      </c>
      <c r="O295">
        <v>28</v>
      </c>
      <c r="P295">
        <v>45</v>
      </c>
      <c r="Q295">
        <v>1</v>
      </c>
      <c r="R295">
        <v>6</v>
      </c>
      <c r="S295" t="s">
        <v>29</v>
      </c>
      <c r="T295" t="s">
        <v>30</v>
      </c>
      <c r="U295" t="s">
        <v>38</v>
      </c>
      <c r="V295" t="s">
        <v>45</v>
      </c>
      <c r="W295">
        <v>1</v>
      </c>
      <c r="X295">
        <v>1</v>
      </c>
      <c r="Y295" s="2">
        <f>Table1[[#This Row],[premium_yearly]]*Table1[[#This Row],[tenure_years]]</f>
        <v>3304.0331999999999</v>
      </c>
      <c r="Z295" s="2">
        <f>Table1[[#This Row],[total_collected_premiums]]*(1-$AD$2)</f>
        <v>2411.9442359999998</v>
      </c>
      <c r="AA295" s="2">
        <f>Table1[[#This Row],[retained_premium]]-Table1[[#This Row],[claim_amount_paid]]</f>
        <v>1411.9442359999998</v>
      </c>
    </row>
    <row r="296" spans="1:27" x14ac:dyDescent="0.35">
      <c r="A296" t="s">
        <v>927</v>
      </c>
      <c r="B296" t="s">
        <v>928</v>
      </c>
      <c r="C296" t="s">
        <v>929</v>
      </c>
      <c r="D296" s="1">
        <v>43405</v>
      </c>
      <c r="E296" s="1">
        <v>44046</v>
      </c>
      <c r="F296" s="1">
        <v>44047</v>
      </c>
      <c r="G296">
        <v>1</v>
      </c>
      <c r="H296">
        <v>130.9</v>
      </c>
      <c r="I296">
        <v>1570.8</v>
      </c>
      <c r="J296">
        <v>5000</v>
      </c>
      <c r="K296" t="s">
        <v>27</v>
      </c>
      <c r="L296">
        <v>5000</v>
      </c>
      <c r="M296">
        <v>2.92</v>
      </c>
      <c r="N296" t="s">
        <v>36</v>
      </c>
      <c r="O296">
        <v>35</v>
      </c>
      <c r="P296">
        <v>38</v>
      </c>
      <c r="Q296">
        <v>1</v>
      </c>
      <c r="R296">
        <v>7</v>
      </c>
      <c r="S296" t="s">
        <v>65</v>
      </c>
      <c r="T296" t="s">
        <v>30</v>
      </c>
      <c r="U296" t="s">
        <v>31</v>
      </c>
      <c r="V296" t="s">
        <v>45</v>
      </c>
      <c r="W296">
        <v>1</v>
      </c>
      <c r="X296">
        <v>1</v>
      </c>
      <c r="Y296" s="2">
        <f>Table1[[#This Row],[premium_yearly]]*Table1[[#This Row],[tenure_years]]</f>
        <v>4586.7359999999999</v>
      </c>
      <c r="Z296" s="2">
        <f>Table1[[#This Row],[total_collected_premiums]]*(1-$AD$2)</f>
        <v>3348.3172799999998</v>
      </c>
      <c r="AA296" s="2">
        <f>Table1[[#This Row],[retained_premium]]-Table1[[#This Row],[claim_amount_paid]]</f>
        <v>-1651.6827200000002</v>
      </c>
    </row>
    <row r="297" spans="1:27" x14ac:dyDescent="0.35">
      <c r="A297" t="s">
        <v>930</v>
      </c>
      <c r="B297" t="s">
        <v>931</v>
      </c>
      <c r="C297" t="s">
        <v>932</v>
      </c>
      <c r="D297" s="1">
        <v>41270</v>
      </c>
      <c r="E297" s="1">
        <v>44049</v>
      </c>
      <c r="F297" s="1">
        <v>44049</v>
      </c>
      <c r="G297">
        <v>0</v>
      </c>
      <c r="H297">
        <v>77.5</v>
      </c>
      <c r="I297">
        <v>930</v>
      </c>
      <c r="J297">
        <v>4000</v>
      </c>
      <c r="K297" t="s">
        <v>27</v>
      </c>
      <c r="L297">
        <v>4000</v>
      </c>
      <c r="M297">
        <v>5.08</v>
      </c>
      <c r="N297" t="s">
        <v>36</v>
      </c>
      <c r="O297">
        <v>61</v>
      </c>
      <c r="P297">
        <v>31</v>
      </c>
      <c r="Q297">
        <v>1</v>
      </c>
      <c r="R297">
        <v>6</v>
      </c>
      <c r="S297" t="s">
        <v>37</v>
      </c>
      <c r="T297" t="s">
        <v>30</v>
      </c>
      <c r="U297" t="s">
        <v>38</v>
      </c>
      <c r="V297" t="s">
        <v>32</v>
      </c>
      <c r="W297">
        <v>0</v>
      </c>
      <c r="X297">
        <v>0</v>
      </c>
      <c r="Y297" s="2">
        <f>Table1[[#This Row],[premium_yearly]]*Table1[[#This Row],[tenure_years]]</f>
        <v>4724.3999999999996</v>
      </c>
      <c r="Z297" s="2">
        <f>Table1[[#This Row],[total_collected_premiums]]*(1-$AD$2)</f>
        <v>3448.8119999999994</v>
      </c>
      <c r="AA297" s="2">
        <f>Table1[[#This Row],[retained_premium]]-Table1[[#This Row],[claim_amount_paid]]</f>
        <v>-551.18800000000056</v>
      </c>
    </row>
    <row r="298" spans="1:27" x14ac:dyDescent="0.35">
      <c r="A298" t="s">
        <v>933</v>
      </c>
      <c r="B298" t="s">
        <v>934</v>
      </c>
      <c r="C298" t="s">
        <v>935</v>
      </c>
      <c r="D298" s="1">
        <v>43453</v>
      </c>
      <c r="E298" s="1">
        <v>44042</v>
      </c>
      <c r="F298" s="1">
        <v>44045</v>
      </c>
      <c r="G298">
        <v>3</v>
      </c>
      <c r="H298">
        <v>107.35</v>
      </c>
      <c r="I298">
        <v>1288.2</v>
      </c>
      <c r="J298">
        <v>1000</v>
      </c>
      <c r="K298" t="s">
        <v>27</v>
      </c>
      <c r="L298">
        <v>1000</v>
      </c>
      <c r="M298">
        <v>4.58</v>
      </c>
      <c r="N298" t="s">
        <v>28</v>
      </c>
      <c r="O298">
        <v>55</v>
      </c>
      <c r="P298">
        <v>38</v>
      </c>
      <c r="Q298">
        <v>0</v>
      </c>
      <c r="R298">
        <v>6</v>
      </c>
      <c r="S298" t="s">
        <v>65</v>
      </c>
      <c r="T298" t="s">
        <v>30</v>
      </c>
      <c r="U298" t="s">
        <v>31</v>
      </c>
      <c r="V298" t="s">
        <v>39</v>
      </c>
      <c r="W298">
        <v>1</v>
      </c>
      <c r="X298">
        <v>0</v>
      </c>
      <c r="Y298" s="2">
        <f>Table1[[#This Row],[premium_yearly]]*Table1[[#This Row],[tenure_years]]</f>
        <v>5899.9560000000001</v>
      </c>
      <c r="Z298" s="2">
        <f>Table1[[#This Row],[total_collected_premiums]]*(1-$AD$2)</f>
        <v>4306.9678800000002</v>
      </c>
      <c r="AA298" s="2">
        <f>Table1[[#This Row],[retained_premium]]-Table1[[#This Row],[claim_amount_paid]]</f>
        <v>3306.9678800000002</v>
      </c>
    </row>
    <row r="299" spans="1:27" x14ac:dyDescent="0.35">
      <c r="A299" t="s">
        <v>936</v>
      </c>
      <c r="B299" t="s">
        <v>937</v>
      </c>
      <c r="C299" t="s">
        <v>938</v>
      </c>
      <c r="D299" s="1">
        <v>40796</v>
      </c>
      <c r="E299" s="1">
        <v>44040</v>
      </c>
      <c r="F299" s="1">
        <v>44045</v>
      </c>
      <c r="G299">
        <v>5</v>
      </c>
      <c r="H299">
        <v>113.54</v>
      </c>
      <c r="I299">
        <v>1362.48</v>
      </c>
      <c r="J299">
        <v>10000</v>
      </c>
      <c r="K299" t="s">
        <v>27</v>
      </c>
      <c r="L299">
        <v>10000</v>
      </c>
      <c r="M299">
        <v>7.75</v>
      </c>
      <c r="N299" t="s">
        <v>49</v>
      </c>
      <c r="O299">
        <v>93</v>
      </c>
      <c r="P299">
        <v>40</v>
      </c>
      <c r="Q299">
        <v>1</v>
      </c>
      <c r="R299">
        <v>5</v>
      </c>
      <c r="S299" t="s">
        <v>37</v>
      </c>
      <c r="T299" t="s">
        <v>50</v>
      </c>
      <c r="U299" t="s">
        <v>38</v>
      </c>
      <c r="V299" t="s">
        <v>32</v>
      </c>
      <c r="W299">
        <v>1</v>
      </c>
      <c r="X299">
        <v>1</v>
      </c>
      <c r="Y299" s="2">
        <f>Table1[[#This Row],[premium_yearly]]*Table1[[#This Row],[tenure_years]]</f>
        <v>10559.22</v>
      </c>
      <c r="Z299" s="2">
        <f>Table1[[#This Row],[total_collected_premiums]]*(1-$AD$2)</f>
        <v>7708.230599999999</v>
      </c>
      <c r="AA299" s="2">
        <f>Table1[[#This Row],[retained_premium]]-Table1[[#This Row],[claim_amount_paid]]</f>
        <v>-2291.769400000001</v>
      </c>
    </row>
    <row r="300" spans="1:27" x14ac:dyDescent="0.35">
      <c r="A300" t="s">
        <v>939</v>
      </c>
      <c r="B300" t="s">
        <v>940</v>
      </c>
      <c r="C300" t="s">
        <v>941</v>
      </c>
      <c r="D300" s="1">
        <v>41018</v>
      </c>
      <c r="E300" s="1">
        <v>44039</v>
      </c>
      <c r="F300" s="1">
        <v>44044</v>
      </c>
      <c r="G300">
        <v>5</v>
      </c>
      <c r="H300">
        <v>136.57</v>
      </c>
      <c r="I300">
        <v>1638.84</v>
      </c>
      <c r="J300">
        <v>1000</v>
      </c>
      <c r="K300" t="s">
        <v>27</v>
      </c>
      <c r="L300">
        <v>1000</v>
      </c>
      <c r="M300">
        <v>0.92</v>
      </c>
      <c r="N300" t="s">
        <v>28</v>
      </c>
      <c r="O300">
        <v>11</v>
      </c>
      <c r="P300">
        <v>56</v>
      </c>
      <c r="Q300">
        <v>1</v>
      </c>
      <c r="R300">
        <v>4</v>
      </c>
      <c r="S300" t="s">
        <v>37</v>
      </c>
      <c r="T300" t="s">
        <v>30</v>
      </c>
      <c r="U300" t="s">
        <v>38</v>
      </c>
      <c r="V300" t="s">
        <v>45</v>
      </c>
      <c r="W300">
        <v>1</v>
      </c>
      <c r="X300">
        <v>0</v>
      </c>
      <c r="Y300" s="2">
        <f>Table1[[#This Row],[premium_yearly]]*Table1[[#This Row],[tenure_years]]</f>
        <v>1507.7328</v>
      </c>
      <c r="Z300" s="2">
        <f>Table1[[#This Row],[total_collected_premiums]]*(1-$AD$2)</f>
        <v>1100.6449439999999</v>
      </c>
      <c r="AA300" s="2">
        <f>Table1[[#This Row],[retained_premium]]-Table1[[#This Row],[claim_amount_paid]]</f>
        <v>100.6449439999999</v>
      </c>
    </row>
    <row r="301" spans="1:27" x14ac:dyDescent="0.35">
      <c r="A301" t="s">
        <v>942</v>
      </c>
      <c r="B301" t="s">
        <v>943</v>
      </c>
      <c r="C301" t="s">
        <v>944</v>
      </c>
      <c r="D301" s="1">
        <v>43394</v>
      </c>
      <c r="E301" s="1">
        <v>44042</v>
      </c>
      <c r="F301" s="1">
        <v>44045</v>
      </c>
      <c r="G301">
        <v>3</v>
      </c>
      <c r="H301">
        <v>88.49</v>
      </c>
      <c r="I301">
        <v>1061.8800000000001</v>
      </c>
      <c r="J301">
        <v>5000</v>
      </c>
      <c r="K301" t="s">
        <v>27</v>
      </c>
      <c r="L301">
        <v>5000</v>
      </c>
      <c r="M301">
        <v>3.42</v>
      </c>
      <c r="N301" t="s">
        <v>36</v>
      </c>
      <c r="O301">
        <v>41</v>
      </c>
      <c r="P301">
        <v>38</v>
      </c>
      <c r="Q301">
        <v>1</v>
      </c>
      <c r="R301">
        <v>3</v>
      </c>
      <c r="S301" t="s">
        <v>29</v>
      </c>
      <c r="T301" t="s">
        <v>50</v>
      </c>
      <c r="U301" t="s">
        <v>66</v>
      </c>
      <c r="V301" t="s">
        <v>32</v>
      </c>
      <c r="W301">
        <v>1</v>
      </c>
      <c r="X301">
        <v>1</v>
      </c>
      <c r="Y301" s="2">
        <f>Table1[[#This Row],[premium_yearly]]*Table1[[#This Row],[tenure_years]]</f>
        <v>3631.6296000000002</v>
      </c>
      <c r="Z301" s="2">
        <f>Table1[[#This Row],[total_collected_premiums]]*(1-$AD$2)</f>
        <v>2651.0896080000002</v>
      </c>
      <c r="AA301" s="2">
        <f>Table1[[#This Row],[retained_premium]]-Table1[[#This Row],[claim_amount_paid]]</f>
        <v>-2348.9103919999998</v>
      </c>
    </row>
    <row r="302" spans="1:27" x14ac:dyDescent="0.35">
      <c r="A302" t="s">
        <v>945</v>
      </c>
      <c r="B302" t="s">
        <v>946</v>
      </c>
      <c r="C302" t="s">
        <v>947</v>
      </c>
      <c r="D302" s="1">
        <v>40597</v>
      </c>
      <c r="E302" s="1">
        <v>44032</v>
      </c>
      <c r="F302" s="1">
        <v>44037</v>
      </c>
      <c r="G302">
        <v>5</v>
      </c>
      <c r="H302">
        <v>116.06</v>
      </c>
      <c r="I302">
        <v>1392.72</v>
      </c>
      <c r="J302">
        <v>1000</v>
      </c>
      <c r="K302" t="s">
        <v>27</v>
      </c>
      <c r="L302">
        <v>1000</v>
      </c>
      <c r="M302">
        <v>9.67</v>
      </c>
      <c r="N302" t="s">
        <v>49</v>
      </c>
      <c r="O302">
        <v>116</v>
      </c>
      <c r="P302">
        <v>53</v>
      </c>
      <c r="Q302">
        <v>1</v>
      </c>
      <c r="R302">
        <v>6</v>
      </c>
      <c r="S302" t="s">
        <v>29</v>
      </c>
      <c r="T302" t="s">
        <v>50</v>
      </c>
      <c r="U302" t="s">
        <v>66</v>
      </c>
      <c r="V302" t="s">
        <v>39</v>
      </c>
      <c r="W302">
        <v>1</v>
      </c>
      <c r="X302">
        <v>1</v>
      </c>
      <c r="Y302" s="2">
        <f>Table1[[#This Row],[premium_yearly]]*Table1[[#This Row],[tenure_years]]</f>
        <v>13467.6024</v>
      </c>
      <c r="Z302" s="2">
        <f>Table1[[#This Row],[total_collected_premiums]]*(1-$AD$2)</f>
        <v>9831.3497520000001</v>
      </c>
      <c r="AA302" s="2">
        <f>Table1[[#This Row],[retained_premium]]-Table1[[#This Row],[claim_amount_paid]]</f>
        <v>8831.3497520000001</v>
      </c>
    </row>
    <row r="303" spans="1:27" x14ac:dyDescent="0.35">
      <c r="A303" t="s">
        <v>948</v>
      </c>
      <c r="B303" t="s">
        <v>949</v>
      </c>
      <c r="C303" t="s">
        <v>950</v>
      </c>
      <c r="D303" s="1">
        <v>41832</v>
      </c>
      <c r="E303" s="1">
        <v>44038</v>
      </c>
      <c r="F303" s="1">
        <v>44043</v>
      </c>
      <c r="G303">
        <v>5</v>
      </c>
      <c r="H303">
        <v>96.11</v>
      </c>
      <c r="I303">
        <v>1153.32</v>
      </c>
      <c r="J303">
        <v>3000</v>
      </c>
      <c r="K303" t="s">
        <v>27</v>
      </c>
      <c r="L303">
        <v>3000</v>
      </c>
      <c r="M303">
        <v>9.08</v>
      </c>
      <c r="N303" t="s">
        <v>36</v>
      </c>
      <c r="O303">
        <v>109</v>
      </c>
      <c r="P303">
        <v>30</v>
      </c>
      <c r="Q303">
        <v>1</v>
      </c>
      <c r="R303">
        <v>5</v>
      </c>
      <c r="S303" t="s">
        <v>65</v>
      </c>
      <c r="T303" t="s">
        <v>30</v>
      </c>
      <c r="U303" t="s">
        <v>66</v>
      </c>
      <c r="V303" t="s">
        <v>39</v>
      </c>
      <c r="W303">
        <v>1</v>
      </c>
      <c r="X303">
        <v>1</v>
      </c>
      <c r="Y303" s="2">
        <f>Table1[[#This Row],[premium_yearly]]*Table1[[#This Row],[tenure_years]]</f>
        <v>10472.1456</v>
      </c>
      <c r="Z303" s="2">
        <f>Table1[[#This Row],[total_collected_premiums]]*(1-$AD$2)</f>
        <v>7644.6662879999994</v>
      </c>
      <c r="AA303" s="2">
        <f>Table1[[#This Row],[retained_premium]]-Table1[[#This Row],[claim_amount_paid]]</f>
        <v>4644.6662879999994</v>
      </c>
    </row>
    <row r="304" spans="1:27" x14ac:dyDescent="0.35">
      <c r="A304" t="s">
        <v>951</v>
      </c>
      <c r="B304" t="s">
        <v>952</v>
      </c>
      <c r="C304" t="s">
        <v>953</v>
      </c>
      <c r="D304" s="1">
        <v>41524</v>
      </c>
      <c r="E304" s="1">
        <v>44050</v>
      </c>
      <c r="F304" s="1">
        <v>44050</v>
      </c>
      <c r="G304">
        <v>0</v>
      </c>
      <c r="H304">
        <v>96.55</v>
      </c>
      <c r="I304">
        <v>1158.5999999999999</v>
      </c>
      <c r="J304">
        <v>6000</v>
      </c>
      <c r="K304" t="s">
        <v>27</v>
      </c>
      <c r="L304">
        <v>6000</v>
      </c>
      <c r="M304">
        <v>7.17</v>
      </c>
      <c r="N304" t="s">
        <v>36</v>
      </c>
      <c r="O304">
        <v>86</v>
      </c>
      <c r="P304">
        <v>42</v>
      </c>
      <c r="Q304">
        <v>1</v>
      </c>
      <c r="R304">
        <v>4</v>
      </c>
      <c r="S304" t="s">
        <v>37</v>
      </c>
      <c r="T304" t="s">
        <v>44</v>
      </c>
      <c r="U304" t="s">
        <v>31</v>
      </c>
      <c r="V304" t="s">
        <v>39</v>
      </c>
      <c r="W304">
        <v>1</v>
      </c>
      <c r="X304">
        <v>1</v>
      </c>
      <c r="Y304" s="2">
        <f>Table1[[#This Row],[premium_yearly]]*Table1[[#This Row],[tenure_years]]</f>
        <v>8307.1619999999984</v>
      </c>
      <c r="Z304" s="2">
        <f>Table1[[#This Row],[total_collected_premiums]]*(1-$AD$2)</f>
        <v>6064.228259999999</v>
      </c>
      <c r="AA304" s="2">
        <f>Table1[[#This Row],[retained_premium]]-Table1[[#This Row],[claim_amount_paid]]</f>
        <v>64.228259999998954</v>
      </c>
    </row>
    <row r="305" spans="1:27" x14ac:dyDescent="0.35">
      <c r="A305" t="s">
        <v>954</v>
      </c>
      <c r="B305" t="s">
        <v>955</v>
      </c>
      <c r="C305" t="s">
        <v>956</v>
      </c>
      <c r="D305" s="1">
        <v>43006</v>
      </c>
      <c r="E305" s="1">
        <v>44037</v>
      </c>
      <c r="F305" s="1">
        <v>44042</v>
      </c>
      <c r="G305">
        <v>5</v>
      </c>
      <c r="H305">
        <v>137.37</v>
      </c>
      <c r="I305">
        <v>1648.44</v>
      </c>
      <c r="J305">
        <v>4000</v>
      </c>
      <c r="K305" t="s">
        <v>27</v>
      </c>
      <c r="L305">
        <v>4000</v>
      </c>
      <c r="M305">
        <v>5.33</v>
      </c>
      <c r="N305" t="s">
        <v>49</v>
      </c>
      <c r="O305">
        <v>64</v>
      </c>
      <c r="P305">
        <v>30</v>
      </c>
      <c r="Q305">
        <v>1</v>
      </c>
      <c r="R305">
        <v>7</v>
      </c>
      <c r="S305" t="s">
        <v>29</v>
      </c>
      <c r="T305" t="s">
        <v>30</v>
      </c>
      <c r="U305" t="s">
        <v>31</v>
      </c>
      <c r="V305" t="s">
        <v>39</v>
      </c>
      <c r="W305">
        <v>0</v>
      </c>
      <c r="X305">
        <v>1</v>
      </c>
      <c r="Y305" s="2">
        <f>Table1[[#This Row],[premium_yearly]]*Table1[[#This Row],[tenure_years]]</f>
        <v>8786.1851999999999</v>
      </c>
      <c r="Z305" s="2">
        <f>Table1[[#This Row],[total_collected_premiums]]*(1-$AD$2)</f>
        <v>6413.9151959999999</v>
      </c>
      <c r="AA305" s="2">
        <f>Table1[[#This Row],[retained_premium]]-Table1[[#This Row],[claim_amount_paid]]</f>
        <v>2413.9151959999999</v>
      </c>
    </row>
    <row r="306" spans="1:27" x14ac:dyDescent="0.35">
      <c r="A306" t="s">
        <v>957</v>
      </c>
      <c r="B306" t="s">
        <v>958</v>
      </c>
      <c r="C306" t="s">
        <v>959</v>
      </c>
      <c r="D306" s="1">
        <v>43294</v>
      </c>
      <c r="E306" s="1">
        <v>44033</v>
      </c>
      <c r="F306" s="1">
        <v>44038</v>
      </c>
      <c r="G306">
        <v>5</v>
      </c>
      <c r="H306">
        <v>110.64</v>
      </c>
      <c r="I306">
        <v>1327.68</v>
      </c>
      <c r="J306">
        <v>4000</v>
      </c>
      <c r="K306" t="s">
        <v>27</v>
      </c>
      <c r="L306">
        <v>4000</v>
      </c>
      <c r="M306">
        <v>4.08</v>
      </c>
      <c r="N306" t="s">
        <v>36</v>
      </c>
      <c r="O306">
        <v>49</v>
      </c>
      <c r="P306">
        <v>57</v>
      </c>
      <c r="Q306">
        <v>0</v>
      </c>
      <c r="R306">
        <v>4</v>
      </c>
      <c r="S306" t="s">
        <v>65</v>
      </c>
      <c r="T306" t="s">
        <v>50</v>
      </c>
      <c r="U306" t="s">
        <v>38</v>
      </c>
      <c r="V306" t="s">
        <v>32</v>
      </c>
      <c r="W306">
        <v>1</v>
      </c>
      <c r="X306">
        <v>0</v>
      </c>
      <c r="Y306" s="2">
        <f>Table1[[#This Row],[premium_yearly]]*Table1[[#This Row],[tenure_years]]</f>
        <v>5416.9344000000001</v>
      </c>
      <c r="Z306" s="2">
        <f>Table1[[#This Row],[total_collected_premiums]]*(1-$AD$2)</f>
        <v>3954.3621119999998</v>
      </c>
      <c r="AA306" s="2">
        <f>Table1[[#This Row],[retained_premium]]-Table1[[#This Row],[claim_amount_paid]]</f>
        <v>-45.637888000000203</v>
      </c>
    </row>
    <row r="307" spans="1:27" x14ac:dyDescent="0.35">
      <c r="A307" t="s">
        <v>960</v>
      </c>
      <c r="B307" t="s">
        <v>961</v>
      </c>
      <c r="C307" t="s">
        <v>962</v>
      </c>
      <c r="D307" s="1">
        <v>43325</v>
      </c>
      <c r="E307" s="1">
        <v>44040</v>
      </c>
      <c r="F307" s="1">
        <v>44045</v>
      </c>
      <c r="G307">
        <v>5</v>
      </c>
      <c r="H307">
        <v>83.24</v>
      </c>
      <c r="I307">
        <v>998.88</v>
      </c>
      <c r="J307">
        <v>6000</v>
      </c>
      <c r="K307" t="s">
        <v>27</v>
      </c>
      <c r="L307">
        <v>6000</v>
      </c>
      <c r="M307">
        <v>3.75</v>
      </c>
      <c r="N307" t="s">
        <v>49</v>
      </c>
      <c r="O307">
        <v>45</v>
      </c>
      <c r="P307">
        <v>34</v>
      </c>
      <c r="Q307">
        <v>1</v>
      </c>
      <c r="R307">
        <v>2</v>
      </c>
      <c r="S307" t="s">
        <v>29</v>
      </c>
      <c r="T307" t="s">
        <v>44</v>
      </c>
      <c r="U307" t="s">
        <v>51</v>
      </c>
      <c r="V307" t="s">
        <v>45</v>
      </c>
      <c r="W307">
        <v>1</v>
      </c>
      <c r="X307">
        <v>1</v>
      </c>
      <c r="Y307" s="2">
        <f>Table1[[#This Row],[premium_yearly]]*Table1[[#This Row],[tenure_years]]</f>
        <v>3745.8</v>
      </c>
      <c r="Z307" s="2">
        <f>Table1[[#This Row],[total_collected_premiums]]*(1-$AD$2)</f>
        <v>2734.4340000000002</v>
      </c>
      <c r="AA307" s="2">
        <f>Table1[[#This Row],[retained_premium]]-Table1[[#This Row],[claim_amount_paid]]</f>
        <v>-3265.5659999999998</v>
      </c>
    </row>
    <row r="308" spans="1:27" x14ac:dyDescent="0.35">
      <c r="A308" t="s">
        <v>963</v>
      </c>
      <c r="B308" t="s">
        <v>964</v>
      </c>
      <c r="C308" t="s">
        <v>965</v>
      </c>
      <c r="D308" s="1">
        <v>41876</v>
      </c>
      <c r="E308" s="1">
        <v>44040</v>
      </c>
      <c r="F308" s="1">
        <v>44045</v>
      </c>
      <c r="G308">
        <v>5</v>
      </c>
      <c r="H308">
        <v>124.98</v>
      </c>
      <c r="I308">
        <v>1499.76</v>
      </c>
      <c r="J308">
        <v>5000</v>
      </c>
      <c r="K308" t="s">
        <v>27</v>
      </c>
      <c r="L308">
        <v>5000</v>
      </c>
      <c r="M308">
        <v>7</v>
      </c>
      <c r="N308" t="s">
        <v>36</v>
      </c>
      <c r="O308">
        <v>84</v>
      </c>
      <c r="P308">
        <v>61</v>
      </c>
      <c r="Q308">
        <v>1</v>
      </c>
      <c r="R308">
        <v>5</v>
      </c>
      <c r="S308" t="s">
        <v>29</v>
      </c>
      <c r="T308" t="s">
        <v>44</v>
      </c>
      <c r="U308" t="s">
        <v>38</v>
      </c>
      <c r="V308" t="s">
        <v>45</v>
      </c>
      <c r="W308">
        <v>1</v>
      </c>
      <c r="X308">
        <v>1</v>
      </c>
      <c r="Y308" s="2">
        <f>Table1[[#This Row],[premium_yearly]]*Table1[[#This Row],[tenure_years]]</f>
        <v>10498.32</v>
      </c>
      <c r="Z308" s="2">
        <f>Table1[[#This Row],[total_collected_premiums]]*(1-$AD$2)</f>
        <v>7663.7735999999995</v>
      </c>
      <c r="AA308" s="2">
        <f>Table1[[#This Row],[retained_premium]]-Table1[[#This Row],[claim_amount_paid]]</f>
        <v>2663.7735999999995</v>
      </c>
    </row>
    <row r="309" spans="1:27" x14ac:dyDescent="0.35">
      <c r="A309" t="s">
        <v>966</v>
      </c>
      <c r="B309" t="s">
        <v>967</v>
      </c>
      <c r="C309" t="s">
        <v>968</v>
      </c>
      <c r="D309" s="1">
        <v>41136</v>
      </c>
      <c r="E309" s="1">
        <v>44041</v>
      </c>
      <c r="F309" s="1">
        <v>44046</v>
      </c>
      <c r="G309">
        <v>5</v>
      </c>
      <c r="H309">
        <v>127.24</v>
      </c>
      <c r="I309">
        <v>1526.88</v>
      </c>
      <c r="J309">
        <v>7000</v>
      </c>
      <c r="K309" t="s">
        <v>27</v>
      </c>
      <c r="L309">
        <v>7000</v>
      </c>
      <c r="M309">
        <v>9.75</v>
      </c>
      <c r="N309" t="s">
        <v>28</v>
      </c>
      <c r="O309">
        <v>117</v>
      </c>
      <c r="P309">
        <v>47</v>
      </c>
      <c r="Q309">
        <v>1</v>
      </c>
      <c r="R309">
        <v>2</v>
      </c>
      <c r="S309" t="s">
        <v>29</v>
      </c>
      <c r="T309" t="s">
        <v>30</v>
      </c>
      <c r="U309" t="s">
        <v>107</v>
      </c>
      <c r="V309" t="s">
        <v>45</v>
      </c>
      <c r="W309">
        <v>0</v>
      </c>
      <c r="X309">
        <v>1</v>
      </c>
      <c r="Y309" s="2">
        <f>Table1[[#This Row],[premium_yearly]]*Table1[[#This Row],[tenure_years]]</f>
        <v>14887.080000000002</v>
      </c>
      <c r="Z309" s="2">
        <f>Table1[[#This Row],[total_collected_premiums]]*(1-$AD$2)</f>
        <v>10867.5684</v>
      </c>
      <c r="AA309" s="2">
        <f>Table1[[#This Row],[retained_premium]]-Table1[[#This Row],[claim_amount_paid]]</f>
        <v>3867.5684000000001</v>
      </c>
    </row>
    <row r="310" spans="1:27" x14ac:dyDescent="0.35">
      <c r="A310" t="s">
        <v>969</v>
      </c>
      <c r="B310" t="s">
        <v>970</v>
      </c>
      <c r="C310" t="s">
        <v>971</v>
      </c>
      <c r="D310" s="1">
        <v>42890</v>
      </c>
      <c r="E310" s="1">
        <v>44049</v>
      </c>
      <c r="F310" s="1">
        <v>44051</v>
      </c>
      <c r="G310">
        <v>2</v>
      </c>
      <c r="H310">
        <v>82.37</v>
      </c>
      <c r="I310">
        <v>988.44</v>
      </c>
      <c r="J310">
        <v>6000</v>
      </c>
      <c r="K310" t="s">
        <v>27</v>
      </c>
      <c r="L310">
        <v>6000</v>
      </c>
      <c r="M310">
        <v>1.08</v>
      </c>
      <c r="N310" t="s">
        <v>36</v>
      </c>
      <c r="O310">
        <v>13</v>
      </c>
      <c r="P310">
        <v>64</v>
      </c>
      <c r="Q310">
        <v>1</v>
      </c>
      <c r="R310">
        <v>2</v>
      </c>
      <c r="S310" t="s">
        <v>37</v>
      </c>
      <c r="T310" t="s">
        <v>44</v>
      </c>
      <c r="U310" t="s">
        <v>31</v>
      </c>
      <c r="V310" t="s">
        <v>39</v>
      </c>
      <c r="W310">
        <v>1</v>
      </c>
      <c r="X310">
        <v>1</v>
      </c>
      <c r="Y310" s="2">
        <f>Table1[[#This Row],[premium_yearly]]*Table1[[#This Row],[tenure_years]]</f>
        <v>1067.5152</v>
      </c>
      <c r="Z310" s="2">
        <f>Table1[[#This Row],[total_collected_premiums]]*(1-$AD$2)</f>
        <v>779.28609600000004</v>
      </c>
      <c r="AA310" s="2">
        <f>Table1[[#This Row],[retained_premium]]-Table1[[#This Row],[claim_amount_paid]]</f>
        <v>-5220.7139040000002</v>
      </c>
    </row>
    <row r="311" spans="1:27" x14ac:dyDescent="0.35">
      <c r="A311" t="s">
        <v>972</v>
      </c>
      <c r="B311" t="s">
        <v>973</v>
      </c>
      <c r="C311" t="s">
        <v>974</v>
      </c>
      <c r="D311" s="1">
        <v>41682</v>
      </c>
      <c r="E311" s="1">
        <v>44035</v>
      </c>
      <c r="F311" s="1">
        <v>44040</v>
      </c>
      <c r="G311">
        <v>5</v>
      </c>
      <c r="H311">
        <v>96.91</v>
      </c>
      <c r="I311">
        <v>1162.92</v>
      </c>
      <c r="J311">
        <v>4000</v>
      </c>
      <c r="K311" t="s">
        <v>27</v>
      </c>
      <c r="L311">
        <v>4000</v>
      </c>
      <c r="M311">
        <v>7.25</v>
      </c>
      <c r="N311" t="s">
        <v>36</v>
      </c>
      <c r="O311">
        <v>87</v>
      </c>
      <c r="P311">
        <v>47</v>
      </c>
      <c r="Q311">
        <v>1</v>
      </c>
      <c r="R311">
        <v>4</v>
      </c>
      <c r="S311" t="s">
        <v>29</v>
      </c>
      <c r="T311" t="s">
        <v>50</v>
      </c>
      <c r="U311" t="s">
        <v>38</v>
      </c>
      <c r="V311" t="s">
        <v>39</v>
      </c>
      <c r="W311">
        <v>0</v>
      </c>
      <c r="X311">
        <v>0</v>
      </c>
      <c r="Y311" s="2">
        <f>Table1[[#This Row],[premium_yearly]]*Table1[[#This Row],[tenure_years]]</f>
        <v>8431.17</v>
      </c>
      <c r="Z311" s="2">
        <f>Table1[[#This Row],[total_collected_premiums]]*(1-$AD$2)</f>
        <v>6154.7541000000001</v>
      </c>
      <c r="AA311" s="2">
        <f>Table1[[#This Row],[retained_premium]]-Table1[[#This Row],[claim_amount_paid]]</f>
        <v>2154.7541000000001</v>
      </c>
    </row>
    <row r="312" spans="1:27" x14ac:dyDescent="0.35">
      <c r="A312" t="s">
        <v>975</v>
      </c>
      <c r="B312" t="s">
        <v>976</v>
      </c>
      <c r="C312" t="s">
        <v>977</v>
      </c>
      <c r="D312" s="1">
        <v>40375</v>
      </c>
      <c r="E312" s="1">
        <v>44044</v>
      </c>
      <c r="F312" s="1">
        <v>44049</v>
      </c>
      <c r="G312">
        <v>5</v>
      </c>
      <c r="H312">
        <v>100.46</v>
      </c>
      <c r="I312">
        <v>1205.52</v>
      </c>
      <c r="J312">
        <v>2000</v>
      </c>
      <c r="K312" t="s">
        <v>27</v>
      </c>
      <c r="L312">
        <v>2000</v>
      </c>
      <c r="M312">
        <v>1.75</v>
      </c>
      <c r="N312" t="s">
        <v>28</v>
      </c>
      <c r="O312">
        <v>21</v>
      </c>
      <c r="P312">
        <v>58</v>
      </c>
      <c r="Q312">
        <v>1</v>
      </c>
      <c r="R312">
        <v>7</v>
      </c>
      <c r="S312" t="s">
        <v>29</v>
      </c>
      <c r="T312" t="s">
        <v>50</v>
      </c>
      <c r="U312" t="s">
        <v>38</v>
      </c>
      <c r="V312" t="s">
        <v>39</v>
      </c>
      <c r="W312">
        <v>0</v>
      </c>
      <c r="X312">
        <v>1</v>
      </c>
      <c r="Y312" s="2">
        <f>Table1[[#This Row],[premium_yearly]]*Table1[[#This Row],[tenure_years]]</f>
        <v>2109.66</v>
      </c>
      <c r="Z312" s="2">
        <f>Table1[[#This Row],[total_collected_premiums]]*(1-$AD$2)</f>
        <v>1540.0518</v>
      </c>
      <c r="AA312" s="2">
        <f>Table1[[#This Row],[retained_premium]]-Table1[[#This Row],[claim_amount_paid]]</f>
        <v>-459.94820000000004</v>
      </c>
    </row>
    <row r="313" spans="1:27" x14ac:dyDescent="0.35">
      <c r="A313" t="s">
        <v>978</v>
      </c>
      <c r="B313" t="s">
        <v>979</v>
      </c>
      <c r="C313" t="s">
        <v>980</v>
      </c>
      <c r="D313" s="1">
        <v>42019</v>
      </c>
      <c r="E313" s="1">
        <v>44052</v>
      </c>
      <c r="F313" s="1">
        <v>44053</v>
      </c>
      <c r="G313">
        <v>1</v>
      </c>
      <c r="H313">
        <v>123.35</v>
      </c>
      <c r="I313">
        <v>1480.2</v>
      </c>
      <c r="J313">
        <v>5000</v>
      </c>
      <c r="K313" t="s">
        <v>27</v>
      </c>
      <c r="L313">
        <v>5000</v>
      </c>
      <c r="M313">
        <v>2.67</v>
      </c>
      <c r="N313" t="s">
        <v>28</v>
      </c>
      <c r="O313">
        <v>32</v>
      </c>
      <c r="P313">
        <v>57</v>
      </c>
      <c r="Q313">
        <v>1</v>
      </c>
      <c r="R313">
        <v>2</v>
      </c>
      <c r="S313" t="s">
        <v>65</v>
      </c>
      <c r="T313" t="s">
        <v>30</v>
      </c>
      <c r="U313" t="s">
        <v>38</v>
      </c>
      <c r="V313" t="s">
        <v>32</v>
      </c>
      <c r="W313">
        <v>0</v>
      </c>
      <c r="X313">
        <v>0</v>
      </c>
      <c r="Y313" s="2">
        <f>Table1[[#This Row],[premium_yearly]]*Table1[[#This Row],[tenure_years]]</f>
        <v>3952.134</v>
      </c>
      <c r="Z313" s="2">
        <f>Table1[[#This Row],[total_collected_premiums]]*(1-$AD$2)</f>
        <v>2885.05782</v>
      </c>
      <c r="AA313" s="2">
        <f>Table1[[#This Row],[retained_premium]]-Table1[[#This Row],[claim_amount_paid]]</f>
        <v>-2114.94218</v>
      </c>
    </row>
    <row r="314" spans="1:27" x14ac:dyDescent="0.35">
      <c r="A314" t="s">
        <v>981</v>
      </c>
      <c r="B314" t="s">
        <v>982</v>
      </c>
      <c r="C314" t="s">
        <v>983</v>
      </c>
      <c r="D314" s="1">
        <v>41399</v>
      </c>
      <c r="E314" s="1">
        <v>44055</v>
      </c>
      <c r="F314" s="1">
        <v>44055</v>
      </c>
      <c r="G314">
        <v>0</v>
      </c>
      <c r="H314">
        <v>110.87</v>
      </c>
      <c r="I314">
        <v>1330.44</v>
      </c>
      <c r="J314">
        <v>10000</v>
      </c>
      <c r="K314" t="s">
        <v>27</v>
      </c>
      <c r="L314">
        <v>10000</v>
      </c>
      <c r="M314">
        <v>3.58</v>
      </c>
      <c r="N314" t="s">
        <v>36</v>
      </c>
      <c r="O314">
        <v>43</v>
      </c>
      <c r="P314">
        <v>49</v>
      </c>
      <c r="Q314">
        <v>1</v>
      </c>
      <c r="R314">
        <v>6</v>
      </c>
      <c r="S314" t="s">
        <v>29</v>
      </c>
      <c r="T314" t="s">
        <v>30</v>
      </c>
      <c r="U314" t="s">
        <v>88</v>
      </c>
      <c r="V314" t="s">
        <v>39</v>
      </c>
      <c r="W314">
        <v>0</v>
      </c>
      <c r="X314">
        <v>1</v>
      </c>
      <c r="Y314" s="2">
        <f>Table1[[#This Row],[premium_yearly]]*Table1[[#This Row],[tenure_years]]</f>
        <v>4762.9751999999999</v>
      </c>
      <c r="Z314" s="2">
        <f>Table1[[#This Row],[total_collected_premiums]]*(1-$AD$2)</f>
        <v>3476.971896</v>
      </c>
      <c r="AA314" s="2">
        <f>Table1[[#This Row],[retained_premium]]-Table1[[#This Row],[claim_amount_paid]]</f>
        <v>-6523.028104</v>
      </c>
    </row>
    <row r="315" spans="1:27" x14ac:dyDescent="0.35">
      <c r="A315" t="s">
        <v>984</v>
      </c>
      <c r="B315" t="s">
        <v>985</v>
      </c>
      <c r="C315" t="s">
        <v>986</v>
      </c>
      <c r="D315" s="1">
        <v>41280</v>
      </c>
      <c r="E315" s="1">
        <v>44041</v>
      </c>
      <c r="F315" s="1">
        <v>44046</v>
      </c>
      <c r="G315">
        <v>5</v>
      </c>
      <c r="H315">
        <v>117.92</v>
      </c>
      <c r="I315">
        <v>1415.04</v>
      </c>
      <c r="J315">
        <v>8000</v>
      </c>
      <c r="K315" t="s">
        <v>27</v>
      </c>
      <c r="L315">
        <v>8000</v>
      </c>
      <c r="M315">
        <v>6.83</v>
      </c>
      <c r="N315" t="s">
        <v>28</v>
      </c>
      <c r="O315">
        <v>82</v>
      </c>
      <c r="P315">
        <v>33</v>
      </c>
      <c r="Q315">
        <v>1</v>
      </c>
      <c r="R315">
        <v>5</v>
      </c>
      <c r="S315" t="s">
        <v>65</v>
      </c>
      <c r="T315" t="s">
        <v>30</v>
      </c>
      <c r="U315" t="s">
        <v>38</v>
      </c>
      <c r="V315" t="s">
        <v>39</v>
      </c>
      <c r="W315">
        <v>1</v>
      </c>
      <c r="X315">
        <v>1</v>
      </c>
      <c r="Y315" s="2">
        <f>Table1[[#This Row],[premium_yearly]]*Table1[[#This Row],[tenure_years]]</f>
        <v>9664.7232000000004</v>
      </c>
      <c r="Z315" s="2">
        <f>Table1[[#This Row],[total_collected_premiums]]*(1-$AD$2)</f>
        <v>7055.2479359999998</v>
      </c>
      <c r="AA315" s="2">
        <f>Table1[[#This Row],[retained_premium]]-Table1[[#This Row],[claim_amount_paid]]</f>
        <v>-944.75206400000025</v>
      </c>
    </row>
    <row r="316" spans="1:27" x14ac:dyDescent="0.35">
      <c r="A316" t="s">
        <v>987</v>
      </c>
      <c r="B316" t="s">
        <v>988</v>
      </c>
      <c r="C316" t="s">
        <v>989</v>
      </c>
      <c r="D316" s="1">
        <v>42417</v>
      </c>
      <c r="E316" s="1">
        <v>44052</v>
      </c>
      <c r="F316" s="1">
        <v>44053</v>
      </c>
      <c r="G316">
        <v>1</v>
      </c>
      <c r="H316">
        <v>118.25</v>
      </c>
      <c r="I316">
        <v>1419</v>
      </c>
      <c r="J316">
        <v>1000</v>
      </c>
      <c r="K316" t="s">
        <v>27</v>
      </c>
      <c r="L316">
        <v>1000</v>
      </c>
      <c r="M316">
        <v>4.92</v>
      </c>
      <c r="N316" t="s">
        <v>36</v>
      </c>
      <c r="O316">
        <v>59</v>
      </c>
      <c r="P316">
        <v>32</v>
      </c>
      <c r="Q316">
        <v>0</v>
      </c>
      <c r="R316">
        <v>3</v>
      </c>
      <c r="S316" t="s">
        <v>37</v>
      </c>
      <c r="T316" t="s">
        <v>50</v>
      </c>
      <c r="U316" t="s">
        <v>51</v>
      </c>
      <c r="V316" t="s">
        <v>45</v>
      </c>
      <c r="W316">
        <v>1</v>
      </c>
      <c r="X316">
        <v>1</v>
      </c>
      <c r="Y316" s="2">
        <f>Table1[[#This Row],[premium_yearly]]*Table1[[#This Row],[tenure_years]]</f>
        <v>6981.48</v>
      </c>
      <c r="Z316" s="2">
        <f>Table1[[#This Row],[total_collected_premiums]]*(1-$AD$2)</f>
        <v>5096.4803999999995</v>
      </c>
      <c r="AA316" s="2">
        <f>Table1[[#This Row],[retained_premium]]-Table1[[#This Row],[claim_amount_paid]]</f>
        <v>4096.4803999999995</v>
      </c>
    </row>
    <row r="317" spans="1:27" x14ac:dyDescent="0.35">
      <c r="A317" t="s">
        <v>990</v>
      </c>
      <c r="B317" t="s">
        <v>991</v>
      </c>
      <c r="C317" t="s">
        <v>992</v>
      </c>
      <c r="D317" s="1">
        <v>43311</v>
      </c>
      <c r="E317" s="1">
        <v>44048</v>
      </c>
      <c r="F317" s="1">
        <v>44051</v>
      </c>
      <c r="G317">
        <v>3</v>
      </c>
      <c r="H317">
        <v>134.28</v>
      </c>
      <c r="I317">
        <v>1611.36</v>
      </c>
      <c r="J317">
        <v>2000</v>
      </c>
      <c r="K317" t="s">
        <v>27</v>
      </c>
      <c r="L317">
        <v>2000</v>
      </c>
      <c r="M317">
        <v>3.92</v>
      </c>
      <c r="N317" t="s">
        <v>36</v>
      </c>
      <c r="O317">
        <v>47</v>
      </c>
      <c r="P317">
        <v>36</v>
      </c>
      <c r="Q317">
        <v>0</v>
      </c>
      <c r="R317">
        <v>3</v>
      </c>
      <c r="S317" t="s">
        <v>29</v>
      </c>
      <c r="T317" t="s">
        <v>30</v>
      </c>
      <c r="U317" t="s">
        <v>58</v>
      </c>
      <c r="V317" t="s">
        <v>32</v>
      </c>
      <c r="W317">
        <v>1</v>
      </c>
      <c r="X317">
        <v>0</v>
      </c>
      <c r="Y317" s="2">
        <f>Table1[[#This Row],[premium_yearly]]*Table1[[#This Row],[tenure_years]]</f>
        <v>6316.5311999999994</v>
      </c>
      <c r="Z317" s="2">
        <f>Table1[[#This Row],[total_collected_premiums]]*(1-$AD$2)</f>
        <v>4611.0677759999999</v>
      </c>
      <c r="AA317" s="2">
        <f>Table1[[#This Row],[retained_premium]]-Table1[[#This Row],[claim_amount_paid]]</f>
        <v>2611.0677759999999</v>
      </c>
    </row>
    <row r="318" spans="1:27" x14ac:dyDescent="0.35">
      <c r="A318" t="s">
        <v>993</v>
      </c>
      <c r="B318" t="s">
        <v>994</v>
      </c>
      <c r="C318" t="s">
        <v>995</v>
      </c>
      <c r="D318" s="1">
        <v>42367</v>
      </c>
      <c r="E318" s="1">
        <v>44043</v>
      </c>
      <c r="F318" s="1">
        <v>44048</v>
      </c>
      <c r="G318">
        <v>5</v>
      </c>
      <c r="H318">
        <v>109.4</v>
      </c>
      <c r="I318">
        <v>1312.8</v>
      </c>
      <c r="J318">
        <v>8000</v>
      </c>
      <c r="K318" t="s">
        <v>27</v>
      </c>
      <c r="L318">
        <v>8000</v>
      </c>
      <c r="M318">
        <v>9.25</v>
      </c>
      <c r="N318" t="s">
        <v>28</v>
      </c>
      <c r="O318">
        <v>111</v>
      </c>
      <c r="P318">
        <v>42</v>
      </c>
      <c r="Q318">
        <v>1</v>
      </c>
      <c r="R318">
        <v>3</v>
      </c>
      <c r="S318" t="s">
        <v>65</v>
      </c>
      <c r="T318" t="s">
        <v>30</v>
      </c>
      <c r="U318" t="s">
        <v>38</v>
      </c>
      <c r="V318" t="s">
        <v>32</v>
      </c>
      <c r="W318">
        <v>1</v>
      </c>
      <c r="X318">
        <v>1</v>
      </c>
      <c r="Y318" s="2">
        <f>Table1[[#This Row],[premium_yearly]]*Table1[[#This Row],[tenure_years]]</f>
        <v>12143.4</v>
      </c>
      <c r="Z318" s="2">
        <f>Table1[[#This Row],[total_collected_premiums]]*(1-$AD$2)</f>
        <v>8864.6819999999989</v>
      </c>
      <c r="AA318" s="2">
        <f>Table1[[#This Row],[retained_premium]]-Table1[[#This Row],[claim_amount_paid]]</f>
        <v>864.68199999999888</v>
      </c>
    </row>
    <row r="319" spans="1:27" x14ac:dyDescent="0.35">
      <c r="A319" t="s">
        <v>996</v>
      </c>
      <c r="B319" t="s">
        <v>997</v>
      </c>
      <c r="C319" t="s">
        <v>998</v>
      </c>
      <c r="D319" s="1">
        <v>41794</v>
      </c>
      <c r="E319" s="1">
        <v>44043</v>
      </c>
      <c r="F319" s="1">
        <v>44048</v>
      </c>
      <c r="G319">
        <v>5</v>
      </c>
      <c r="H319">
        <v>123.54</v>
      </c>
      <c r="I319">
        <v>1482.48</v>
      </c>
      <c r="J319">
        <v>1000</v>
      </c>
      <c r="K319" t="s">
        <v>27</v>
      </c>
      <c r="L319">
        <v>1000</v>
      </c>
      <c r="M319">
        <v>3.92</v>
      </c>
      <c r="N319" t="s">
        <v>49</v>
      </c>
      <c r="O319">
        <v>47</v>
      </c>
      <c r="P319">
        <v>29</v>
      </c>
      <c r="Q319">
        <v>1</v>
      </c>
      <c r="R319">
        <v>2</v>
      </c>
      <c r="S319" t="s">
        <v>29</v>
      </c>
      <c r="T319" t="s">
        <v>50</v>
      </c>
      <c r="U319" t="s">
        <v>66</v>
      </c>
      <c r="V319" t="s">
        <v>32</v>
      </c>
      <c r="W319">
        <v>1</v>
      </c>
      <c r="X319">
        <v>1</v>
      </c>
      <c r="Y319" s="2">
        <f>Table1[[#This Row],[premium_yearly]]*Table1[[#This Row],[tenure_years]]</f>
        <v>5811.3216000000002</v>
      </c>
      <c r="Z319" s="2">
        <f>Table1[[#This Row],[total_collected_premiums]]*(1-$AD$2)</f>
        <v>4242.264768</v>
      </c>
      <c r="AA319" s="2">
        <f>Table1[[#This Row],[retained_premium]]-Table1[[#This Row],[claim_amount_paid]]</f>
        <v>3242.264768</v>
      </c>
    </row>
    <row r="320" spans="1:27" x14ac:dyDescent="0.35">
      <c r="A320" t="s">
        <v>999</v>
      </c>
      <c r="B320" t="s">
        <v>1000</v>
      </c>
      <c r="C320" t="s">
        <v>1001</v>
      </c>
      <c r="D320" s="1">
        <v>43397</v>
      </c>
      <c r="E320" s="1">
        <v>44040</v>
      </c>
      <c r="F320" s="1">
        <v>44045</v>
      </c>
      <c r="G320">
        <v>5</v>
      </c>
      <c r="H320">
        <v>133.62</v>
      </c>
      <c r="I320">
        <v>1603.44</v>
      </c>
      <c r="J320">
        <v>3000</v>
      </c>
      <c r="K320" t="s">
        <v>27</v>
      </c>
      <c r="L320">
        <v>3000</v>
      </c>
      <c r="M320">
        <v>7.17</v>
      </c>
      <c r="N320" t="s">
        <v>28</v>
      </c>
      <c r="O320">
        <v>86</v>
      </c>
      <c r="P320">
        <v>56</v>
      </c>
      <c r="Q320">
        <v>1</v>
      </c>
      <c r="R320">
        <v>4</v>
      </c>
      <c r="S320" t="s">
        <v>37</v>
      </c>
      <c r="T320" t="s">
        <v>30</v>
      </c>
      <c r="U320" t="s">
        <v>38</v>
      </c>
      <c r="V320" t="s">
        <v>39</v>
      </c>
      <c r="W320">
        <v>1</v>
      </c>
      <c r="X320">
        <v>1</v>
      </c>
      <c r="Y320" s="2">
        <f>Table1[[#This Row],[premium_yearly]]*Table1[[#This Row],[tenure_years]]</f>
        <v>11496.6648</v>
      </c>
      <c r="Z320" s="2">
        <f>Table1[[#This Row],[total_collected_premiums]]*(1-$AD$2)</f>
        <v>8392.5653039999997</v>
      </c>
      <c r="AA320" s="2">
        <f>Table1[[#This Row],[retained_premium]]-Table1[[#This Row],[claim_amount_paid]]</f>
        <v>5392.5653039999997</v>
      </c>
    </row>
    <row r="321" spans="1:27" x14ac:dyDescent="0.35">
      <c r="A321" t="s">
        <v>1002</v>
      </c>
      <c r="B321" t="s">
        <v>1003</v>
      </c>
      <c r="C321" t="s">
        <v>1004</v>
      </c>
      <c r="D321" s="1">
        <v>42786</v>
      </c>
      <c r="E321" s="1">
        <v>44057</v>
      </c>
      <c r="F321" s="1">
        <v>44057</v>
      </c>
      <c r="G321">
        <v>0</v>
      </c>
      <c r="H321">
        <v>103.88</v>
      </c>
      <c r="I321">
        <v>1246.56</v>
      </c>
      <c r="J321">
        <v>9000</v>
      </c>
      <c r="K321" t="s">
        <v>27</v>
      </c>
      <c r="L321">
        <v>9000</v>
      </c>
      <c r="M321">
        <v>1.42</v>
      </c>
      <c r="N321" t="s">
        <v>36</v>
      </c>
      <c r="O321">
        <v>17</v>
      </c>
      <c r="P321">
        <v>25</v>
      </c>
      <c r="Q321">
        <v>1</v>
      </c>
      <c r="R321">
        <v>3</v>
      </c>
      <c r="S321" t="s">
        <v>65</v>
      </c>
      <c r="T321" t="s">
        <v>30</v>
      </c>
      <c r="U321" t="s">
        <v>58</v>
      </c>
      <c r="V321" t="s">
        <v>39</v>
      </c>
      <c r="W321">
        <v>0</v>
      </c>
      <c r="X321">
        <v>1</v>
      </c>
      <c r="Y321" s="2">
        <f>Table1[[#This Row],[premium_yearly]]*Table1[[#This Row],[tenure_years]]</f>
        <v>1770.1151999999997</v>
      </c>
      <c r="Z321" s="2">
        <f>Table1[[#This Row],[total_collected_premiums]]*(1-$AD$2)</f>
        <v>1292.1840959999997</v>
      </c>
      <c r="AA321" s="2">
        <f>Table1[[#This Row],[retained_premium]]-Table1[[#This Row],[claim_amount_paid]]</f>
        <v>-7707.815904</v>
      </c>
    </row>
    <row r="322" spans="1:27" x14ac:dyDescent="0.35">
      <c r="A322" t="s">
        <v>1005</v>
      </c>
      <c r="B322" t="s">
        <v>1006</v>
      </c>
      <c r="C322" t="s">
        <v>1007</v>
      </c>
      <c r="D322" s="1">
        <v>41639</v>
      </c>
      <c r="E322" s="1">
        <v>44039</v>
      </c>
      <c r="F322" s="1">
        <v>44044</v>
      </c>
      <c r="G322">
        <v>5</v>
      </c>
      <c r="H322">
        <v>81.12</v>
      </c>
      <c r="I322">
        <v>973.44</v>
      </c>
      <c r="J322">
        <v>2000</v>
      </c>
      <c r="K322" t="s">
        <v>27</v>
      </c>
      <c r="L322">
        <v>2000</v>
      </c>
      <c r="M322">
        <v>8.25</v>
      </c>
      <c r="N322" t="s">
        <v>36</v>
      </c>
      <c r="O322">
        <v>99</v>
      </c>
      <c r="P322">
        <v>42</v>
      </c>
      <c r="Q322">
        <v>1</v>
      </c>
      <c r="R322">
        <v>4</v>
      </c>
      <c r="S322" t="s">
        <v>37</v>
      </c>
      <c r="T322" t="s">
        <v>30</v>
      </c>
      <c r="U322" t="s">
        <v>38</v>
      </c>
      <c r="V322" t="s">
        <v>39</v>
      </c>
      <c r="W322">
        <v>0</v>
      </c>
      <c r="X322">
        <v>1</v>
      </c>
      <c r="Y322" s="2">
        <f>Table1[[#This Row],[premium_yearly]]*Table1[[#This Row],[tenure_years]]</f>
        <v>8030.88</v>
      </c>
      <c r="Z322" s="2">
        <f>Table1[[#This Row],[total_collected_premiums]]*(1-$AD$2)</f>
        <v>5862.5424000000003</v>
      </c>
      <c r="AA322" s="2">
        <f>Table1[[#This Row],[retained_premium]]-Table1[[#This Row],[claim_amount_paid]]</f>
        <v>3862.5424000000003</v>
      </c>
    </row>
    <row r="323" spans="1:27" x14ac:dyDescent="0.35">
      <c r="A323" t="s">
        <v>1008</v>
      </c>
      <c r="B323" t="s">
        <v>1009</v>
      </c>
      <c r="C323" t="s">
        <v>1010</v>
      </c>
      <c r="D323" s="1">
        <v>41373</v>
      </c>
      <c r="E323" s="1">
        <v>44057</v>
      </c>
      <c r="F323" s="1">
        <v>44057</v>
      </c>
      <c r="G323">
        <v>0</v>
      </c>
      <c r="H323">
        <v>89.04</v>
      </c>
      <c r="I323">
        <v>1068.48</v>
      </c>
      <c r="J323">
        <v>9000</v>
      </c>
      <c r="K323" t="s">
        <v>27</v>
      </c>
      <c r="L323">
        <v>9000</v>
      </c>
      <c r="M323">
        <v>1</v>
      </c>
      <c r="N323" t="s">
        <v>36</v>
      </c>
      <c r="O323">
        <v>12</v>
      </c>
      <c r="P323">
        <v>37</v>
      </c>
      <c r="Q323">
        <v>0</v>
      </c>
      <c r="R323">
        <v>5</v>
      </c>
      <c r="S323" t="s">
        <v>37</v>
      </c>
      <c r="T323" t="s">
        <v>50</v>
      </c>
      <c r="U323" t="s">
        <v>88</v>
      </c>
      <c r="V323" t="s">
        <v>32</v>
      </c>
      <c r="W323">
        <v>1</v>
      </c>
      <c r="X323">
        <v>1</v>
      </c>
      <c r="Y323" s="2">
        <f>Table1[[#This Row],[premium_yearly]]*Table1[[#This Row],[tenure_years]]</f>
        <v>1068.48</v>
      </c>
      <c r="Z323" s="2">
        <f>Table1[[#This Row],[total_collected_premiums]]*(1-$AD$2)</f>
        <v>779.99040000000002</v>
      </c>
      <c r="AA323" s="2">
        <f>Table1[[#This Row],[retained_premium]]-Table1[[#This Row],[claim_amount_paid]]</f>
        <v>-8220.0095999999994</v>
      </c>
    </row>
    <row r="324" spans="1:27" x14ac:dyDescent="0.35">
      <c r="A324" t="s">
        <v>1011</v>
      </c>
      <c r="B324" t="s">
        <v>1012</v>
      </c>
      <c r="C324" t="s">
        <v>1013</v>
      </c>
      <c r="D324" s="1">
        <v>43228</v>
      </c>
      <c r="E324" s="1">
        <v>44041</v>
      </c>
      <c r="F324" s="1">
        <v>44046</v>
      </c>
      <c r="G324">
        <v>5</v>
      </c>
      <c r="H324">
        <v>129.97999999999999</v>
      </c>
      <c r="I324">
        <v>1559.76</v>
      </c>
      <c r="J324">
        <v>5000</v>
      </c>
      <c r="K324" t="s">
        <v>27</v>
      </c>
      <c r="L324">
        <v>5000</v>
      </c>
      <c r="M324">
        <v>1.75</v>
      </c>
      <c r="N324" t="s">
        <v>49</v>
      </c>
      <c r="O324">
        <v>21</v>
      </c>
      <c r="P324">
        <v>32</v>
      </c>
      <c r="Q324">
        <v>1</v>
      </c>
      <c r="R324">
        <v>3</v>
      </c>
      <c r="S324" t="s">
        <v>65</v>
      </c>
      <c r="T324" t="s">
        <v>50</v>
      </c>
      <c r="U324" t="s">
        <v>38</v>
      </c>
      <c r="V324" t="s">
        <v>39</v>
      </c>
      <c r="W324">
        <v>0</v>
      </c>
      <c r="X324">
        <v>0</v>
      </c>
      <c r="Y324" s="2">
        <f>Table1[[#This Row],[premium_yearly]]*Table1[[#This Row],[tenure_years]]</f>
        <v>2729.58</v>
      </c>
      <c r="Z324" s="2">
        <f>Table1[[#This Row],[total_collected_premiums]]*(1-$AD$2)</f>
        <v>1992.5934</v>
      </c>
      <c r="AA324" s="2">
        <f>Table1[[#This Row],[retained_premium]]-Table1[[#This Row],[claim_amount_paid]]</f>
        <v>-3007.4066000000003</v>
      </c>
    </row>
    <row r="325" spans="1:27" x14ac:dyDescent="0.35">
      <c r="A325" t="s">
        <v>1014</v>
      </c>
      <c r="B325" t="s">
        <v>1015</v>
      </c>
      <c r="C325" t="s">
        <v>1016</v>
      </c>
      <c r="D325" s="1">
        <v>40867</v>
      </c>
      <c r="E325" s="1">
        <v>44055</v>
      </c>
      <c r="F325" s="1">
        <v>44055</v>
      </c>
      <c r="G325">
        <v>0</v>
      </c>
      <c r="H325">
        <v>134.96</v>
      </c>
      <c r="I325">
        <v>1619.52</v>
      </c>
      <c r="J325">
        <v>6000</v>
      </c>
      <c r="K325" t="s">
        <v>27</v>
      </c>
      <c r="L325">
        <v>6000</v>
      </c>
      <c r="M325">
        <v>2.17</v>
      </c>
      <c r="N325" t="s">
        <v>49</v>
      </c>
      <c r="O325">
        <v>26</v>
      </c>
      <c r="P325">
        <v>48</v>
      </c>
      <c r="Q325">
        <v>1</v>
      </c>
      <c r="R325">
        <v>6</v>
      </c>
      <c r="S325" t="s">
        <v>37</v>
      </c>
      <c r="T325" t="s">
        <v>30</v>
      </c>
      <c r="U325" t="s">
        <v>31</v>
      </c>
      <c r="V325" t="s">
        <v>32</v>
      </c>
      <c r="W325">
        <v>0</v>
      </c>
      <c r="X325">
        <v>1</v>
      </c>
      <c r="Y325" s="2">
        <f>Table1[[#This Row],[premium_yearly]]*Table1[[#This Row],[tenure_years]]</f>
        <v>3514.3583999999996</v>
      </c>
      <c r="Z325" s="2">
        <f>Table1[[#This Row],[total_collected_premiums]]*(1-$AD$2)</f>
        <v>2565.4816319999995</v>
      </c>
      <c r="AA325" s="2">
        <f>Table1[[#This Row],[retained_premium]]-Table1[[#This Row],[claim_amount_paid]]</f>
        <v>-3434.5183680000005</v>
      </c>
    </row>
    <row r="326" spans="1:27" x14ac:dyDescent="0.35">
      <c r="A326" t="s">
        <v>1017</v>
      </c>
      <c r="B326" t="s">
        <v>1018</v>
      </c>
      <c r="C326" t="s">
        <v>1019</v>
      </c>
      <c r="D326" s="1">
        <v>41891</v>
      </c>
      <c r="E326" s="1">
        <v>44054</v>
      </c>
      <c r="F326" s="1">
        <v>44055</v>
      </c>
      <c r="G326">
        <v>1</v>
      </c>
      <c r="H326">
        <v>126.05</v>
      </c>
      <c r="I326">
        <v>1512.6</v>
      </c>
      <c r="J326">
        <v>6000</v>
      </c>
      <c r="K326" t="s">
        <v>27</v>
      </c>
      <c r="L326">
        <v>6000</v>
      </c>
      <c r="M326">
        <v>2</v>
      </c>
      <c r="N326" t="s">
        <v>28</v>
      </c>
      <c r="O326">
        <v>24</v>
      </c>
      <c r="P326">
        <v>53</v>
      </c>
      <c r="Q326">
        <v>1</v>
      </c>
      <c r="R326">
        <v>6</v>
      </c>
      <c r="S326" t="s">
        <v>29</v>
      </c>
      <c r="T326" t="s">
        <v>44</v>
      </c>
      <c r="U326" t="s">
        <v>38</v>
      </c>
      <c r="V326" t="s">
        <v>45</v>
      </c>
      <c r="W326">
        <v>1</v>
      </c>
      <c r="X326">
        <v>1</v>
      </c>
      <c r="Y326" s="2">
        <f>Table1[[#This Row],[premium_yearly]]*Table1[[#This Row],[tenure_years]]</f>
        <v>3025.2</v>
      </c>
      <c r="Z326" s="2">
        <f>Table1[[#This Row],[total_collected_premiums]]*(1-$AD$2)</f>
        <v>2208.3959999999997</v>
      </c>
      <c r="AA326" s="2">
        <f>Table1[[#This Row],[retained_premium]]-Table1[[#This Row],[claim_amount_paid]]</f>
        <v>-3791.6040000000003</v>
      </c>
    </row>
    <row r="327" spans="1:27" x14ac:dyDescent="0.35">
      <c r="A327" t="s">
        <v>1020</v>
      </c>
      <c r="B327" t="s">
        <v>1021</v>
      </c>
      <c r="C327" t="s">
        <v>1022</v>
      </c>
      <c r="D327" s="1">
        <v>43817</v>
      </c>
      <c r="E327" s="1">
        <v>44052</v>
      </c>
      <c r="F327" s="1">
        <v>44055</v>
      </c>
      <c r="G327">
        <v>3</v>
      </c>
      <c r="H327">
        <v>83.61</v>
      </c>
      <c r="I327">
        <v>1003.32</v>
      </c>
      <c r="J327">
        <v>5000</v>
      </c>
      <c r="K327" t="s">
        <v>27</v>
      </c>
      <c r="L327">
        <v>5000</v>
      </c>
      <c r="M327">
        <v>2.67</v>
      </c>
      <c r="N327" t="s">
        <v>28</v>
      </c>
      <c r="O327">
        <v>32</v>
      </c>
      <c r="P327">
        <v>62</v>
      </c>
      <c r="Q327">
        <v>1</v>
      </c>
      <c r="R327">
        <v>5</v>
      </c>
      <c r="S327" t="s">
        <v>65</v>
      </c>
      <c r="T327" t="s">
        <v>44</v>
      </c>
      <c r="U327" t="s">
        <v>88</v>
      </c>
      <c r="V327" t="s">
        <v>45</v>
      </c>
      <c r="W327">
        <v>0</v>
      </c>
      <c r="X327">
        <v>1</v>
      </c>
      <c r="Y327" s="2">
        <f>Table1[[#This Row],[premium_yearly]]*Table1[[#This Row],[tenure_years]]</f>
        <v>2678.8643999999999</v>
      </c>
      <c r="Z327" s="2">
        <f>Table1[[#This Row],[total_collected_premiums]]*(1-$AD$2)</f>
        <v>1955.5710119999999</v>
      </c>
      <c r="AA327" s="2">
        <f>Table1[[#This Row],[retained_premium]]-Table1[[#This Row],[claim_amount_paid]]</f>
        <v>-3044.4289880000001</v>
      </c>
    </row>
    <row r="328" spans="1:27" x14ac:dyDescent="0.35">
      <c r="A328" t="s">
        <v>1023</v>
      </c>
      <c r="B328" t="s">
        <v>1024</v>
      </c>
      <c r="C328" t="s">
        <v>1025</v>
      </c>
      <c r="D328" s="1">
        <v>42321</v>
      </c>
      <c r="E328" s="1">
        <v>44043</v>
      </c>
      <c r="F328" s="1">
        <v>44048</v>
      </c>
      <c r="G328">
        <v>5</v>
      </c>
      <c r="H328">
        <v>109.96</v>
      </c>
      <c r="I328">
        <v>1319.52</v>
      </c>
      <c r="J328">
        <v>6000</v>
      </c>
      <c r="K328" t="s">
        <v>27</v>
      </c>
      <c r="L328">
        <v>6000</v>
      </c>
      <c r="M328">
        <v>9.67</v>
      </c>
      <c r="N328" t="s">
        <v>49</v>
      </c>
      <c r="O328">
        <v>116</v>
      </c>
      <c r="P328">
        <v>33</v>
      </c>
      <c r="Q328">
        <v>1</v>
      </c>
      <c r="R328">
        <v>2</v>
      </c>
      <c r="S328" t="s">
        <v>37</v>
      </c>
      <c r="T328" t="s">
        <v>44</v>
      </c>
      <c r="U328" t="s">
        <v>66</v>
      </c>
      <c r="V328" t="s">
        <v>39</v>
      </c>
      <c r="W328">
        <v>0</v>
      </c>
      <c r="X328">
        <v>1</v>
      </c>
      <c r="Y328" s="2">
        <f>Table1[[#This Row],[premium_yearly]]*Table1[[#This Row],[tenure_years]]</f>
        <v>12759.758400000001</v>
      </c>
      <c r="Z328" s="2">
        <f>Table1[[#This Row],[total_collected_premiums]]*(1-$AD$2)</f>
        <v>9314.6236320000007</v>
      </c>
      <c r="AA328" s="2">
        <f>Table1[[#This Row],[retained_premium]]-Table1[[#This Row],[claim_amount_paid]]</f>
        <v>3314.6236320000007</v>
      </c>
    </row>
    <row r="329" spans="1:27" x14ac:dyDescent="0.35">
      <c r="A329" t="s">
        <v>1026</v>
      </c>
      <c r="B329" t="s">
        <v>1027</v>
      </c>
      <c r="C329" t="s">
        <v>1028</v>
      </c>
      <c r="D329" s="1">
        <v>42841</v>
      </c>
      <c r="E329" s="1">
        <v>44058</v>
      </c>
      <c r="F329" s="1">
        <v>44058</v>
      </c>
      <c r="G329">
        <v>0</v>
      </c>
      <c r="H329">
        <v>116.64</v>
      </c>
      <c r="I329">
        <v>1399.68</v>
      </c>
      <c r="J329">
        <v>7000</v>
      </c>
      <c r="K329" t="s">
        <v>27</v>
      </c>
      <c r="L329">
        <v>7000</v>
      </c>
      <c r="M329">
        <v>0.67</v>
      </c>
      <c r="N329" t="s">
        <v>36</v>
      </c>
      <c r="O329">
        <v>8</v>
      </c>
      <c r="P329">
        <v>36</v>
      </c>
      <c r="Q329">
        <v>1</v>
      </c>
      <c r="R329">
        <v>6</v>
      </c>
      <c r="S329" t="s">
        <v>65</v>
      </c>
      <c r="T329" t="s">
        <v>50</v>
      </c>
      <c r="U329" t="s">
        <v>31</v>
      </c>
      <c r="V329" t="s">
        <v>45</v>
      </c>
      <c r="W329">
        <v>0</v>
      </c>
      <c r="X329">
        <v>1</v>
      </c>
      <c r="Y329" s="2">
        <f>Table1[[#This Row],[premium_yearly]]*Table1[[#This Row],[tenure_years]]</f>
        <v>937.78560000000004</v>
      </c>
      <c r="Z329" s="2">
        <f>Table1[[#This Row],[total_collected_premiums]]*(1-$AD$2)</f>
        <v>684.58348799999999</v>
      </c>
      <c r="AA329" s="2">
        <f>Table1[[#This Row],[retained_premium]]-Table1[[#This Row],[claim_amount_paid]]</f>
        <v>-6315.4165119999998</v>
      </c>
    </row>
    <row r="330" spans="1:27" x14ac:dyDescent="0.35">
      <c r="A330" t="s">
        <v>1029</v>
      </c>
      <c r="B330" t="s">
        <v>1030</v>
      </c>
      <c r="C330" t="s">
        <v>1031</v>
      </c>
      <c r="D330" s="1">
        <v>40458</v>
      </c>
      <c r="E330" s="1">
        <v>44048</v>
      </c>
      <c r="F330" s="1">
        <v>44053</v>
      </c>
      <c r="G330">
        <v>5</v>
      </c>
      <c r="H330">
        <v>101</v>
      </c>
      <c r="I330">
        <v>1212</v>
      </c>
      <c r="J330">
        <v>7000</v>
      </c>
      <c r="K330" t="s">
        <v>43</v>
      </c>
      <c r="L330">
        <v>0</v>
      </c>
      <c r="M330">
        <v>1</v>
      </c>
      <c r="N330" t="s">
        <v>28</v>
      </c>
      <c r="O330">
        <v>12</v>
      </c>
      <c r="P330">
        <v>40</v>
      </c>
      <c r="Q330">
        <v>1</v>
      </c>
      <c r="R330">
        <v>5</v>
      </c>
      <c r="S330" t="s">
        <v>65</v>
      </c>
      <c r="T330" t="s">
        <v>30</v>
      </c>
      <c r="U330" t="s">
        <v>88</v>
      </c>
      <c r="V330" t="s">
        <v>39</v>
      </c>
      <c r="W330">
        <v>1</v>
      </c>
      <c r="X330">
        <v>1</v>
      </c>
      <c r="Y330" s="2">
        <f>Table1[[#This Row],[premium_yearly]]*Table1[[#This Row],[tenure_years]]</f>
        <v>1212</v>
      </c>
      <c r="Z330" s="2">
        <f>Table1[[#This Row],[total_collected_premiums]]*(1-$AD$2)</f>
        <v>884.76</v>
      </c>
      <c r="AA330" s="2">
        <f>Table1[[#This Row],[retained_premium]]-Table1[[#This Row],[claim_amount_paid]]</f>
        <v>884.76</v>
      </c>
    </row>
    <row r="331" spans="1:27" x14ac:dyDescent="0.35">
      <c r="A331" t="s">
        <v>1032</v>
      </c>
      <c r="B331" t="s">
        <v>1033</v>
      </c>
      <c r="C331" t="s">
        <v>1034</v>
      </c>
      <c r="D331" s="1">
        <v>43210</v>
      </c>
      <c r="E331" s="1">
        <v>44060</v>
      </c>
      <c r="F331" s="1">
        <v>44060</v>
      </c>
      <c r="G331">
        <v>0</v>
      </c>
      <c r="H331">
        <v>121.9</v>
      </c>
      <c r="I331">
        <v>1462.8</v>
      </c>
      <c r="J331">
        <v>2000</v>
      </c>
      <c r="K331" t="s">
        <v>27</v>
      </c>
      <c r="L331">
        <v>2000</v>
      </c>
      <c r="M331">
        <v>1.58</v>
      </c>
      <c r="N331" t="s">
        <v>28</v>
      </c>
      <c r="O331">
        <v>19</v>
      </c>
      <c r="P331">
        <v>25</v>
      </c>
      <c r="Q331">
        <v>1</v>
      </c>
      <c r="R331">
        <v>2</v>
      </c>
      <c r="S331" t="s">
        <v>37</v>
      </c>
      <c r="T331" t="s">
        <v>50</v>
      </c>
      <c r="U331" t="s">
        <v>31</v>
      </c>
      <c r="V331" t="s">
        <v>32</v>
      </c>
      <c r="W331">
        <v>0</v>
      </c>
      <c r="X331">
        <v>0</v>
      </c>
      <c r="Y331" s="2">
        <f>Table1[[#This Row],[premium_yearly]]*Table1[[#This Row],[tenure_years]]</f>
        <v>2311.2240000000002</v>
      </c>
      <c r="Z331" s="2">
        <f>Table1[[#This Row],[total_collected_premiums]]*(1-$AD$2)</f>
        <v>1687.19352</v>
      </c>
      <c r="AA331" s="2">
        <f>Table1[[#This Row],[retained_premium]]-Table1[[#This Row],[claim_amount_paid]]</f>
        <v>-312.80647999999997</v>
      </c>
    </row>
    <row r="332" spans="1:27" x14ac:dyDescent="0.35">
      <c r="A332" t="s">
        <v>1035</v>
      </c>
      <c r="B332" t="s">
        <v>1036</v>
      </c>
      <c r="C332" t="s">
        <v>1037</v>
      </c>
      <c r="D332" s="1">
        <v>43186</v>
      </c>
      <c r="E332" s="1">
        <v>44056</v>
      </c>
      <c r="F332" s="1">
        <v>44058</v>
      </c>
      <c r="G332">
        <v>2</v>
      </c>
      <c r="H332">
        <v>123.68</v>
      </c>
      <c r="I332">
        <v>1484.16</v>
      </c>
      <c r="J332">
        <v>4000</v>
      </c>
      <c r="K332" t="s">
        <v>27</v>
      </c>
      <c r="L332">
        <v>4000</v>
      </c>
      <c r="M332">
        <v>2.5</v>
      </c>
      <c r="N332" t="s">
        <v>28</v>
      </c>
      <c r="O332">
        <v>30</v>
      </c>
      <c r="P332">
        <v>28</v>
      </c>
      <c r="Q332">
        <v>0</v>
      </c>
      <c r="R332">
        <v>5</v>
      </c>
      <c r="S332" t="s">
        <v>29</v>
      </c>
      <c r="T332" t="s">
        <v>50</v>
      </c>
      <c r="U332" t="s">
        <v>58</v>
      </c>
      <c r="V332" t="s">
        <v>39</v>
      </c>
      <c r="W332">
        <v>1</v>
      </c>
      <c r="X332">
        <v>0</v>
      </c>
      <c r="Y332" s="2">
        <f>Table1[[#This Row],[premium_yearly]]*Table1[[#This Row],[tenure_years]]</f>
        <v>3710.4</v>
      </c>
      <c r="Z332" s="2">
        <f>Table1[[#This Row],[total_collected_premiums]]*(1-$AD$2)</f>
        <v>2708.5920000000001</v>
      </c>
      <c r="AA332" s="2">
        <f>Table1[[#This Row],[retained_premium]]-Table1[[#This Row],[claim_amount_paid]]</f>
        <v>-1291.4079999999999</v>
      </c>
    </row>
    <row r="333" spans="1:27" x14ac:dyDescent="0.35">
      <c r="A333" t="s">
        <v>1038</v>
      </c>
      <c r="B333" t="s">
        <v>1039</v>
      </c>
      <c r="C333" t="s">
        <v>1040</v>
      </c>
      <c r="D333" s="1">
        <v>41147</v>
      </c>
      <c r="E333" s="1">
        <v>44045</v>
      </c>
      <c r="F333" s="1">
        <v>44050</v>
      </c>
      <c r="G333">
        <v>5</v>
      </c>
      <c r="H333">
        <v>116.5</v>
      </c>
      <c r="I333">
        <v>1398</v>
      </c>
      <c r="J333">
        <v>9000</v>
      </c>
      <c r="K333" t="s">
        <v>27</v>
      </c>
      <c r="L333">
        <v>9000</v>
      </c>
      <c r="M333">
        <v>2.33</v>
      </c>
      <c r="N333" t="s">
        <v>36</v>
      </c>
      <c r="O333">
        <v>28</v>
      </c>
      <c r="P333">
        <v>29</v>
      </c>
      <c r="Q333">
        <v>1</v>
      </c>
      <c r="R333">
        <v>6</v>
      </c>
      <c r="S333" t="s">
        <v>29</v>
      </c>
      <c r="T333" t="s">
        <v>50</v>
      </c>
      <c r="U333" t="s">
        <v>66</v>
      </c>
      <c r="V333" t="s">
        <v>39</v>
      </c>
      <c r="W333">
        <v>1</v>
      </c>
      <c r="X333">
        <v>0</v>
      </c>
      <c r="Y333" s="2">
        <f>Table1[[#This Row],[premium_yearly]]*Table1[[#This Row],[tenure_years]]</f>
        <v>3257.34</v>
      </c>
      <c r="Z333" s="2">
        <f>Table1[[#This Row],[total_collected_premiums]]*(1-$AD$2)</f>
        <v>2377.8582000000001</v>
      </c>
      <c r="AA333" s="2">
        <f>Table1[[#This Row],[retained_premium]]-Table1[[#This Row],[claim_amount_paid]]</f>
        <v>-6622.1417999999994</v>
      </c>
    </row>
    <row r="334" spans="1:27" x14ac:dyDescent="0.35">
      <c r="A334" t="s">
        <v>1041</v>
      </c>
      <c r="B334" t="s">
        <v>1042</v>
      </c>
      <c r="C334" t="s">
        <v>1043</v>
      </c>
      <c r="D334" s="1">
        <v>41655</v>
      </c>
      <c r="E334" s="1">
        <v>44042</v>
      </c>
      <c r="F334" s="1">
        <v>44047</v>
      </c>
      <c r="G334">
        <v>5</v>
      </c>
      <c r="H334">
        <v>123.35</v>
      </c>
      <c r="I334">
        <v>1480.2</v>
      </c>
      <c r="J334">
        <v>6000</v>
      </c>
      <c r="K334" t="s">
        <v>27</v>
      </c>
      <c r="L334">
        <v>6000</v>
      </c>
      <c r="M334">
        <v>0.92</v>
      </c>
      <c r="N334" t="s">
        <v>36</v>
      </c>
      <c r="O334">
        <v>11</v>
      </c>
      <c r="P334">
        <v>27</v>
      </c>
      <c r="Q334">
        <v>0</v>
      </c>
      <c r="R334">
        <v>4</v>
      </c>
      <c r="S334" t="s">
        <v>65</v>
      </c>
      <c r="T334" t="s">
        <v>50</v>
      </c>
      <c r="U334" t="s">
        <v>38</v>
      </c>
      <c r="V334" t="s">
        <v>45</v>
      </c>
      <c r="W334">
        <v>0</v>
      </c>
      <c r="X334">
        <v>1</v>
      </c>
      <c r="Y334" s="2">
        <f>Table1[[#This Row],[premium_yearly]]*Table1[[#This Row],[tenure_years]]</f>
        <v>1361.7840000000001</v>
      </c>
      <c r="Z334" s="2">
        <f>Table1[[#This Row],[total_collected_premiums]]*(1-$AD$2)</f>
        <v>994.10232000000008</v>
      </c>
      <c r="AA334" s="2">
        <f>Table1[[#This Row],[retained_premium]]-Table1[[#This Row],[claim_amount_paid]]</f>
        <v>-5005.89768</v>
      </c>
    </row>
    <row r="335" spans="1:27" x14ac:dyDescent="0.35">
      <c r="A335" t="s">
        <v>1044</v>
      </c>
      <c r="B335" t="s">
        <v>1045</v>
      </c>
      <c r="C335" t="s">
        <v>1046</v>
      </c>
      <c r="D335" s="1">
        <v>42105</v>
      </c>
      <c r="E335" s="1">
        <v>44049</v>
      </c>
      <c r="F335" s="1">
        <v>44054</v>
      </c>
      <c r="G335">
        <v>5</v>
      </c>
      <c r="H335">
        <v>117.49</v>
      </c>
      <c r="I335">
        <v>1409.88</v>
      </c>
      <c r="J335">
        <v>10000</v>
      </c>
      <c r="K335" t="s">
        <v>43</v>
      </c>
      <c r="L335">
        <v>0</v>
      </c>
      <c r="M335">
        <v>6.08</v>
      </c>
      <c r="N335" t="s">
        <v>28</v>
      </c>
      <c r="O335">
        <v>73</v>
      </c>
      <c r="P335">
        <v>57</v>
      </c>
      <c r="Q335">
        <v>0</v>
      </c>
      <c r="R335">
        <v>5</v>
      </c>
      <c r="S335" t="s">
        <v>29</v>
      </c>
      <c r="T335" t="s">
        <v>30</v>
      </c>
      <c r="U335" t="s">
        <v>58</v>
      </c>
      <c r="V335" t="s">
        <v>39</v>
      </c>
      <c r="W335">
        <v>0</v>
      </c>
      <c r="X335">
        <v>1</v>
      </c>
      <c r="Y335" s="2">
        <f>Table1[[#This Row],[premium_yearly]]*Table1[[#This Row],[tenure_years]]</f>
        <v>8572.0704000000005</v>
      </c>
      <c r="Z335" s="2">
        <f>Table1[[#This Row],[total_collected_premiums]]*(1-$AD$2)</f>
        <v>6257.6113919999998</v>
      </c>
      <c r="AA335" s="2">
        <f>Table1[[#This Row],[retained_premium]]-Table1[[#This Row],[claim_amount_paid]]</f>
        <v>6257.6113919999998</v>
      </c>
    </row>
    <row r="336" spans="1:27" x14ac:dyDescent="0.35">
      <c r="A336" t="s">
        <v>1047</v>
      </c>
      <c r="B336" t="s">
        <v>1048</v>
      </c>
      <c r="C336" t="s">
        <v>1049</v>
      </c>
      <c r="D336" s="1">
        <v>41412</v>
      </c>
      <c r="E336" s="1">
        <v>44053</v>
      </c>
      <c r="F336" s="1">
        <v>44056</v>
      </c>
      <c r="G336">
        <v>3</v>
      </c>
      <c r="H336">
        <v>124.76</v>
      </c>
      <c r="I336">
        <v>1497.12</v>
      </c>
      <c r="J336">
        <v>4000</v>
      </c>
      <c r="K336" t="s">
        <v>27</v>
      </c>
      <c r="L336">
        <v>4000</v>
      </c>
      <c r="M336">
        <v>8.83</v>
      </c>
      <c r="N336" t="s">
        <v>36</v>
      </c>
      <c r="O336">
        <v>106</v>
      </c>
      <c r="P336">
        <v>32</v>
      </c>
      <c r="Q336">
        <v>1</v>
      </c>
      <c r="R336">
        <v>6</v>
      </c>
      <c r="S336" t="s">
        <v>65</v>
      </c>
      <c r="T336" t="s">
        <v>50</v>
      </c>
      <c r="U336" t="s">
        <v>58</v>
      </c>
      <c r="V336" t="s">
        <v>39</v>
      </c>
      <c r="W336">
        <v>0</v>
      </c>
      <c r="X336">
        <v>0</v>
      </c>
      <c r="Y336" s="2">
        <f>Table1[[#This Row],[premium_yearly]]*Table1[[#This Row],[tenure_years]]</f>
        <v>13219.569599999999</v>
      </c>
      <c r="Z336" s="2">
        <f>Table1[[#This Row],[total_collected_premiums]]*(1-$AD$2)</f>
        <v>9650.2858079999987</v>
      </c>
      <c r="AA336" s="2">
        <f>Table1[[#This Row],[retained_premium]]-Table1[[#This Row],[claim_amount_paid]]</f>
        <v>5650.2858079999987</v>
      </c>
    </row>
    <row r="337" spans="1:27" x14ac:dyDescent="0.35">
      <c r="A337" t="s">
        <v>1050</v>
      </c>
      <c r="B337" t="s">
        <v>1051</v>
      </c>
      <c r="C337" t="s">
        <v>1052</v>
      </c>
      <c r="D337" s="1">
        <v>43149</v>
      </c>
      <c r="E337" s="1">
        <v>44059</v>
      </c>
      <c r="F337" s="1">
        <v>44059</v>
      </c>
      <c r="G337">
        <v>0</v>
      </c>
      <c r="H337">
        <v>117.9</v>
      </c>
      <c r="I337">
        <v>1414.8</v>
      </c>
      <c r="J337">
        <v>7000</v>
      </c>
      <c r="K337" t="s">
        <v>27</v>
      </c>
      <c r="L337">
        <v>7000</v>
      </c>
      <c r="M337">
        <v>7.58</v>
      </c>
      <c r="N337" t="s">
        <v>36</v>
      </c>
      <c r="O337">
        <v>91</v>
      </c>
      <c r="P337">
        <v>46</v>
      </c>
      <c r="Q337">
        <v>1</v>
      </c>
      <c r="R337">
        <v>3</v>
      </c>
      <c r="S337" t="s">
        <v>65</v>
      </c>
      <c r="T337" t="s">
        <v>30</v>
      </c>
      <c r="U337" t="s">
        <v>31</v>
      </c>
      <c r="V337" t="s">
        <v>32</v>
      </c>
      <c r="W337">
        <v>1</v>
      </c>
      <c r="X337">
        <v>1</v>
      </c>
      <c r="Y337" s="2">
        <f>Table1[[#This Row],[premium_yearly]]*Table1[[#This Row],[tenure_years]]</f>
        <v>10724.183999999999</v>
      </c>
      <c r="Z337" s="2">
        <f>Table1[[#This Row],[total_collected_premiums]]*(1-$AD$2)</f>
        <v>7828.6543199999996</v>
      </c>
      <c r="AA337" s="2">
        <f>Table1[[#This Row],[retained_premium]]-Table1[[#This Row],[claim_amount_paid]]</f>
        <v>828.65431999999964</v>
      </c>
    </row>
    <row r="338" spans="1:27" x14ac:dyDescent="0.35">
      <c r="A338" t="s">
        <v>1053</v>
      </c>
      <c r="B338" t="s">
        <v>1054</v>
      </c>
      <c r="C338" t="s">
        <v>1055</v>
      </c>
      <c r="D338" s="1">
        <v>41312</v>
      </c>
      <c r="E338" s="1">
        <v>44060</v>
      </c>
      <c r="F338" s="1">
        <v>44060</v>
      </c>
      <c r="G338">
        <v>0</v>
      </c>
      <c r="H338">
        <v>130.84</v>
      </c>
      <c r="I338">
        <v>1570.08</v>
      </c>
      <c r="J338">
        <v>9000</v>
      </c>
      <c r="K338" t="s">
        <v>27</v>
      </c>
      <c r="L338">
        <v>9000</v>
      </c>
      <c r="M338">
        <v>6.08</v>
      </c>
      <c r="N338" t="s">
        <v>49</v>
      </c>
      <c r="O338">
        <v>73</v>
      </c>
      <c r="P338">
        <v>55</v>
      </c>
      <c r="Q338">
        <v>1</v>
      </c>
      <c r="R338">
        <v>5</v>
      </c>
      <c r="S338" t="s">
        <v>29</v>
      </c>
      <c r="T338" t="s">
        <v>30</v>
      </c>
      <c r="U338" t="s">
        <v>38</v>
      </c>
      <c r="V338" t="s">
        <v>39</v>
      </c>
      <c r="W338">
        <v>1</v>
      </c>
      <c r="X338">
        <v>1</v>
      </c>
      <c r="Y338" s="2">
        <f>Table1[[#This Row],[premium_yearly]]*Table1[[#This Row],[tenure_years]]</f>
        <v>9546.0864000000001</v>
      </c>
      <c r="Z338" s="2">
        <f>Table1[[#This Row],[total_collected_premiums]]*(1-$AD$2)</f>
        <v>6968.6430719999998</v>
      </c>
      <c r="AA338" s="2">
        <f>Table1[[#This Row],[retained_premium]]-Table1[[#This Row],[claim_amount_paid]]</f>
        <v>-2031.3569280000002</v>
      </c>
    </row>
    <row r="339" spans="1:27" x14ac:dyDescent="0.35">
      <c r="A339" t="s">
        <v>1056</v>
      </c>
      <c r="B339" t="s">
        <v>1057</v>
      </c>
      <c r="C339" t="s">
        <v>1058</v>
      </c>
      <c r="D339" s="1">
        <v>41074</v>
      </c>
      <c r="E339" s="1">
        <v>44052</v>
      </c>
      <c r="F339" s="1">
        <v>44057</v>
      </c>
      <c r="G339">
        <v>5</v>
      </c>
      <c r="H339">
        <v>76.77</v>
      </c>
      <c r="I339">
        <v>921.24</v>
      </c>
      <c r="J339">
        <v>9000</v>
      </c>
      <c r="K339" t="s">
        <v>27</v>
      </c>
      <c r="L339">
        <v>9000</v>
      </c>
      <c r="M339">
        <v>3.83</v>
      </c>
      <c r="N339" t="s">
        <v>49</v>
      </c>
      <c r="O339">
        <v>46</v>
      </c>
      <c r="P339">
        <v>29</v>
      </c>
      <c r="Q339">
        <v>1</v>
      </c>
      <c r="R339">
        <v>2</v>
      </c>
      <c r="S339" t="s">
        <v>37</v>
      </c>
      <c r="T339" t="s">
        <v>44</v>
      </c>
      <c r="U339" t="s">
        <v>38</v>
      </c>
      <c r="V339" t="s">
        <v>32</v>
      </c>
      <c r="W339">
        <v>1</v>
      </c>
      <c r="X339">
        <v>1</v>
      </c>
      <c r="Y339" s="2">
        <f>Table1[[#This Row],[premium_yearly]]*Table1[[#This Row],[tenure_years]]</f>
        <v>3528.3492000000001</v>
      </c>
      <c r="Z339" s="2">
        <f>Table1[[#This Row],[total_collected_premiums]]*(1-$AD$2)</f>
        <v>2575.6949159999999</v>
      </c>
      <c r="AA339" s="2">
        <f>Table1[[#This Row],[retained_premium]]-Table1[[#This Row],[claim_amount_paid]]</f>
        <v>-6424.3050839999996</v>
      </c>
    </row>
    <row r="340" spans="1:27" x14ac:dyDescent="0.35">
      <c r="A340" t="s">
        <v>1059</v>
      </c>
      <c r="B340" t="s">
        <v>1060</v>
      </c>
      <c r="C340" t="s">
        <v>1061</v>
      </c>
      <c r="D340" s="1">
        <v>41301</v>
      </c>
      <c r="E340" s="1">
        <v>44062</v>
      </c>
      <c r="F340" s="1">
        <v>44062</v>
      </c>
      <c r="G340">
        <v>0</v>
      </c>
      <c r="H340">
        <v>139.71</v>
      </c>
      <c r="I340">
        <v>1676.52</v>
      </c>
      <c r="J340">
        <v>8000</v>
      </c>
      <c r="K340" t="s">
        <v>27</v>
      </c>
      <c r="L340">
        <v>8000</v>
      </c>
      <c r="M340">
        <v>8.58</v>
      </c>
      <c r="N340" t="s">
        <v>36</v>
      </c>
      <c r="O340">
        <v>103</v>
      </c>
      <c r="P340">
        <v>58</v>
      </c>
      <c r="Q340">
        <v>0</v>
      </c>
      <c r="R340">
        <v>3</v>
      </c>
      <c r="S340" t="s">
        <v>37</v>
      </c>
      <c r="T340" t="s">
        <v>30</v>
      </c>
      <c r="U340" t="s">
        <v>58</v>
      </c>
      <c r="V340" t="s">
        <v>32</v>
      </c>
      <c r="W340">
        <v>1</v>
      </c>
      <c r="X340">
        <v>1</v>
      </c>
      <c r="Y340" s="2">
        <f>Table1[[#This Row],[premium_yearly]]*Table1[[#This Row],[tenure_years]]</f>
        <v>14384.5416</v>
      </c>
      <c r="Z340" s="2">
        <f>Table1[[#This Row],[total_collected_premiums]]*(1-$AD$2)</f>
        <v>10500.715367999999</v>
      </c>
      <c r="AA340" s="2">
        <f>Table1[[#This Row],[retained_premium]]-Table1[[#This Row],[claim_amount_paid]]</f>
        <v>2500.7153679999992</v>
      </c>
    </row>
    <row r="341" spans="1:27" x14ac:dyDescent="0.35">
      <c r="A341" t="s">
        <v>1062</v>
      </c>
      <c r="B341" t="s">
        <v>1063</v>
      </c>
      <c r="C341" t="s">
        <v>1064</v>
      </c>
      <c r="D341" s="1">
        <v>40975</v>
      </c>
      <c r="E341" s="1">
        <v>44045</v>
      </c>
      <c r="F341" s="1">
        <v>44050</v>
      </c>
      <c r="G341">
        <v>5</v>
      </c>
      <c r="H341">
        <v>138.04</v>
      </c>
      <c r="I341">
        <v>1656.48</v>
      </c>
      <c r="J341">
        <v>7000</v>
      </c>
      <c r="K341" t="s">
        <v>27</v>
      </c>
      <c r="L341">
        <v>7000</v>
      </c>
      <c r="M341">
        <v>4.08</v>
      </c>
      <c r="N341" t="s">
        <v>36</v>
      </c>
      <c r="O341">
        <v>49</v>
      </c>
      <c r="P341">
        <v>26</v>
      </c>
      <c r="Q341">
        <v>0</v>
      </c>
      <c r="R341">
        <v>2</v>
      </c>
      <c r="S341" t="s">
        <v>29</v>
      </c>
      <c r="T341" t="s">
        <v>50</v>
      </c>
      <c r="U341" t="s">
        <v>31</v>
      </c>
      <c r="V341" t="s">
        <v>39</v>
      </c>
      <c r="W341">
        <v>1</v>
      </c>
      <c r="X341">
        <v>0</v>
      </c>
      <c r="Y341" s="2">
        <f>Table1[[#This Row],[premium_yearly]]*Table1[[#This Row],[tenure_years]]</f>
        <v>6758.4384</v>
      </c>
      <c r="Z341" s="2">
        <f>Table1[[#This Row],[total_collected_premiums]]*(1-$AD$2)</f>
        <v>4933.6600319999998</v>
      </c>
      <c r="AA341" s="2">
        <f>Table1[[#This Row],[retained_premium]]-Table1[[#This Row],[claim_amount_paid]]</f>
        <v>-2066.3399680000002</v>
      </c>
    </row>
    <row r="342" spans="1:27" x14ac:dyDescent="0.35">
      <c r="A342" t="s">
        <v>1065</v>
      </c>
      <c r="B342" t="s">
        <v>1066</v>
      </c>
      <c r="C342" t="s">
        <v>1067</v>
      </c>
      <c r="D342" s="1">
        <v>41239</v>
      </c>
      <c r="E342" s="1">
        <v>44054</v>
      </c>
      <c r="F342" s="1">
        <v>44059</v>
      </c>
      <c r="G342">
        <v>5</v>
      </c>
      <c r="H342">
        <v>72.959999999999994</v>
      </c>
      <c r="I342">
        <v>875.52</v>
      </c>
      <c r="J342">
        <v>2000</v>
      </c>
      <c r="K342" t="s">
        <v>27</v>
      </c>
      <c r="L342">
        <v>2000</v>
      </c>
      <c r="M342">
        <v>2.42</v>
      </c>
      <c r="N342" t="s">
        <v>49</v>
      </c>
      <c r="O342">
        <v>29</v>
      </c>
      <c r="P342">
        <v>44</v>
      </c>
      <c r="Q342">
        <v>1</v>
      </c>
      <c r="R342">
        <v>6</v>
      </c>
      <c r="S342" t="s">
        <v>65</v>
      </c>
      <c r="T342" t="s">
        <v>50</v>
      </c>
      <c r="U342" t="s">
        <v>38</v>
      </c>
      <c r="V342" t="s">
        <v>32</v>
      </c>
      <c r="W342">
        <v>1</v>
      </c>
      <c r="X342">
        <v>0</v>
      </c>
      <c r="Y342" s="2">
        <f>Table1[[#This Row],[premium_yearly]]*Table1[[#This Row],[tenure_years]]</f>
        <v>2118.7583999999997</v>
      </c>
      <c r="Z342" s="2">
        <f>Table1[[#This Row],[total_collected_premiums]]*(1-$AD$2)</f>
        <v>1546.6936319999998</v>
      </c>
      <c r="AA342" s="2">
        <f>Table1[[#This Row],[retained_premium]]-Table1[[#This Row],[claim_amount_paid]]</f>
        <v>-453.30636800000025</v>
      </c>
    </row>
    <row r="343" spans="1:27" x14ac:dyDescent="0.35">
      <c r="A343" t="s">
        <v>1068</v>
      </c>
      <c r="B343" t="s">
        <v>1069</v>
      </c>
      <c r="C343" t="s">
        <v>1070</v>
      </c>
      <c r="D343" s="1">
        <v>40596</v>
      </c>
      <c r="E343" s="1">
        <v>44054</v>
      </c>
      <c r="F343" s="1">
        <v>44059</v>
      </c>
      <c r="G343">
        <v>5</v>
      </c>
      <c r="H343">
        <v>117.4</v>
      </c>
      <c r="I343">
        <v>1408.8</v>
      </c>
      <c r="J343">
        <v>6000</v>
      </c>
      <c r="K343" t="s">
        <v>43</v>
      </c>
      <c r="L343">
        <v>0</v>
      </c>
      <c r="M343">
        <v>8.5</v>
      </c>
      <c r="N343" t="s">
        <v>36</v>
      </c>
      <c r="O343">
        <v>102</v>
      </c>
      <c r="P343">
        <v>25</v>
      </c>
      <c r="Q343">
        <v>1</v>
      </c>
      <c r="R343">
        <v>3</v>
      </c>
      <c r="S343" t="s">
        <v>65</v>
      </c>
      <c r="T343" t="s">
        <v>44</v>
      </c>
      <c r="U343" t="s">
        <v>66</v>
      </c>
      <c r="V343" t="s">
        <v>32</v>
      </c>
      <c r="W343">
        <v>1</v>
      </c>
      <c r="X343">
        <v>1</v>
      </c>
      <c r="Y343" s="2">
        <f>Table1[[#This Row],[premium_yearly]]*Table1[[#This Row],[tenure_years]]</f>
        <v>11974.8</v>
      </c>
      <c r="Z343" s="2">
        <f>Table1[[#This Row],[total_collected_premiums]]*(1-$AD$2)</f>
        <v>8741.6039999999994</v>
      </c>
      <c r="AA343" s="2">
        <f>Table1[[#This Row],[retained_premium]]-Table1[[#This Row],[claim_amount_paid]]</f>
        <v>8741.6039999999994</v>
      </c>
    </row>
    <row r="344" spans="1:27" x14ac:dyDescent="0.35">
      <c r="A344" t="s">
        <v>1071</v>
      </c>
      <c r="B344" t="s">
        <v>1072</v>
      </c>
      <c r="C344" t="s">
        <v>1073</v>
      </c>
      <c r="D344" s="1">
        <v>43618</v>
      </c>
      <c r="E344" s="1">
        <v>44047</v>
      </c>
      <c r="F344" s="1">
        <v>44052</v>
      </c>
      <c r="G344">
        <v>5</v>
      </c>
      <c r="H344">
        <v>126.71</v>
      </c>
      <c r="I344">
        <v>1520.52</v>
      </c>
      <c r="J344">
        <v>10000</v>
      </c>
      <c r="K344" t="s">
        <v>27</v>
      </c>
      <c r="L344">
        <v>10000</v>
      </c>
      <c r="M344">
        <v>8.08</v>
      </c>
      <c r="N344" t="s">
        <v>36</v>
      </c>
      <c r="O344">
        <v>97</v>
      </c>
      <c r="P344">
        <v>48</v>
      </c>
      <c r="Q344">
        <v>1</v>
      </c>
      <c r="R344">
        <v>4</v>
      </c>
      <c r="S344" t="s">
        <v>65</v>
      </c>
      <c r="T344" t="s">
        <v>50</v>
      </c>
      <c r="U344" t="s">
        <v>38</v>
      </c>
      <c r="V344" t="s">
        <v>32</v>
      </c>
      <c r="W344">
        <v>1</v>
      </c>
      <c r="X344">
        <v>0</v>
      </c>
      <c r="Y344" s="2">
        <f>Table1[[#This Row],[premium_yearly]]*Table1[[#This Row],[tenure_years]]</f>
        <v>12285.801600000001</v>
      </c>
      <c r="Z344" s="2">
        <f>Table1[[#This Row],[total_collected_premiums]]*(1-$AD$2)</f>
        <v>8968.6351680000007</v>
      </c>
      <c r="AA344" s="2">
        <f>Table1[[#This Row],[retained_premium]]-Table1[[#This Row],[claim_amount_paid]]</f>
        <v>-1031.3648319999993</v>
      </c>
    </row>
    <row r="345" spans="1:27" x14ac:dyDescent="0.35">
      <c r="A345" t="s">
        <v>1074</v>
      </c>
      <c r="B345" t="s">
        <v>1075</v>
      </c>
      <c r="C345" t="s">
        <v>1076</v>
      </c>
      <c r="D345" s="1">
        <v>42835</v>
      </c>
      <c r="E345" s="1">
        <v>44053</v>
      </c>
      <c r="F345" s="1">
        <v>44058</v>
      </c>
      <c r="G345">
        <v>5</v>
      </c>
      <c r="H345">
        <v>98.94</v>
      </c>
      <c r="I345">
        <v>1187.28</v>
      </c>
      <c r="J345">
        <v>2000</v>
      </c>
      <c r="K345" t="s">
        <v>27</v>
      </c>
      <c r="L345">
        <v>2000</v>
      </c>
      <c r="M345">
        <v>4.25</v>
      </c>
      <c r="N345" t="s">
        <v>36</v>
      </c>
      <c r="O345">
        <v>51</v>
      </c>
      <c r="P345">
        <v>62</v>
      </c>
      <c r="Q345">
        <v>0</v>
      </c>
      <c r="R345">
        <v>5</v>
      </c>
      <c r="S345" t="s">
        <v>65</v>
      </c>
      <c r="T345" t="s">
        <v>30</v>
      </c>
      <c r="U345" t="s">
        <v>38</v>
      </c>
      <c r="V345" t="s">
        <v>32</v>
      </c>
      <c r="W345">
        <v>1</v>
      </c>
      <c r="X345">
        <v>1</v>
      </c>
      <c r="Y345" s="2">
        <f>Table1[[#This Row],[premium_yearly]]*Table1[[#This Row],[tenure_years]]</f>
        <v>5045.9399999999996</v>
      </c>
      <c r="Z345" s="2">
        <f>Table1[[#This Row],[total_collected_premiums]]*(1-$AD$2)</f>
        <v>3683.5361999999996</v>
      </c>
      <c r="AA345" s="2">
        <f>Table1[[#This Row],[retained_premium]]-Table1[[#This Row],[claim_amount_paid]]</f>
        <v>1683.5361999999996</v>
      </c>
    </row>
    <row r="346" spans="1:27" x14ac:dyDescent="0.35">
      <c r="A346" t="s">
        <v>1077</v>
      </c>
      <c r="B346" t="s">
        <v>1078</v>
      </c>
      <c r="C346" t="s">
        <v>1079</v>
      </c>
      <c r="D346" s="1">
        <v>42715</v>
      </c>
      <c r="E346" s="1">
        <v>44055</v>
      </c>
      <c r="F346" s="1">
        <v>44060</v>
      </c>
      <c r="G346">
        <v>5</v>
      </c>
      <c r="H346">
        <v>105.54</v>
      </c>
      <c r="I346">
        <v>1266.48</v>
      </c>
      <c r="J346">
        <v>7000</v>
      </c>
      <c r="K346" t="s">
        <v>27</v>
      </c>
      <c r="L346">
        <v>7000</v>
      </c>
      <c r="M346">
        <v>6.25</v>
      </c>
      <c r="N346" t="s">
        <v>36</v>
      </c>
      <c r="O346">
        <v>75</v>
      </c>
      <c r="P346">
        <v>39</v>
      </c>
      <c r="Q346">
        <v>1</v>
      </c>
      <c r="R346">
        <v>7</v>
      </c>
      <c r="S346" t="s">
        <v>29</v>
      </c>
      <c r="T346" t="s">
        <v>50</v>
      </c>
      <c r="U346" t="s">
        <v>31</v>
      </c>
      <c r="V346" t="s">
        <v>45</v>
      </c>
      <c r="W346">
        <v>1</v>
      </c>
      <c r="X346">
        <v>1</v>
      </c>
      <c r="Y346" s="2">
        <f>Table1[[#This Row],[premium_yearly]]*Table1[[#This Row],[tenure_years]]</f>
        <v>7915.5</v>
      </c>
      <c r="Z346" s="2">
        <f>Table1[[#This Row],[total_collected_premiums]]*(1-$AD$2)</f>
        <v>5778.3149999999996</v>
      </c>
      <c r="AA346" s="2">
        <f>Table1[[#This Row],[retained_premium]]-Table1[[#This Row],[claim_amount_paid]]</f>
        <v>-1221.6850000000004</v>
      </c>
    </row>
    <row r="347" spans="1:27" x14ac:dyDescent="0.35">
      <c r="A347" t="s">
        <v>1080</v>
      </c>
      <c r="B347" t="s">
        <v>1081</v>
      </c>
      <c r="C347" t="s">
        <v>1082</v>
      </c>
      <c r="D347" s="1">
        <v>40534</v>
      </c>
      <c r="E347" s="1">
        <v>44051</v>
      </c>
      <c r="F347" s="1">
        <v>44056</v>
      </c>
      <c r="G347">
        <v>5</v>
      </c>
      <c r="H347">
        <v>134.28</v>
      </c>
      <c r="I347">
        <v>1611.36</v>
      </c>
      <c r="J347">
        <v>7000</v>
      </c>
      <c r="K347" t="s">
        <v>27</v>
      </c>
      <c r="L347">
        <v>7000</v>
      </c>
      <c r="M347">
        <v>4</v>
      </c>
      <c r="N347" t="s">
        <v>49</v>
      </c>
      <c r="O347">
        <v>48</v>
      </c>
      <c r="P347">
        <v>60</v>
      </c>
      <c r="Q347">
        <v>1</v>
      </c>
      <c r="R347">
        <v>2</v>
      </c>
      <c r="S347" t="s">
        <v>29</v>
      </c>
      <c r="T347" t="s">
        <v>30</v>
      </c>
      <c r="U347" t="s">
        <v>88</v>
      </c>
      <c r="V347" t="s">
        <v>39</v>
      </c>
      <c r="W347">
        <v>1</v>
      </c>
      <c r="X347">
        <v>1</v>
      </c>
      <c r="Y347" s="2">
        <f>Table1[[#This Row],[premium_yearly]]*Table1[[#This Row],[tenure_years]]</f>
        <v>6445.44</v>
      </c>
      <c r="Z347" s="2">
        <f>Table1[[#This Row],[total_collected_premiums]]*(1-$AD$2)</f>
        <v>4705.1711999999998</v>
      </c>
      <c r="AA347" s="2">
        <f>Table1[[#This Row],[retained_premium]]-Table1[[#This Row],[claim_amount_paid]]</f>
        <v>-2294.8288000000002</v>
      </c>
    </row>
    <row r="348" spans="1:27" x14ac:dyDescent="0.35">
      <c r="A348" t="s">
        <v>1083</v>
      </c>
      <c r="B348" t="s">
        <v>1084</v>
      </c>
      <c r="C348" t="s">
        <v>1085</v>
      </c>
      <c r="D348" s="1">
        <v>41717</v>
      </c>
      <c r="E348" s="1">
        <v>44055</v>
      </c>
      <c r="F348" s="1">
        <v>44060</v>
      </c>
      <c r="G348">
        <v>5</v>
      </c>
      <c r="H348">
        <v>95.9</v>
      </c>
      <c r="I348">
        <v>1150.8</v>
      </c>
      <c r="J348">
        <v>5000</v>
      </c>
      <c r="K348" t="s">
        <v>27</v>
      </c>
      <c r="L348">
        <v>5000</v>
      </c>
      <c r="M348">
        <v>2.17</v>
      </c>
      <c r="N348" t="s">
        <v>49</v>
      </c>
      <c r="O348">
        <v>26</v>
      </c>
      <c r="P348">
        <v>62</v>
      </c>
      <c r="Q348">
        <v>1</v>
      </c>
      <c r="R348">
        <v>7</v>
      </c>
      <c r="S348" t="s">
        <v>29</v>
      </c>
      <c r="T348" t="s">
        <v>30</v>
      </c>
      <c r="U348" t="s">
        <v>31</v>
      </c>
      <c r="V348" t="s">
        <v>32</v>
      </c>
      <c r="W348">
        <v>0</v>
      </c>
      <c r="X348">
        <v>1</v>
      </c>
      <c r="Y348" s="2">
        <f>Table1[[#This Row],[premium_yearly]]*Table1[[#This Row],[tenure_years]]</f>
        <v>2497.2359999999999</v>
      </c>
      <c r="Z348" s="2">
        <f>Table1[[#This Row],[total_collected_premiums]]*(1-$AD$2)</f>
        <v>1822.9822799999999</v>
      </c>
      <c r="AA348" s="2">
        <f>Table1[[#This Row],[retained_premium]]-Table1[[#This Row],[claim_amount_paid]]</f>
        <v>-3177.0177199999998</v>
      </c>
    </row>
    <row r="349" spans="1:27" x14ac:dyDescent="0.35">
      <c r="A349" t="s">
        <v>1086</v>
      </c>
      <c r="B349" t="s">
        <v>1087</v>
      </c>
      <c r="C349" t="s">
        <v>1088</v>
      </c>
      <c r="D349" s="1">
        <v>40445</v>
      </c>
      <c r="E349" s="1">
        <v>44066</v>
      </c>
      <c r="F349" s="1">
        <v>44066</v>
      </c>
      <c r="G349">
        <v>0</v>
      </c>
      <c r="H349">
        <v>70.63</v>
      </c>
      <c r="I349">
        <v>847.56</v>
      </c>
      <c r="J349">
        <v>2000</v>
      </c>
      <c r="K349" t="s">
        <v>27</v>
      </c>
      <c r="L349">
        <v>2000</v>
      </c>
      <c r="M349">
        <v>1</v>
      </c>
      <c r="N349" t="s">
        <v>28</v>
      </c>
      <c r="O349">
        <v>12</v>
      </c>
      <c r="P349">
        <v>64</v>
      </c>
      <c r="Q349">
        <v>1</v>
      </c>
      <c r="R349">
        <v>3</v>
      </c>
      <c r="S349" t="s">
        <v>29</v>
      </c>
      <c r="T349" t="s">
        <v>30</v>
      </c>
      <c r="U349" t="s">
        <v>38</v>
      </c>
      <c r="V349" t="s">
        <v>32</v>
      </c>
      <c r="W349">
        <v>1</v>
      </c>
      <c r="X349">
        <v>1</v>
      </c>
      <c r="Y349" s="2">
        <f>Table1[[#This Row],[premium_yearly]]*Table1[[#This Row],[tenure_years]]</f>
        <v>847.56</v>
      </c>
      <c r="Z349" s="2">
        <f>Table1[[#This Row],[total_collected_premiums]]*(1-$AD$2)</f>
        <v>618.71879999999999</v>
      </c>
      <c r="AA349" s="2">
        <f>Table1[[#This Row],[retained_premium]]-Table1[[#This Row],[claim_amount_paid]]</f>
        <v>-1381.2811999999999</v>
      </c>
    </row>
    <row r="350" spans="1:27" x14ac:dyDescent="0.35">
      <c r="A350" t="s">
        <v>1089</v>
      </c>
      <c r="B350" t="s">
        <v>1090</v>
      </c>
      <c r="C350" t="s">
        <v>1091</v>
      </c>
      <c r="D350" s="1">
        <v>40619</v>
      </c>
      <c r="E350" s="1">
        <v>44066</v>
      </c>
      <c r="F350" s="1">
        <v>44066</v>
      </c>
      <c r="G350">
        <v>0</v>
      </c>
      <c r="H350">
        <v>113.05</v>
      </c>
      <c r="I350">
        <v>1356.6</v>
      </c>
      <c r="J350">
        <v>9000</v>
      </c>
      <c r="K350" t="s">
        <v>27</v>
      </c>
      <c r="L350">
        <v>9000</v>
      </c>
      <c r="M350">
        <v>6.42</v>
      </c>
      <c r="N350" t="s">
        <v>49</v>
      </c>
      <c r="O350">
        <v>77</v>
      </c>
      <c r="P350">
        <v>60</v>
      </c>
      <c r="Q350">
        <v>1</v>
      </c>
      <c r="R350">
        <v>3</v>
      </c>
      <c r="S350" t="s">
        <v>37</v>
      </c>
      <c r="T350" t="s">
        <v>30</v>
      </c>
      <c r="U350" t="s">
        <v>66</v>
      </c>
      <c r="V350" t="s">
        <v>32</v>
      </c>
      <c r="W350">
        <v>1</v>
      </c>
      <c r="X350">
        <v>0</v>
      </c>
      <c r="Y350" s="2">
        <f>Table1[[#This Row],[premium_yearly]]*Table1[[#This Row],[tenure_years]]</f>
        <v>8709.3719999999994</v>
      </c>
      <c r="Z350" s="2">
        <f>Table1[[#This Row],[total_collected_premiums]]*(1-$AD$2)</f>
        <v>6357.8415599999998</v>
      </c>
      <c r="AA350" s="2">
        <f>Table1[[#This Row],[retained_premium]]-Table1[[#This Row],[claim_amount_paid]]</f>
        <v>-2642.1584400000002</v>
      </c>
    </row>
    <row r="351" spans="1:27" x14ac:dyDescent="0.35">
      <c r="A351" t="s">
        <v>1092</v>
      </c>
      <c r="B351" t="s">
        <v>1093</v>
      </c>
      <c r="C351" t="s">
        <v>1094</v>
      </c>
      <c r="D351" s="1">
        <v>41530</v>
      </c>
      <c r="E351" s="1">
        <v>44067</v>
      </c>
      <c r="F351" s="1">
        <v>44067</v>
      </c>
      <c r="G351">
        <v>0</v>
      </c>
      <c r="H351">
        <v>136.06</v>
      </c>
      <c r="I351">
        <v>1632.72</v>
      </c>
      <c r="J351">
        <v>5000</v>
      </c>
      <c r="K351" t="s">
        <v>27</v>
      </c>
      <c r="L351">
        <v>5000</v>
      </c>
      <c r="M351">
        <v>6.67</v>
      </c>
      <c r="N351" t="s">
        <v>28</v>
      </c>
      <c r="O351">
        <v>80</v>
      </c>
      <c r="P351">
        <v>50</v>
      </c>
      <c r="Q351">
        <v>1</v>
      </c>
      <c r="R351">
        <v>4</v>
      </c>
      <c r="S351" t="s">
        <v>65</v>
      </c>
      <c r="T351" t="s">
        <v>44</v>
      </c>
      <c r="U351" t="s">
        <v>38</v>
      </c>
      <c r="V351" t="s">
        <v>45</v>
      </c>
      <c r="W351">
        <v>1</v>
      </c>
      <c r="X351">
        <v>1</v>
      </c>
      <c r="Y351" s="2">
        <f>Table1[[#This Row],[premium_yearly]]*Table1[[#This Row],[tenure_years]]</f>
        <v>10890.242399999999</v>
      </c>
      <c r="Z351" s="2">
        <f>Table1[[#This Row],[total_collected_premiums]]*(1-$AD$2)</f>
        <v>7949.8769519999996</v>
      </c>
      <c r="AA351" s="2">
        <f>Table1[[#This Row],[retained_premium]]-Table1[[#This Row],[claim_amount_paid]]</f>
        <v>2949.8769519999996</v>
      </c>
    </row>
    <row r="352" spans="1:27" x14ac:dyDescent="0.35">
      <c r="A352" t="s">
        <v>1095</v>
      </c>
      <c r="B352" t="s">
        <v>1096</v>
      </c>
      <c r="C352" t="s">
        <v>1097</v>
      </c>
      <c r="D352" s="1">
        <v>42687</v>
      </c>
      <c r="E352" s="1">
        <v>44052</v>
      </c>
      <c r="F352" s="1">
        <v>44057</v>
      </c>
      <c r="G352">
        <v>5</v>
      </c>
      <c r="H352">
        <v>111.65</v>
      </c>
      <c r="I352">
        <v>1339.8</v>
      </c>
      <c r="J352">
        <v>10000</v>
      </c>
      <c r="K352" t="s">
        <v>43</v>
      </c>
      <c r="L352">
        <v>0</v>
      </c>
      <c r="M352">
        <v>9.83</v>
      </c>
      <c r="N352" t="s">
        <v>49</v>
      </c>
      <c r="O352">
        <v>118</v>
      </c>
      <c r="P352">
        <v>52</v>
      </c>
      <c r="Q352">
        <v>1</v>
      </c>
      <c r="R352">
        <v>5</v>
      </c>
      <c r="S352" t="s">
        <v>29</v>
      </c>
      <c r="T352" t="s">
        <v>44</v>
      </c>
      <c r="U352" t="s">
        <v>38</v>
      </c>
      <c r="V352" t="s">
        <v>39</v>
      </c>
      <c r="W352">
        <v>1</v>
      </c>
      <c r="X352">
        <v>1</v>
      </c>
      <c r="Y352" s="2">
        <f>Table1[[#This Row],[premium_yearly]]*Table1[[#This Row],[tenure_years]]</f>
        <v>13170.234</v>
      </c>
      <c r="Z352" s="2">
        <f>Table1[[#This Row],[total_collected_premiums]]*(1-$AD$2)</f>
        <v>9614.2708199999997</v>
      </c>
      <c r="AA352" s="2">
        <f>Table1[[#This Row],[retained_premium]]-Table1[[#This Row],[claim_amount_paid]]</f>
        <v>9614.2708199999997</v>
      </c>
    </row>
    <row r="353" spans="1:27" x14ac:dyDescent="0.35">
      <c r="A353" t="s">
        <v>1098</v>
      </c>
      <c r="B353" t="s">
        <v>1099</v>
      </c>
      <c r="C353" t="s">
        <v>1100</v>
      </c>
      <c r="D353" s="1">
        <v>43858</v>
      </c>
      <c r="E353" s="1">
        <v>44049</v>
      </c>
      <c r="F353" s="1">
        <v>44054</v>
      </c>
      <c r="G353">
        <v>5</v>
      </c>
      <c r="H353">
        <v>98.3</v>
      </c>
      <c r="I353">
        <v>1179.5999999999999</v>
      </c>
      <c r="J353">
        <v>7000</v>
      </c>
      <c r="K353" t="s">
        <v>27</v>
      </c>
      <c r="L353">
        <v>7000</v>
      </c>
      <c r="M353">
        <v>7.08</v>
      </c>
      <c r="N353" t="s">
        <v>49</v>
      </c>
      <c r="O353">
        <v>85</v>
      </c>
      <c r="P353">
        <v>26</v>
      </c>
      <c r="Q353">
        <v>1</v>
      </c>
      <c r="R353">
        <v>2</v>
      </c>
      <c r="S353" t="s">
        <v>65</v>
      </c>
      <c r="T353" t="s">
        <v>44</v>
      </c>
      <c r="U353" t="s">
        <v>58</v>
      </c>
      <c r="V353" t="s">
        <v>39</v>
      </c>
      <c r="W353">
        <v>1</v>
      </c>
      <c r="X353">
        <v>1</v>
      </c>
      <c r="Y353" s="2">
        <f>Table1[[#This Row],[premium_yearly]]*Table1[[#This Row],[tenure_years]]</f>
        <v>8351.5679999999993</v>
      </c>
      <c r="Z353" s="2">
        <f>Table1[[#This Row],[total_collected_premiums]]*(1-$AD$2)</f>
        <v>6096.6446399999995</v>
      </c>
      <c r="AA353" s="2">
        <f>Table1[[#This Row],[retained_premium]]-Table1[[#This Row],[claim_amount_paid]]</f>
        <v>-903.35536000000047</v>
      </c>
    </row>
    <row r="354" spans="1:27" x14ac:dyDescent="0.35">
      <c r="A354" t="s">
        <v>1101</v>
      </c>
      <c r="B354" t="s">
        <v>1102</v>
      </c>
      <c r="C354" t="s">
        <v>1103</v>
      </c>
      <c r="D354" s="1">
        <v>40515</v>
      </c>
      <c r="E354" s="1">
        <v>44059</v>
      </c>
      <c r="F354" s="1">
        <v>44062</v>
      </c>
      <c r="G354">
        <v>3</v>
      </c>
      <c r="H354">
        <v>89.17</v>
      </c>
      <c r="I354">
        <v>1070.04</v>
      </c>
      <c r="J354">
        <v>7000</v>
      </c>
      <c r="K354" t="s">
        <v>27</v>
      </c>
      <c r="L354">
        <v>7000</v>
      </c>
      <c r="M354">
        <v>7.08</v>
      </c>
      <c r="N354" t="s">
        <v>49</v>
      </c>
      <c r="O354">
        <v>85</v>
      </c>
      <c r="P354">
        <v>29</v>
      </c>
      <c r="Q354">
        <v>0</v>
      </c>
      <c r="R354">
        <v>7</v>
      </c>
      <c r="S354" t="s">
        <v>65</v>
      </c>
      <c r="T354" t="s">
        <v>44</v>
      </c>
      <c r="U354" t="s">
        <v>38</v>
      </c>
      <c r="V354" t="s">
        <v>32</v>
      </c>
      <c r="W354">
        <v>1</v>
      </c>
      <c r="X354">
        <v>1</v>
      </c>
      <c r="Y354" s="2">
        <f>Table1[[#This Row],[premium_yearly]]*Table1[[#This Row],[tenure_years]]</f>
        <v>7575.8832000000002</v>
      </c>
      <c r="Z354" s="2">
        <f>Table1[[#This Row],[total_collected_premiums]]*(1-$AD$2)</f>
        <v>5530.3947360000002</v>
      </c>
      <c r="AA354" s="2">
        <f>Table1[[#This Row],[retained_premium]]-Table1[[#This Row],[claim_amount_paid]]</f>
        <v>-1469.6052639999998</v>
      </c>
    </row>
    <row r="355" spans="1:27" x14ac:dyDescent="0.35">
      <c r="A355" t="s">
        <v>1104</v>
      </c>
      <c r="B355" t="s">
        <v>1105</v>
      </c>
      <c r="C355" t="s">
        <v>1106</v>
      </c>
      <c r="D355" s="1">
        <v>41169</v>
      </c>
      <c r="E355" s="1">
        <v>44054</v>
      </c>
      <c r="F355" s="1">
        <v>44059</v>
      </c>
      <c r="G355">
        <v>5</v>
      </c>
      <c r="H355">
        <v>92.16</v>
      </c>
      <c r="I355">
        <v>1105.92</v>
      </c>
      <c r="J355">
        <v>10000</v>
      </c>
      <c r="K355" t="s">
        <v>27</v>
      </c>
      <c r="L355">
        <v>10000</v>
      </c>
      <c r="M355">
        <v>8.33</v>
      </c>
      <c r="N355" t="s">
        <v>28</v>
      </c>
      <c r="O355">
        <v>100</v>
      </c>
      <c r="P355">
        <v>49</v>
      </c>
      <c r="Q355">
        <v>1</v>
      </c>
      <c r="R355">
        <v>7</v>
      </c>
      <c r="S355" t="s">
        <v>65</v>
      </c>
      <c r="T355" t="s">
        <v>30</v>
      </c>
      <c r="U355" t="s">
        <v>31</v>
      </c>
      <c r="V355" t="s">
        <v>45</v>
      </c>
      <c r="W355">
        <v>1</v>
      </c>
      <c r="X355">
        <v>1</v>
      </c>
      <c r="Y355" s="2">
        <f>Table1[[#This Row],[premium_yearly]]*Table1[[#This Row],[tenure_years]]</f>
        <v>9212.3136000000013</v>
      </c>
      <c r="Z355" s="2">
        <f>Table1[[#This Row],[total_collected_premiums]]*(1-$AD$2)</f>
        <v>6724.9889280000007</v>
      </c>
      <c r="AA355" s="2">
        <f>Table1[[#This Row],[retained_premium]]-Table1[[#This Row],[claim_amount_paid]]</f>
        <v>-3275.0110719999993</v>
      </c>
    </row>
    <row r="356" spans="1:27" x14ac:dyDescent="0.35">
      <c r="A356" t="s">
        <v>1107</v>
      </c>
      <c r="B356" t="s">
        <v>1108</v>
      </c>
      <c r="C356" t="s">
        <v>1109</v>
      </c>
      <c r="D356" s="1">
        <v>40982</v>
      </c>
      <c r="E356" s="1">
        <v>44054</v>
      </c>
      <c r="F356" s="1">
        <v>44059</v>
      </c>
      <c r="G356">
        <v>5</v>
      </c>
      <c r="H356">
        <v>99.11</v>
      </c>
      <c r="I356">
        <v>1189.32</v>
      </c>
      <c r="J356">
        <v>8000</v>
      </c>
      <c r="K356" t="s">
        <v>27</v>
      </c>
      <c r="L356">
        <v>8000</v>
      </c>
      <c r="M356">
        <v>6.08</v>
      </c>
      <c r="N356" t="s">
        <v>36</v>
      </c>
      <c r="O356">
        <v>73</v>
      </c>
      <c r="P356">
        <v>33</v>
      </c>
      <c r="Q356">
        <v>0</v>
      </c>
      <c r="R356">
        <v>3</v>
      </c>
      <c r="S356" t="s">
        <v>29</v>
      </c>
      <c r="T356" t="s">
        <v>50</v>
      </c>
      <c r="U356" t="s">
        <v>66</v>
      </c>
      <c r="V356" t="s">
        <v>32</v>
      </c>
      <c r="W356">
        <v>0</v>
      </c>
      <c r="X356">
        <v>1</v>
      </c>
      <c r="Y356" s="2">
        <f>Table1[[#This Row],[premium_yearly]]*Table1[[#This Row],[tenure_years]]</f>
        <v>7231.0655999999999</v>
      </c>
      <c r="Z356" s="2">
        <f>Table1[[#This Row],[total_collected_premiums]]*(1-$AD$2)</f>
        <v>5278.6778880000002</v>
      </c>
      <c r="AA356" s="2">
        <f>Table1[[#This Row],[retained_premium]]-Table1[[#This Row],[claim_amount_paid]]</f>
        <v>-2721.3221119999998</v>
      </c>
    </row>
    <row r="357" spans="1:27" x14ac:dyDescent="0.35">
      <c r="A357" t="s">
        <v>1110</v>
      </c>
      <c r="B357" t="s">
        <v>1111</v>
      </c>
      <c r="C357" t="s">
        <v>1112</v>
      </c>
      <c r="D357" s="1">
        <v>42349</v>
      </c>
      <c r="E357" s="1">
        <v>44055</v>
      </c>
      <c r="F357" s="1">
        <v>44060</v>
      </c>
      <c r="G357">
        <v>5</v>
      </c>
      <c r="H357">
        <v>129.27000000000001</v>
      </c>
      <c r="I357">
        <v>1551.24</v>
      </c>
      <c r="J357">
        <v>1000</v>
      </c>
      <c r="K357" t="s">
        <v>27</v>
      </c>
      <c r="L357">
        <v>1000</v>
      </c>
      <c r="M357">
        <v>2.67</v>
      </c>
      <c r="N357" t="s">
        <v>49</v>
      </c>
      <c r="O357">
        <v>32</v>
      </c>
      <c r="P357">
        <v>59</v>
      </c>
      <c r="Q357">
        <v>0</v>
      </c>
      <c r="R357">
        <v>5</v>
      </c>
      <c r="S357" t="s">
        <v>29</v>
      </c>
      <c r="T357" t="s">
        <v>50</v>
      </c>
      <c r="U357" t="s">
        <v>38</v>
      </c>
      <c r="V357" t="s">
        <v>39</v>
      </c>
      <c r="W357">
        <v>0</v>
      </c>
      <c r="X357">
        <v>0</v>
      </c>
      <c r="Y357" s="2">
        <f>Table1[[#This Row],[premium_yearly]]*Table1[[#This Row],[tenure_years]]</f>
        <v>4141.8108000000002</v>
      </c>
      <c r="Z357" s="2">
        <f>Table1[[#This Row],[total_collected_premiums]]*(1-$AD$2)</f>
        <v>3023.5218840000002</v>
      </c>
      <c r="AA357" s="2">
        <f>Table1[[#This Row],[retained_premium]]-Table1[[#This Row],[claim_amount_paid]]</f>
        <v>2023.5218840000002</v>
      </c>
    </row>
    <row r="358" spans="1:27" x14ac:dyDescent="0.35">
      <c r="A358" t="s">
        <v>1113</v>
      </c>
      <c r="B358" t="s">
        <v>1114</v>
      </c>
      <c r="C358" t="s">
        <v>1115</v>
      </c>
      <c r="D358" s="1">
        <v>43710</v>
      </c>
      <c r="E358" s="1">
        <v>44062</v>
      </c>
      <c r="F358" s="1">
        <v>44065</v>
      </c>
      <c r="G358">
        <v>3</v>
      </c>
      <c r="H358">
        <v>135.88999999999999</v>
      </c>
      <c r="I358">
        <v>1630.68</v>
      </c>
      <c r="J358">
        <v>8000</v>
      </c>
      <c r="K358" t="s">
        <v>27</v>
      </c>
      <c r="L358">
        <v>8000</v>
      </c>
      <c r="M358">
        <v>2</v>
      </c>
      <c r="N358" t="s">
        <v>49</v>
      </c>
      <c r="O358">
        <v>24</v>
      </c>
      <c r="P358">
        <v>30</v>
      </c>
      <c r="Q358">
        <v>1</v>
      </c>
      <c r="R358">
        <v>2</v>
      </c>
      <c r="S358" t="s">
        <v>65</v>
      </c>
      <c r="T358" t="s">
        <v>44</v>
      </c>
      <c r="U358" t="s">
        <v>31</v>
      </c>
      <c r="V358" t="s">
        <v>32</v>
      </c>
      <c r="W358">
        <v>1</v>
      </c>
      <c r="X358">
        <v>0</v>
      </c>
      <c r="Y358" s="2">
        <f>Table1[[#This Row],[premium_yearly]]*Table1[[#This Row],[tenure_years]]</f>
        <v>3261.36</v>
      </c>
      <c r="Z358" s="2">
        <f>Table1[[#This Row],[total_collected_premiums]]*(1-$AD$2)</f>
        <v>2380.7928000000002</v>
      </c>
      <c r="AA358" s="2">
        <f>Table1[[#This Row],[retained_premium]]-Table1[[#This Row],[claim_amount_paid]]</f>
        <v>-5619.2071999999998</v>
      </c>
    </row>
    <row r="359" spans="1:27" x14ac:dyDescent="0.35">
      <c r="A359" t="s">
        <v>1116</v>
      </c>
      <c r="B359" t="s">
        <v>1117</v>
      </c>
      <c r="C359" t="s">
        <v>1118</v>
      </c>
      <c r="D359" s="1">
        <v>41633</v>
      </c>
      <c r="E359" s="1">
        <v>44064</v>
      </c>
      <c r="F359" s="1">
        <v>44067</v>
      </c>
      <c r="G359">
        <v>3</v>
      </c>
      <c r="H359">
        <v>110.36</v>
      </c>
      <c r="I359">
        <v>1324.32</v>
      </c>
      <c r="J359">
        <v>10000</v>
      </c>
      <c r="K359" t="s">
        <v>27</v>
      </c>
      <c r="L359">
        <v>10000</v>
      </c>
      <c r="M359">
        <v>6.83</v>
      </c>
      <c r="N359" t="s">
        <v>49</v>
      </c>
      <c r="O359">
        <v>82</v>
      </c>
      <c r="P359">
        <v>49</v>
      </c>
      <c r="Q359">
        <v>1</v>
      </c>
      <c r="R359">
        <v>4</v>
      </c>
      <c r="S359" t="s">
        <v>65</v>
      </c>
      <c r="T359" t="s">
        <v>30</v>
      </c>
      <c r="U359" t="s">
        <v>38</v>
      </c>
      <c r="V359" t="s">
        <v>39</v>
      </c>
      <c r="W359">
        <v>0</v>
      </c>
      <c r="X359">
        <v>1</v>
      </c>
      <c r="Y359" s="2">
        <f>Table1[[#This Row],[premium_yearly]]*Table1[[#This Row],[tenure_years]]</f>
        <v>9045.105599999999</v>
      </c>
      <c r="Z359" s="2">
        <f>Table1[[#This Row],[total_collected_premiums]]*(1-$AD$2)</f>
        <v>6602.9270879999995</v>
      </c>
      <c r="AA359" s="2">
        <f>Table1[[#This Row],[retained_premium]]-Table1[[#This Row],[claim_amount_paid]]</f>
        <v>-3397.0729120000005</v>
      </c>
    </row>
    <row r="360" spans="1:27" x14ac:dyDescent="0.35">
      <c r="A360" t="s">
        <v>1119</v>
      </c>
      <c r="B360" t="s">
        <v>1120</v>
      </c>
      <c r="C360" t="s">
        <v>1121</v>
      </c>
      <c r="D360" s="1">
        <v>42400</v>
      </c>
      <c r="E360" s="1">
        <v>44055</v>
      </c>
      <c r="F360" s="1">
        <v>44060</v>
      </c>
      <c r="G360">
        <v>5</v>
      </c>
      <c r="H360">
        <v>117.55</v>
      </c>
      <c r="I360">
        <v>1410.6</v>
      </c>
      <c r="J360">
        <v>1000</v>
      </c>
      <c r="K360" t="s">
        <v>27</v>
      </c>
      <c r="L360">
        <v>1000</v>
      </c>
      <c r="M360">
        <v>6.17</v>
      </c>
      <c r="N360" t="s">
        <v>49</v>
      </c>
      <c r="O360">
        <v>74</v>
      </c>
      <c r="P360">
        <v>54</v>
      </c>
      <c r="Q360">
        <v>1</v>
      </c>
      <c r="R360">
        <v>7</v>
      </c>
      <c r="S360" t="s">
        <v>29</v>
      </c>
      <c r="T360" t="s">
        <v>30</v>
      </c>
      <c r="U360" t="s">
        <v>38</v>
      </c>
      <c r="V360" t="s">
        <v>45</v>
      </c>
      <c r="W360">
        <v>1</v>
      </c>
      <c r="X360">
        <v>1</v>
      </c>
      <c r="Y360" s="2">
        <f>Table1[[#This Row],[premium_yearly]]*Table1[[#This Row],[tenure_years]]</f>
        <v>8703.402</v>
      </c>
      <c r="Z360" s="2">
        <f>Table1[[#This Row],[total_collected_premiums]]*(1-$AD$2)</f>
        <v>6353.4834599999995</v>
      </c>
      <c r="AA360" s="2">
        <f>Table1[[#This Row],[retained_premium]]-Table1[[#This Row],[claim_amount_paid]]</f>
        <v>5353.4834599999995</v>
      </c>
    </row>
    <row r="361" spans="1:27" x14ac:dyDescent="0.35">
      <c r="A361" t="s">
        <v>1122</v>
      </c>
      <c r="B361" t="s">
        <v>1123</v>
      </c>
      <c r="C361" t="s">
        <v>1124</v>
      </c>
      <c r="D361" s="1">
        <v>41552</v>
      </c>
      <c r="E361" s="1">
        <v>44070</v>
      </c>
      <c r="F361" s="1">
        <v>44070</v>
      </c>
      <c r="G361">
        <v>0</v>
      </c>
      <c r="H361">
        <v>104.57</v>
      </c>
      <c r="I361">
        <v>1254.8399999999999</v>
      </c>
      <c r="J361">
        <v>10000</v>
      </c>
      <c r="K361" t="s">
        <v>27</v>
      </c>
      <c r="L361">
        <v>10000</v>
      </c>
      <c r="M361">
        <v>8.58</v>
      </c>
      <c r="N361" t="s">
        <v>36</v>
      </c>
      <c r="O361">
        <v>103</v>
      </c>
      <c r="P361">
        <v>63</v>
      </c>
      <c r="Q361">
        <v>1</v>
      </c>
      <c r="R361">
        <v>3</v>
      </c>
      <c r="S361" t="s">
        <v>65</v>
      </c>
      <c r="T361" t="s">
        <v>44</v>
      </c>
      <c r="U361" t="s">
        <v>38</v>
      </c>
      <c r="V361" t="s">
        <v>32</v>
      </c>
      <c r="W361">
        <v>1</v>
      </c>
      <c r="X361">
        <v>1</v>
      </c>
      <c r="Y361" s="2">
        <f>Table1[[#This Row],[premium_yearly]]*Table1[[#This Row],[tenure_years]]</f>
        <v>10766.527199999999</v>
      </c>
      <c r="Z361" s="2">
        <f>Table1[[#This Row],[total_collected_premiums]]*(1-$AD$2)</f>
        <v>7859.5648559999991</v>
      </c>
      <c r="AA361" s="2">
        <f>Table1[[#This Row],[retained_premium]]-Table1[[#This Row],[claim_amount_paid]]</f>
        <v>-2140.4351440000009</v>
      </c>
    </row>
    <row r="362" spans="1:27" x14ac:dyDescent="0.35">
      <c r="A362" t="s">
        <v>1125</v>
      </c>
      <c r="B362" t="s">
        <v>1126</v>
      </c>
      <c r="C362" t="s">
        <v>1127</v>
      </c>
      <c r="D362" s="1">
        <v>41787</v>
      </c>
      <c r="E362" s="1">
        <v>44065</v>
      </c>
      <c r="F362" s="1">
        <v>44068</v>
      </c>
      <c r="G362">
        <v>3</v>
      </c>
      <c r="H362">
        <v>96.48</v>
      </c>
      <c r="I362">
        <v>1157.76</v>
      </c>
      <c r="J362">
        <v>4000</v>
      </c>
      <c r="K362" t="s">
        <v>27</v>
      </c>
      <c r="L362">
        <v>4000</v>
      </c>
      <c r="M362">
        <v>1.17</v>
      </c>
      <c r="N362" t="s">
        <v>49</v>
      </c>
      <c r="O362">
        <v>14</v>
      </c>
      <c r="P362">
        <v>64</v>
      </c>
      <c r="Q362">
        <v>1</v>
      </c>
      <c r="R362">
        <v>4</v>
      </c>
      <c r="S362" t="s">
        <v>29</v>
      </c>
      <c r="T362" t="s">
        <v>50</v>
      </c>
      <c r="U362" t="s">
        <v>66</v>
      </c>
      <c r="V362" t="s">
        <v>32</v>
      </c>
      <c r="W362">
        <v>1</v>
      </c>
      <c r="X362">
        <v>0</v>
      </c>
      <c r="Y362" s="2">
        <f>Table1[[#This Row],[premium_yearly]]*Table1[[#This Row],[tenure_years]]</f>
        <v>1354.5791999999999</v>
      </c>
      <c r="Z362" s="2">
        <f>Table1[[#This Row],[total_collected_premiums]]*(1-$AD$2)</f>
        <v>988.84281599999986</v>
      </c>
      <c r="AA362" s="2">
        <f>Table1[[#This Row],[retained_premium]]-Table1[[#This Row],[claim_amount_paid]]</f>
        <v>-3011.1571840000001</v>
      </c>
    </row>
    <row r="363" spans="1:27" x14ac:dyDescent="0.35">
      <c r="A363" t="s">
        <v>1128</v>
      </c>
      <c r="B363" t="s">
        <v>1129</v>
      </c>
      <c r="C363" t="s">
        <v>1130</v>
      </c>
      <c r="D363" s="1">
        <v>41170</v>
      </c>
      <c r="E363" s="1">
        <v>44068</v>
      </c>
      <c r="F363" s="1">
        <v>44070</v>
      </c>
      <c r="G363">
        <v>2</v>
      </c>
      <c r="H363">
        <v>82.49</v>
      </c>
      <c r="I363">
        <v>989.88</v>
      </c>
      <c r="J363">
        <v>10000</v>
      </c>
      <c r="K363" t="s">
        <v>27</v>
      </c>
      <c r="L363">
        <v>10000</v>
      </c>
      <c r="M363">
        <v>4.08</v>
      </c>
      <c r="N363" t="s">
        <v>28</v>
      </c>
      <c r="O363">
        <v>49</v>
      </c>
      <c r="P363">
        <v>34</v>
      </c>
      <c r="Q363">
        <v>1</v>
      </c>
      <c r="R363">
        <v>6</v>
      </c>
      <c r="S363" t="s">
        <v>29</v>
      </c>
      <c r="T363" t="s">
        <v>30</v>
      </c>
      <c r="U363" t="s">
        <v>38</v>
      </c>
      <c r="V363" t="s">
        <v>45</v>
      </c>
      <c r="W363">
        <v>1</v>
      </c>
      <c r="X363">
        <v>1</v>
      </c>
      <c r="Y363" s="2">
        <f>Table1[[#This Row],[premium_yearly]]*Table1[[#This Row],[tenure_years]]</f>
        <v>4038.7103999999999</v>
      </c>
      <c r="Z363" s="2">
        <f>Table1[[#This Row],[total_collected_premiums]]*(1-$AD$2)</f>
        <v>2948.2585919999997</v>
      </c>
      <c r="AA363" s="2">
        <f>Table1[[#This Row],[retained_premium]]-Table1[[#This Row],[claim_amount_paid]]</f>
        <v>-7051.7414079999999</v>
      </c>
    </row>
    <row r="364" spans="1:27" x14ac:dyDescent="0.35">
      <c r="A364" t="s">
        <v>1131</v>
      </c>
      <c r="B364" t="s">
        <v>1132</v>
      </c>
      <c r="C364" t="s">
        <v>1133</v>
      </c>
      <c r="D364" s="1">
        <v>41337</v>
      </c>
      <c r="E364" s="1">
        <v>44060</v>
      </c>
      <c r="F364" s="1">
        <v>44065</v>
      </c>
      <c r="G364">
        <v>5</v>
      </c>
      <c r="H364">
        <v>74.459999999999994</v>
      </c>
      <c r="I364">
        <v>893.52</v>
      </c>
      <c r="J364">
        <v>5000</v>
      </c>
      <c r="K364" t="s">
        <v>27</v>
      </c>
      <c r="L364">
        <v>5000</v>
      </c>
      <c r="M364">
        <v>3.17</v>
      </c>
      <c r="N364" t="s">
        <v>28</v>
      </c>
      <c r="O364">
        <v>38</v>
      </c>
      <c r="P364">
        <v>35</v>
      </c>
      <c r="Q364">
        <v>0</v>
      </c>
      <c r="R364">
        <v>3</v>
      </c>
      <c r="S364" t="s">
        <v>65</v>
      </c>
      <c r="T364" t="s">
        <v>30</v>
      </c>
      <c r="U364" t="s">
        <v>66</v>
      </c>
      <c r="V364" t="s">
        <v>39</v>
      </c>
      <c r="W364">
        <v>0</v>
      </c>
      <c r="X364">
        <v>1</v>
      </c>
      <c r="Y364" s="2">
        <f>Table1[[#This Row],[premium_yearly]]*Table1[[#This Row],[tenure_years]]</f>
        <v>2832.4584</v>
      </c>
      <c r="Z364" s="2">
        <f>Table1[[#This Row],[total_collected_premiums]]*(1-$AD$2)</f>
        <v>2067.6946319999997</v>
      </c>
      <c r="AA364" s="2">
        <f>Table1[[#This Row],[retained_premium]]-Table1[[#This Row],[claim_amount_paid]]</f>
        <v>-2932.3053680000003</v>
      </c>
    </row>
    <row r="365" spans="1:27" x14ac:dyDescent="0.35">
      <c r="A365" t="s">
        <v>1134</v>
      </c>
      <c r="B365" t="s">
        <v>1135</v>
      </c>
      <c r="C365" t="s">
        <v>1136</v>
      </c>
      <c r="D365" s="1">
        <v>42264</v>
      </c>
      <c r="E365" s="1">
        <v>44066</v>
      </c>
      <c r="F365" s="1">
        <v>44069</v>
      </c>
      <c r="G365">
        <v>3</v>
      </c>
      <c r="H365">
        <v>133.97999999999999</v>
      </c>
      <c r="I365">
        <v>1607.76</v>
      </c>
      <c r="J365">
        <v>8000</v>
      </c>
      <c r="K365" t="s">
        <v>27</v>
      </c>
      <c r="L365">
        <v>8000</v>
      </c>
      <c r="M365">
        <v>5.08</v>
      </c>
      <c r="N365" t="s">
        <v>36</v>
      </c>
      <c r="O365">
        <v>61</v>
      </c>
      <c r="P365">
        <v>37</v>
      </c>
      <c r="Q365">
        <v>0</v>
      </c>
      <c r="R365">
        <v>3</v>
      </c>
      <c r="S365" t="s">
        <v>65</v>
      </c>
      <c r="T365" t="s">
        <v>30</v>
      </c>
      <c r="U365" t="s">
        <v>38</v>
      </c>
      <c r="V365" t="s">
        <v>39</v>
      </c>
      <c r="W365">
        <v>0</v>
      </c>
      <c r="X365">
        <v>1</v>
      </c>
      <c r="Y365" s="2">
        <f>Table1[[#This Row],[premium_yearly]]*Table1[[#This Row],[tenure_years]]</f>
        <v>8167.4207999999999</v>
      </c>
      <c r="Z365" s="2">
        <f>Table1[[#This Row],[total_collected_premiums]]*(1-$AD$2)</f>
        <v>5962.2171840000001</v>
      </c>
      <c r="AA365" s="2">
        <f>Table1[[#This Row],[retained_premium]]-Table1[[#This Row],[claim_amount_paid]]</f>
        <v>-2037.7828159999999</v>
      </c>
    </row>
    <row r="366" spans="1:27" x14ac:dyDescent="0.35">
      <c r="A366" t="s">
        <v>1137</v>
      </c>
      <c r="B366" t="s">
        <v>1138</v>
      </c>
      <c r="C366" t="s">
        <v>1139</v>
      </c>
      <c r="D366" s="1">
        <v>41147</v>
      </c>
      <c r="E366" s="1">
        <v>44070</v>
      </c>
      <c r="F366" s="1">
        <v>44072</v>
      </c>
      <c r="G366">
        <v>2</v>
      </c>
      <c r="H366">
        <v>100.26</v>
      </c>
      <c r="I366">
        <v>1203.1199999999999</v>
      </c>
      <c r="J366">
        <v>4000</v>
      </c>
      <c r="K366" t="s">
        <v>27</v>
      </c>
      <c r="L366">
        <v>4000</v>
      </c>
      <c r="M366">
        <v>8.42</v>
      </c>
      <c r="N366" t="s">
        <v>49</v>
      </c>
      <c r="O366">
        <v>101</v>
      </c>
      <c r="P366">
        <v>56</v>
      </c>
      <c r="Q366">
        <v>1</v>
      </c>
      <c r="R366">
        <v>5</v>
      </c>
      <c r="S366" t="s">
        <v>37</v>
      </c>
      <c r="T366" t="s">
        <v>44</v>
      </c>
      <c r="U366" t="s">
        <v>51</v>
      </c>
      <c r="V366" t="s">
        <v>32</v>
      </c>
      <c r="W366">
        <v>0</v>
      </c>
      <c r="X366">
        <v>0</v>
      </c>
      <c r="Y366" s="2">
        <f>Table1[[#This Row],[premium_yearly]]*Table1[[#This Row],[tenure_years]]</f>
        <v>10130.270399999999</v>
      </c>
      <c r="Z366" s="2">
        <f>Table1[[#This Row],[total_collected_premiums]]*(1-$AD$2)</f>
        <v>7395.0973919999997</v>
      </c>
      <c r="AA366" s="2">
        <f>Table1[[#This Row],[retained_premium]]-Table1[[#This Row],[claim_amount_paid]]</f>
        <v>3395.0973919999997</v>
      </c>
    </row>
    <row r="367" spans="1:27" x14ac:dyDescent="0.35">
      <c r="A367" t="s">
        <v>1140</v>
      </c>
      <c r="B367" t="s">
        <v>1141</v>
      </c>
      <c r="C367" t="s">
        <v>1142</v>
      </c>
      <c r="D367" s="1">
        <v>41203</v>
      </c>
      <c r="E367" s="1">
        <v>44060</v>
      </c>
      <c r="F367" s="1">
        <v>44065</v>
      </c>
      <c r="G367">
        <v>5</v>
      </c>
      <c r="H367">
        <v>70.930000000000007</v>
      </c>
      <c r="I367">
        <v>851.16</v>
      </c>
      <c r="J367">
        <v>9000</v>
      </c>
      <c r="K367" t="s">
        <v>27</v>
      </c>
      <c r="L367">
        <v>9000</v>
      </c>
      <c r="M367">
        <v>1.17</v>
      </c>
      <c r="N367" t="s">
        <v>36</v>
      </c>
      <c r="O367">
        <v>14</v>
      </c>
      <c r="P367">
        <v>49</v>
      </c>
      <c r="Q367">
        <v>0</v>
      </c>
      <c r="R367">
        <v>4</v>
      </c>
      <c r="S367" t="s">
        <v>29</v>
      </c>
      <c r="T367" t="s">
        <v>30</v>
      </c>
      <c r="U367" t="s">
        <v>38</v>
      </c>
      <c r="V367" t="s">
        <v>39</v>
      </c>
      <c r="W367">
        <v>0</v>
      </c>
      <c r="X367">
        <v>0</v>
      </c>
      <c r="Y367" s="2">
        <f>Table1[[#This Row],[premium_yearly]]*Table1[[#This Row],[tenure_years]]</f>
        <v>995.85719999999992</v>
      </c>
      <c r="Z367" s="2">
        <f>Table1[[#This Row],[total_collected_premiums]]*(1-$AD$2)</f>
        <v>726.97575599999993</v>
      </c>
      <c r="AA367" s="2">
        <f>Table1[[#This Row],[retained_premium]]-Table1[[#This Row],[claim_amount_paid]]</f>
        <v>-8273.0242440000002</v>
      </c>
    </row>
    <row r="368" spans="1:27" x14ac:dyDescent="0.35">
      <c r="A368" t="s">
        <v>1143</v>
      </c>
      <c r="B368" t="s">
        <v>1144</v>
      </c>
      <c r="C368" t="s">
        <v>1145</v>
      </c>
      <c r="D368" s="1">
        <v>40632</v>
      </c>
      <c r="E368" s="1">
        <v>44060</v>
      </c>
      <c r="F368" s="1">
        <v>44065</v>
      </c>
      <c r="G368">
        <v>5</v>
      </c>
      <c r="H368">
        <v>101.65</v>
      </c>
      <c r="I368">
        <v>1219.8</v>
      </c>
      <c r="J368">
        <v>6000</v>
      </c>
      <c r="K368" t="s">
        <v>27</v>
      </c>
      <c r="L368">
        <v>6000</v>
      </c>
      <c r="M368">
        <v>1.92</v>
      </c>
      <c r="N368" t="s">
        <v>36</v>
      </c>
      <c r="O368">
        <v>23</v>
      </c>
      <c r="P368">
        <v>40</v>
      </c>
      <c r="Q368">
        <v>1</v>
      </c>
      <c r="R368">
        <v>5</v>
      </c>
      <c r="S368" t="s">
        <v>65</v>
      </c>
      <c r="T368" t="s">
        <v>30</v>
      </c>
      <c r="U368" t="s">
        <v>58</v>
      </c>
      <c r="V368" t="s">
        <v>39</v>
      </c>
      <c r="W368">
        <v>1</v>
      </c>
      <c r="X368">
        <v>1</v>
      </c>
      <c r="Y368" s="2">
        <f>Table1[[#This Row],[premium_yearly]]*Table1[[#This Row],[tenure_years]]</f>
        <v>2342.0159999999996</v>
      </c>
      <c r="Z368" s="2">
        <f>Table1[[#This Row],[total_collected_premiums]]*(1-$AD$2)</f>
        <v>1709.6716799999997</v>
      </c>
      <c r="AA368" s="2">
        <f>Table1[[#This Row],[retained_premium]]-Table1[[#This Row],[claim_amount_paid]]</f>
        <v>-4290.3283200000005</v>
      </c>
    </row>
    <row r="369" spans="1:27" x14ac:dyDescent="0.35">
      <c r="A369" t="s">
        <v>1146</v>
      </c>
      <c r="B369" t="s">
        <v>1147</v>
      </c>
      <c r="C369" t="s">
        <v>1148</v>
      </c>
      <c r="D369" s="1">
        <v>40866</v>
      </c>
      <c r="E369" s="1">
        <v>44057</v>
      </c>
      <c r="F369" s="1">
        <v>44062</v>
      </c>
      <c r="G369">
        <v>5</v>
      </c>
      <c r="H369">
        <v>121.14</v>
      </c>
      <c r="I369">
        <v>1453.68</v>
      </c>
      <c r="J369">
        <v>8000</v>
      </c>
      <c r="K369" t="s">
        <v>27</v>
      </c>
      <c r="L369">
        <v>8000</v>
      </c>
      <c r="M369">
        <v>7</v>
      </c>
      <c r="N369" t="s">
        <v>49</v>
      </c>
      <c r="O369">
        <v>84</v>
      </c>
      <c r="P369">
        <v>25</v>
      </c>
      <c r="Q369">
        <v>1</v>
      </c>
      <c r="R369">
        <v>6</v>
      </c>
      <c r="S369" t="s">
        <v>29</v>
      </c>
      <c r="T369" t="s">
        <v>50</v>
      </c>
      <c r="U369" t="s">
        <v>38</v>
      </c>
      <c r="V369" t="s">
        <v>39</v>
      </c>
      <c r="W369">
        <v>1</v>
      </c>
      <c r="X369">
        <v>1</v>
      </c>
      <c r="Y369" s="2">
        <f>Table1[[#This Row],[premium_yearly]]*Table1[[#This Row],[tenure_years]]</f>
        <v>10175.76</v>
      </c>
      <c r="Z369" s="2">
        <f>Table1[[#This Row],[total_collected_premiums]]*(1-$AD$2)</f>
        <v>7428.3047999999999</v>
      </c>
      <c r="AA369" s="2">
        <f>Table1[[#This Row],[retained_premium]]-Table1[[#This Row],[claim_amount_paid]]</f>
        <v>-571.69520000000011</v>
      </c>
    </row>
    <row r="370" spans="1:27" x14ac:dyDescent="0.35">
      <c r="A370" t="s">
        <v>1149</v>
      </c>
      <c r="B370" t="s">
        <v>1150</v>
      </c>
      <c r="C370" t="s">
        <v>1151</v>
      </c>
      <c r="D370" s="1">
        <v>41884</v>
      </c>
      <c r="E370" s="1">
        <v>44076</v>
      </c>
      <c r="F370" s="1">
        <v>44076</v>
      </c>
      <c r="G370">
        <v>0</v>
      </c>
      <c r="H370">
        <v>112.77</v>
      </c>
      <c r="I370">
        <v>1353.24</v>
      </c>
      <c r="J370">
        <v>6000</v>
      </c>
      <c r="K370" t="s">
        <v>27</v>
      </c>
      <c r="L370">
        <v>6000</v>
      </c>
      <c r="M370">
        <v>4.42</v>
      </c>
      <c r="N370" t="s">
        <v>28</v>
      </c>
      <c r="O370">
        <v>53</v>
      </c>
      <c r="P370">
        <v>58</v>
      </c>
      <c r="Q370">
        <v>0</v>
      </c>
      <c r="R370">
        <v>2</v>
      </c>
      <c r="S370" t="s">
        <v>65</v>
      </c>
      <c r="T370" t="s">
        <v>44</v>
      </c>
      <c r="U370" t="s">
        <v>51</v>
      </c>
      <c r="V370" t="s">
        <v>39</v>
      </c>
      <c r="W370">
        <v>0</v>
      </c>
      <c r="X370">
        <v>0</v>
      </c>
      <c r="Y370" s="2">
        <f>Table1[[#This Row],[premium_yearly]]*Table1[[#This Row],[tenure_years]]</f>
        <v>5981.3207999999995</v>
      </c>
      <c r="Z370" s="2">
        <f>Table1[[#This Row],[total_collected_premiums]]*(1-$AD$2)</f>
        <v>4366.3641839999991</v>
      </c>
      <c r="AA370" s="2">
        <f>Table1[[#This Row],[retained_premium]]-Table1[[#This Row],[claim_amount_paid]]</f>
        <v>-1633.6358160000009</v>
      </c>
    </row>
    <row r="371" spans="1:27" x14ac:dyDescent="0.35">
      <c r="A371" t="s">
        <v>1152</v>
      </c>
      <c r="B371" t="s">
        <v>1153</v>
      </c>
      <c r="C371" t="s">
        <v>1154</v>
      </c>
      <c r="D371" s="1">
        <v>41071</v>
      </c>
      <c r="E371" s="1">
        <v>44062</v>
      </c>
      <c r="F371" s="1">
        <v>44067</v>
      </c>
      <c r="G371">
        <v>5</v>
      </c>
      <c r="H371">
        <v>131.22999999999999</v>
      </c>
      <c r="I371">
        <v>1574.76</v>
      </c>
      <c r="J371">
        <v>2000</v>
      </c>
      <c r="K371" t="s">
        <v>27</v>
      </c>
      <c r="L371">
        <v>2000</v>
      </c>
      <c r="M371">
        <v>1.5</v>
      </c>
      <c r="N371" t="s">
        <v>28</v>
      </c>
      <c r="O371">
        <v>18</v>
      </c>
      <c r="P371">
        <v>34</v>
      </c>
      <c r="Q371">
        <v>1</v>
      </c>
      <c r="R371">
        <v>2</v>
      </c>
      <c r="S371" t="s">
        <v>65</v>
      </c>
      <c r="T371" t="s">
        <v>44</v>
      </c>
      <c r="U371" t="s">
        <v>66</v>
      </c>
      <c r="V371" t="s">
        <v>39</v>
      </c>
      <c r="W371">
        <v>0</v>
      </c>
      <c r="X371">
        <v>0</v>
      </c>
      <c r="Y371" s="2">
        <f>Table1[[#This Row],[premium_yearly]]*Table1[[#This Row],[tenure_years]]</f>
        <v>2362.14</v>
      </c>
      <c r="Z371" s="2">
        <f>Table1[[#This Row],[total_collected_premiums]]*(1-$AD$2)</f>
        <v>1724.3621999999998</v>
      </c>
      <c r="AA371" s="2">
        <f>Table1[[#This Row],[retained_premium]]-Table1[[#This Row],[claim_amount_paid]]</f>
        <v>-275.6378000000002</v>
      </c>
    </row>
    <row r="372" spans="1:27" x14ac:dyDescent="0.35">
      <c r="A372" t="s">
        <v>1155</v>
      </c>
      <c r="B372" t="s">
        <v>1156</v>
      </c>
      <c r="C372" t="s">
        <v>1157</v>
      </c>
      <c r="D372" s="1">
        <v>43381</v>
      </c>
      <c r="E372" s="1">
        <v>44073</v>
      </c>
      <c r="F372" s="1">
        <v>44074</v>
      </c>
      <c r="G372">
        <v>1</v>
      </c>
      <c r="H372">
        <v>114.51</v>
      </c>
      <c r="I372">
        <v>1374.12</v>
      </c>
      <c r="J372">
        <v>6000</v>
      </c>
      <c r="K372" t="s">
        <v>27</v>
      </c>
      <c r="L372">
        <v>6000</v>
      </c>
      <c r="M372">
        <v>8</v>
      </c>
      <c r="N372" t="s">
        <v>36</v>
      </c>
      <c r="O372">
        <v>96</v>
      </c>
      <c r="P372">
        <v>34</v>
      </c>
      <c r="Q372">
        <v>0</v>
      </c>
      <c r="R372">
        <v>4</v>
      </c>
      <c r="S372" t="s">
        <v>29</v>
      </c>
      <c r="T372" t="s">
        <v>44</v>
      </c>
      <c r="U372" t="s">
        <v>31</v>
      </c>
      <c r="V372" t="s">
        <v>39</v>
      </c>
      <c r="W372">
        <v>1</v>
      </c>
      <c r="X372">
        <v>0</v>
      </c>
      <c r="Y372" s="2">
        <f>Table1[[#This Row],[premium_yearly]]*Table1[[#This Row],[tenure_years]]</f>
        <v>10992.96</v>
      </c>
      <c r="Z372" s="2">
        <f>Table1[[#This Row],[total_collected_premiums]]*(1-$AD$2)</f>
        <v>8024.8607999999995</v>
      </c>
      <c r="AA372" s="2">
        <f>Table1[[#This Row],[retained_premium]]-Table1[[#This Row],[claim_amount_paid]]</f>
        <v>2024.8607999999995</v>
      </c>
    </row>
    <row r="373" spans="1:27" x14ac:dyDescent="0.35">
      <c r="A373" t="s">
        <v>1158</v>
      </c>
      <c r="B373" t="s">
        <v>1159</v>
      </c>
      <c r="C373" t="s">
        <v>1160</v>
      </c>
      <c r="D373" s="1">
        <v>42898</v>
      </c>
      <c r="E373" s="1">
        <v>44070</v>
      </c>
      <c r="F373" s="1">
        <v>44073</v>
      </c>
      <c r="G373">
        <v>3</v>
      </c>
      <c r="H373">
        <v>97.45</v>
      </c>
      <c r="I373">
        <v>1169.4000000000001</v>
      </c>
      <c r="J373">
        <v>3000</v>
      </c>
      <c r="K373" t="s">
        <v>27</v>
      </c>
      <c r="L373">
        <v>3000</v>
      </c>
      <c r="M373">
        <v>0.5</v>
      </c>
      <c r="N373" t="s">
        <v>36</v>
      </c>
      <c r="O373">
        <v>6</v>
      </c>
      <c r="P373">
        <v>48</v>
      </c>
      <c r="Q373">
        <v>1</v>
      </c>
      <c r="R373">
        <v>3</v>
      </c>
      <c r="S373" t="s">
        <v>65</v>
      </c>
      <c r="T373" t="s">
        <v>50</v>
      </c>
      <c r="U373" t="s">
        <v>31</v>
      </c>
      <c r="V373" t="s">
        <v>39</v>
      </c>
      <c r="W373">
        <v>1</v>
      </c>
      <c r="X373">
        <v>1</v>
      </c>
      <c r="Y373" s="2">
        <f>Table1[[#This Row],[premium_yearly]]*Table1[[#This Row],[tenure_years]]</f>
        <v>584.70000000000005</v>
      </c>
      <c r="Z373" s="2">
        <f>Table1[[#This Row],[total_collected_premiums]]*(1-$AD$2)</f>
        <v>426.83100000000002</v>
      </c>
      <c r="AA373" s="2">
        <f>Table1[[#This Row],[retained_premium]]-Table1[[#This Row],[claim_amount_paid]]</f>
        <v>-2573.1689999999999</v>
      </c>
    </row>
    <row r="374" spans="1:27" x14ac:dyDescent="0.35">
      <c r="A374" t="s">
        <v>1161</v>
      </c>
      <c r="B374" t="s">
        <v>1162</v>
      </c>
      <c r="C374" t="s">
        <v>1163</v>
      </c>
      <c r="D374" s="1">
        <v>41772</v>
      </c>
      <c r="E374" s="1">
        <v>44063</v>
      </c>
      <c r="F374" s="1">
        <v>44068</v>
      </c>
      <c r="G374">
        <v>5</v>
      </c>
      <c r="H374">
        <v>75.84</v>
      </c>
      <c r="I374">
        <v>910.08</v>
      </c>
      <c r="J374">
        <v>4000</v>
      </c>
      <c r="K374" t="s">
        <v>27</v>
      </c>
      <c r="L374">
        <v>4000</v>
      </c>
      <c r="M374">
        <v>4.17</v>
      </c>
      <c r="N374" t="s">
        <v>28</v>
      </c>
      <c r="O374">
        <v>50</v>
      </c>
      <c r="P374">
        <v>61</v>
      </c>
      <c r="Q374">
        <v>1</v>
      </c>
      <c r="R374">
        <v>7</v>
      </c>
      <c r="S374" t="s">
        <v>65</v>
      </c>
      <c r="T374" t="s">
        <v>30</v>
      </c>
      <c r="U374" t="s">
        <v>38</v>
      </c>
      <c r="V374" t="s">
        <v>32</v>
      </c>
      <c r="W374">
        <v>1</v>
      </c>
      <c r="X374">
        <v>1</v>
      </c>
      <c r="Y374" s="2">
        <f>Table1[[#This Row],[premium_yearly]]*Table1[[#This Row],[tenure_years]]</f>
        <v>3795.0336000000002</v>
      </c>
      <c r="Z374" s="2">
        <f>Table1[[#This Row],[total_collected_premiums]]*(1-$AD$2)</f>
        <v>2770.3745280000003</v>
      </c>
      <c r="AA374" s="2">
        <f>Table1[[#This Row],[retained_premium]]-Table1[[#This Row],[claim_amount_paid]]</f>
        <v>-1229.6254719999997</v>
      </c>
    </row>
    <row r="375" spans="1:27" x14ac:dyDescent="0.35">
      <c r="A375" t="s">
        <v>1164</v>
      </c>
      <c r="B375" t="s">
        <v>1165</v>
      </c>
      <c r="C375" t="s">
        <v>1166</v>
      </c>
      <c r="D375" s="1">
        <v>43446</v>
      </c>
      <c r="E375" s="1">
        <v>44076</v>
      </c>
      <c r="F375" s="1">
        <v>44076</v>
      </c>
      <c r="G375">
        <v>0</v>
      </c>
      <c r="H375">
        <v>123.61</v>
      </c>
      <c r="I375">
        <v>1483.32</v>
      </c>
      <c r="J375">
        <v>6000</v>
      </c>
      <c r="K375" t="s">
        <v>27</v>
      </c>
      <c r="L375">
        <v>6000</v>
      </c>
      <c r="M375">
        <v>4.25</v>
      </c>
      <c r="N375" t="s">
        <v>49</v>
      </c>
      <c r="O375">
        <v>51</v>
      </c>
      <c r="P375">
        <v>25</v>
      </c>
      <c r="Q375">
        <v>0</v>
      </c>
      <c r="R375">
        <v>4</v>
      </c>
      <c r="S375" t="s">
        <v>65</v>
      </c>
      <c r="T375" t="s">
        <v>50</v>
      </c>
      <c r="U375" t="s">
        <v>66</v>
      </c>
      <c r="V375" t="s">
        <v>39</v>
      </c>
      <c r="W375">
        <v>1</v>
      </c>
      <c r="X375">
        <v>0</v>
      </c>
      <c r="Y375" s="2">
        <f>Table1[[#This Row],[premium_yearly]]*Table1[[#This Row],[tenure_years]]</f>
        <v>6304.11</v>
      </c>
      <c r="Z375" s="2">
        <f>Table1[[#This Row],[total_collected_premiums]]*(1-$AD$2)</f>
        <v>4602.0002999999997</v>
      </c>
      <c r="AA375" s="2">
        <f>Table1[[#This Row],[retained_premium]]-Table1[[#This Row],[claim_amount_paid]]</f>
        <v>-1397.9997000000003</v>
      </c>
    </row>
    <row r="376" spans="1:27" x14ac:dyDescent="0.35">
      <c r="A376" t="s">
        <v>1167</v>
      </c>
      <c r="B376" t="s">
        <v>1168</v>
      </c>
      <c r="C376" t="s">
        <v>1169</v>
      </c>
      <c r="D376" s="1">
        <v>40402</v>
      </c>
      <c r="E376" s="1">
        <v>44072</v>
      </c>
      <c r="F376" s="1">
        <v>44074</v>
      </c>
      <c r="G376">
        <v>2</v>
      </c>
      <c r="H376">
        <v>121.58</v>
      </c>
      <c r="I376">
        <v>1458.96</v>
      </c>
      <c r="J376">
        <v>4000</v>
      </c>
      <c r="K376" t="s">
        <v>27</v>
      </c>
      <c r="L376">
        <v>4000</v>
      </c>
      <c r="M376">
        <v>0.57999999999999996</v>
      </c>
      <c r="N376" t="s">
        <v>28</v>
      </c>
      <c r="O376">
        <v>7</v>
      </c>
      <c r="P376">
        <v>48</v>
      </c>
      <c r="Q376">
        <v>1</v>
      </c>
      <c r="R376">
        <v>7</v>
      </c>
      <c r="S376" t="s">
        <v>29</v>
      </c>
      <c r="T376" t="s">
        <v>44</v>
      </c>
      <c r="U376" t="s">
        <v>38</v>
      </c>
      <c r="V376" t="s">
        <v>32</v>
      </c>
      <c r="W376">
        <v>0</v>
      </c>
      <c r="X376">
        <v>1</v>
      </c>
      <c r="Y376" s="2">
        <f>Table1[[#This Row],[premium_yearly]]*Table1[[#This Row],[tenure_years]]</f>
        <v>846.19679999999994</v>
      </c>
      <c r="Z376" s="2">
        <f>Table1[[#This Row],[total_collected_premiums]]*(1-$AD$2)</f>
        <v>617.72366399999999</v>
      </c>
      <c r="AA376" s="2">
        <f>Table1[[#This Row],[retained_premium]]-Table1[[#This Row],[claim_amount_paid]]</f>
        <v>-3382.2763359999999</v>
      </c>
    </row>
    <row r="377" spans="1:27" x14ac:dyDescent="0.35">
      <c r="A377" t="s">
        <v>1170</v>
      </c>
      <c r="B377" t="s">
        <v>1171</v>
      </c>
      <c r="C377" t="s">
        <v>1172</v>
      </c>
      <c r="D377" s="1">
        <v>41692</v>
      </c>
      <c r="E377" s="1">
        <v>44070</v>
      </c>
      <c r="F377" s="1">
        <v>44073</v>
      </c>
      <c r="G377">
        <v>3</v>
      </c>
      <c r="H377">
        <v>124.28</v>
      </c>
      <c r="I377">
        <v>1491.36</v>
      </c>
      <c r="J377">
        <v>5000</v>
      </c>
      <c r="K377" t="s">
        <v>27</v>
      </c>
      <c r="L377">
        <v>5000</v>
      </c>
      <c r="M377">
        <v>8.17</v>
      </c>
      <c r="N377" t="s">
        <v>28</v>
      </c>
      <c r="O377">
        <v>98</v>
      </c>
      <c r="P377">
        <v>32</v>
      </c>
      <c r="Q377">
        <v>1</v>
      </c>
      <c r="R377">
        <v>5</v>
      </c>
      <c r="S377" t="s">
        <v>65</v>
      </c>
      <c r="T377" t="s">
        <v>44</v>
      </c>
      <c r="U377" t="s">
        <v>38</v>
      </c>
      <c r="V377" t="s">
        <v>32</v>
      </c>
      <c r="W377">
        <v>0</v>
      </c>
      <c r="X377">
        <v>0</v>
      </c>
      <c r="Y377" s="2">
        <f>Table1[[#This Row],[premium_yearly]]*Table1[[#This Row],[tenure_years]]</f>
        <v>12184.411199999999</v>
      </c>
      <c r="Z377" s="2">
        <f>Table1[[#This Row],[total_collected_premiums]]*(1-$AD$2)</f>
        <v>8894.6201759999985</v>
      </c>
      <c r="AA377" s="2">
        <f>Table1[[#This Row],[retained_premium]]-Table1[[#This Row],[claim_amount_paid]]</f>
        <v>3894.6201759999985</v>
      </c>
    </row>
    <row r="378" spans="1:27" x14ac:dyDescent="0.35">
      <c r="A378" t="s">
        <v>1173</v>
      </c>
      <c r="B378" t="s">
        <v>1174</v>
      </c>
      <c r="C378" t="s">
        <v>1175</v>
      </c>
      <c r="D378" s="1">
        <v>41122</v>
      </c>
      <c r="E378" s="1">
        <v>44064</v>
      </c>
      <c r="F378" s="1">
        <v>44069</v>
      </c>
      <c r="G378">
        <v>5</v>
      </c>
      <c r="H378">
        <v>120.32</v>
      </c>
      <c r="I378">
        <v>1443.84</v>
      </c>
      <c r="J378">
        <v>6000</v>
      </c>
      <c r="K378" t="s">
        <v>27</v>
      </c>
      <c r="L378">
        <v>6000</v>
      </c>
      <c r="M378">
        <v>0.67</v>
      </c>
      <c r="N378" t="s">
        <v>36</v>
      </c>
      <c r="O378">
        <v>8</v>
      </c>
      <c r="P378">
        <v>58</v>
      </c>
      <c r="Q378">
        <v>1</v>
      </c>
      <c r="R378">
        <v>7</v>
      </c>
      <c r="S378" t="s">
        <v>37</v>
      </c>
      <c r="T378" t="s">
        <v>30</v>
      </c>
      <c r="U378" t="s">
        <v>38</v>
      </c>
      <c r="V378" t="s">
        <v>39</v>
      </c>
      <c r="W378">
        <v>1</v>
      </c>
      <c r="X378">
        <v>1</v>
      </c>
      <c r="Y378" s="2">
        <f>Table1[[#This Row],[premium_yearly]]*Table1[[#This Row],[tenure_years]]</f>
        <v>967.37279999999998</v>
      </c>
      <c r="Z378" s="2">
        <f>Table1[[#This Row],[total_collected_premiums]]*(1-$AD$2)</f>
        <v>706.18214399999999</v>
      </c>
      <c r="AA378" s="2">
        <f>Table1[[#This Row],[retained_premium]]-Table1[[#This Row],[claim_amount_paid]]</f>
        <v>-5293.8178559999997</v>
      </c>
    </row>
    <row r="379" spans="1:27" x14ac:dyDescent="0.35">
      <c r="A379" t="s">
        <v>1176</v>
      </c>
      <c r="B379" t="s">
        <v>1177</v>
      </c>
      <c r="C379" t="s">
        <v>1178</v>
      </c>
      <c r="D379" s="1">
        <v>42551</v>
      </c>
      <c r="E379" s="1">
        <v>44076</v>
      </c>
      <c r="F379" s="1">
        <v>44076</v>
      </c>
      <c r="G379">
        <v>0</v>
      </c>
      <c r="H379">
        <v>89.66</v>
      </c>
      <c r="I379">
        <v>1075.92</v>
      </c>
      <c r="J379">
        <v>2000</v>
      </c>
      <c r="K379" t="s">
        <v>27</v>
      </c>
      <c r="L379">
        <v>2000</v>
      </c>
      <c r="M379">
        <v>8.42</v>
      </c>
      <c r="N379" t="s">
        <v>49</v>
      </c>
      <c r="O379">
        <v>101</v>
      </c>
      <c r="P379">
        <v>43</v>
      </c>
      <c r="Q379">
        <v>1</v>
      </c>
      <c r="R379">
        <v>3</v>
      </c>
      <c r="S379" t="s">
        <v>65</v>
      </c>
      <c r="T379" t="s">
        <v>44</v>
      </c>
      <c r="U379" t="s">
        <v>31</v>
      </c>
      <c r="V379" t="s">
        <v>32</v>
      </c>
      <c r="W379">
        <v>1</v>
      </c>
      <c r="X379">
        <v>1</v>
      </c>
      <c r="Y379" s="2">
        <f>Table1[[#This Row],[premium_yearly]]*Table1[[#This Row],[tenure_years]]</f>
        <v>9059.2464</v>
      </c>
      <c r="Z379" s="2">
        <f>Table1[[#This Row],[total_collected_premiums]]*(1-$AD$2)</f>
        <v>6613.2498719999994</v>
      </c>
      <c r="AA379" s="2">
        <f>Table1[[#This Row],[retained_premium]]-Table1[[#This Row],[claim_amount_paid]]</f>
        <v>4613.2498719999994</v>
      </c>
    </row>
    <row r="380" spans="1:27" x14ac:dyDescent="0.35">
      <c r="A380" t="s">
        <v>1179</v>
      </c>
      <c r="B380" t="s">
        <v>1180</v>
      </c>
      <c r="C380" t="s">
        <v>1181</v>
      </c>
      <c r="D380" s="1">
        <v>42492</v>
      </c>
      <c r="E380" s="1">
        <v>44077</v>
      </c>
      <c r="F380" s="1">
        <v>44077</v>
      </c>
      <c r="G380">
        <v>0</v>
      </c>
      <c r="H380">
        <v>117.8</v>
      </c>
      <c r="I380">
        <v>1413.6</v>
      </c>
      <c r="J380">
        <v>4000</v>
      </c>
      <c r="K380" t="s">
        <v>27</v>
      </c>
      <c r="L380">
        <v>4000</v>
      </c>
      <c r="M380">
        <v>2.25</v>
      </c>
      <c r="N380" t="s">
        <v>36</v>
      </c>
      <c r="O380">
        <v>27</v>
      </c>
      <c r="P380">
        <v>58</v>
      </c>
      <c r="Q380">
        <v>0</v>
      </c>
      <c r="R380">
        <v>4</v>
      </c>
      <c r="S380" t="s">
        <v>29</v>
      </c>
      <c r="T380" t="s">
        <v>30</v>
      </c>
      <c r="U380" t="s">
        <v>31</v>
      </c>
      <c r="V380" t="s">
        <v>45</v>
      </c>
      <c r="W380">
        <v>1</v>
      </c>
      <c r="X380">
        <v>1</v>
      </c>
      <c r="Y380" s="2">
        <f>Table1[[#This Row],[premium_yearly]]*Table1[[#This Row],[tenure_years]]</f>
        <v>3180.6</v>
      </c>
      <c r="Z380" s="2">
        <f>Table1[[#This Row],[total_collected_premiums]]*(1-$AD$2)</f>
        <v>2321.8379999999997</v>
      </c>
      <c r="AA380" s="2">
        <f>Table1[[#This Row],[retained_premium]]-Table1[[#This Row],[claim_amount_paid]]</f>
        <v>-1678.1620000000003</v>
      </c>
    </row>
    <row r="381" spans="1:27" x14ac:dyDescent="0.35">
      <c r="A381" t="s">
        <v>1182</v>
      </c>
      <c r="B381" t="s">
        <v>1183</v>
      </c>
      <c r="C381" t="s">
        <v>1184</v>
      </c>
      <c r="D381" s="1">
        <v>41381</v>
      </c>
      <c r="E381" s="1">
        <v>44078</v>
      </c>
      <c r="F381" s="1">
        <v>44078</v>
      </c>
      <c r="G381">
        <v>0</v>
      </c>
      <c r="H381">
        <v>97.26</v>
      </c>
      <c r="I381">
        <v>1167.1199999999999</v>
      </c>
      <c r="J381">
        <v>10000</v>
      </c>
      <c r="K381" t="s">
        <v>27</v>
      </c>
      <c r="L381">
        <v>10000</v>
      </c>
      <c r="M381">
        <v>3.58</v>
      </c>
      <c r="N381" t="s">
        <v>36</v>
      </c>
      <c r="O381">
        <v>43</v>
      </c>
      <c r="P381">
        <v>26</v>
      </c>
      <c r="Q381">
        <v>1</v>
      </c>
      <c r="R381">
        <v>2</v>
      </c>
      <c r="S381" t="s">
        <v>65</v>
      </c>
      <c r="T381" t="s">
        <v>30</v>
      </c>
      <c r="U381" t="s">
        <v>31</v>
      </c>
      <c r="V381" t="s">
        <v>45</v>
      </c>
      <c r="W381">
        <v>1</v>
      </c>
      <c r="X381">
        <v>1</v>
      </c>
      <c r="Y381" s="2">
        <f>Table1[[#This Row],[premium_yearly]]*Table1[[#This Row],[tenure_years]]</f>
        <v>4178.2896000000001</v>
      </c>
      <c r="Z381" s="2">
        <f>Table1[[#This Row],[total_collected_premiums]]*(1-$AD$2)</f>
        <v>3050.1514080000002</v>
      </c>
      <c r="AA381" s="2">
        <f>Table1[[#This Row],[retained_premium]]-Table1[[#This Row],[claim_amount_paid]]</f>
        <v>-6949.8485920000003</v>
      </c>
    </row>
    <row r="382" spans="1:27" x14ac:dyDescent="0.35">
      <c r="A382" t="s">
        <v>1185</v>
      </c>
      <c r="B382" t="s">
        <v>1186</v>
      </c>
      <c r="C382" t="s">
        <v>1187</v>
      </c>
      <c r="D382" s="1">
        <v>40618</v>
      </c>
      <c r="E382" s="1">
        <v>44068</v>
      </c>
      <c r="F382" s="1">
        <v>44073</v>
      </c>
      <c r="G382">
        <v>5</v>
      </c>
      <c r="H382">
        <v>85.97</v>
      </c>
      <c r="I382">
        <v>1031.6400000000001</v>
      </c>
      <c r="J382">
        <v>4000</v>
      </c>
      <c r="K382" t="s">
        <v>43</v>
      </c>
      <c r="L382">
        <v>0</v>
      </c>
      <c r="M382">
        <v>9.42</v>
      </c>
      <c r="N382" t="s">
        <v>28</v>
      </c>
      <c r="O382">
        <v>113</v>
      </c>
      <c r="P382">
        <v>50</v>
      </c>
      <c r="Q382">
        <v>1</v>
      </c>
      <c r="R382">
        <v>4</v>
      </c>
      <c r="S382" t="s">
        <v>65</v>
      </c>
      <c r="T382" t="s">
        <v>50</v>
      </c>
      <c r="U382" t="s">
        <v>107</v>
      </c>
      <c r="V382" t="s">
        <v>39</v>
      </c>
      <c r="W382">
        <v>1</v>
      </c>
      <c r="X382">
        <v>1</v>
      </c>
      <c r="Y382" s="2">
        <f>Table1[[#This Row],[premium_yearly]]*Table1[[#This Row],[tenure_years]]</f>
        <v>9718.0488000000005</v>
      </c>
      <c r="Z382" s="2">
        <f>Table1[[#This Row],[total_collected_premiums]]*(1-$AD$2)</f>
        <v>7094.1756240000004</v>
      </c>
      <c r="AA382" s="2">
        <f>Table1[[#This Row],[retained_premium]]-Table1[[#This Row],[claim_amount_paid]]</f>
        <v>7094.1756240000004</v>
      </c>
    </row>
    <row r="383" spans="1:27" x14ac:dyDescent="0.35">
      <c r="A383" t="s">
        <v>1188</v>
      </c>
      <c r="B383" t="s">
        <v>1189</v>
      </c>
      <c r="C383" t="s">
        <v>1190</v>
      </c>
      <c r="D383" s="1">
        <v>40884</v>
      </c>
      <c r="E383" s="1">
        <v>44060</v>
      </c>
      <c r="F383" s="1">
        <v>44065</v>
      </c>
      <c r="G383">
        <v>5</v>
      </c>
      <c r="H383">
        <v>138.43</v>
      </c>
      <c r="I383">
        <v>1661.16</v>
      </c>
      <c r="J383">
        <v>5000</v>
      </c>
      <c r="K383" t="s">
        <v>27</v>
      </c>
      <c r="L383">
        <v>5000</v>
      </c>
      <c r="M383">
        <v>5.67</v>
      </c>
      <c r="N383" t="s">
        <v>49</v>
      </c>
      <c r="O383">
        <v>68</v>
      </c>
      <c r="P383">
        <v>31</v>
      </c>
      <c r="Q383">
        <v>1</v>
      </c>
      <c r="R383">
        <v>6</v>
      </c>
      <c r="S383" t="s">
        <v>65</v>
      </c>
      <c r="T383" t="s">
        <v>44</v>
      </c>
      <c r="U383" t="s">
        <v>38</v>
      </c>
      <c r="V383" t="s">
        <v>39</v>
      </c>
      <c r="W383">
        <v>1</v>
      </c>
      <c r="X383">
        <v>0</v>
      </c>
      <c r="Y383" s="2">
        <f>Table1[[#This Row],[premium_yearly]]*Table1[[#This Row],[tenure_years]]</f>
        <v>9418.7772000000004</v>
      </c>
      <c r="Z383" s="2">
        <f>Table1[[#This Row],[total_collected_premiums]]*(1-$AD$2)</f>
        <v>6875.7073559999999</v>
      </c>
      <c r="AA383" s="2">
        <f>Table1[[#This Row],[retained_premium]]-Table1[[#This Row],[claim_amount_paid]]</f>
        <v>1875.7073559999999</v>
      </c>
    </row>
    <row r="384" spans="1:27" x14ac:dyDescent="0.35">
      <c r="A384" t="s">
        <v>1191</v>
      </c>
      <c r="B384" t="s">
        <v>1192</v>
      </c>
      <c r="C384" t="s">
        <v>1193</v>
      </c>
      <c r="D384" s="1">
        <v>42980</v>
      </c>
      <c r="E384" s="1">
        <v>44064</v>
      </c>
      <c r="F384" s="1">
        <v>44069</v>
      </c>
      <c r="G384">
        <v>5</v>
      </c>
      <c r="H384">
        <v>101.27</v>
      </c>
      <c r="I384">
        <v>1215.24</v>
      </c>
      <c r="J384">
        <v>10000</v>
      </c>
      <c r="K384" t="s">
        <v>27</v>
      </c>
      <c r="L384">
        <v>10000</v>
      </c>
      <c r="M384">
        <v>7.33</v>
      </c>
      <c r="N384" t="s">
        <v>28</v>
      </c>
      <c r="O384">
        <v>88</v>
      </c>
      <c r="P384">
        <v>50</v>
      </c>
      <c r="Q384">
        <v>1</v>
      </c>
      <c r="R384">
        <v>2</v>
      </c>
      <c r="S384" t="s">
        <v>29</v>
      </c>
      <c r="T384" t="s">
        <v>44</v>
      </c>
      <c r="U384" t="s">
        <v>31</v>
      </c>
      <c r="V384" t="s">
        <v>32</v>
      </c>
      <c r="W384">
        <v>1</v>
      </c>
      <c r="X384">
        <v>0</v>
      </c>
      <c r="Y384" s="2">
        <f>Table1[[#This Row],[premium_yearly]]*Table1[[#This Row],[tenure_years]]</f>
        <v>8907.7091999999993</v>
      </c>
      <c r="Z384" s="2">
        <f>Table1[[#This Row],[total_collected_premiums]]*(1-$AD$2)</f>
        <v>6502.6277159999991</v>
      </c>
      <c r="AA384" s="2">
        <f>Table1[[#This Row],[retained_premium]]-Table1[[#This Row],[claim_amount_paid]]</f>
        <v>-3497.3722840000009</v>
      </c>
    </row>
    <row r="385" spans="1:27" x14ac:dyDescent="0.35">
      <c r="A385" t="s">
        <v>1194</v>
      </c>
      <c r="B385" t="s">
        <v>1195</v>
      </c>
      <c r="C385" t="s">
        <v>1196</v>
      </c>
      <c r="D385" s="1">
        <v>40769</v>
      </c>
      <c r="E385" s="1">
        <v>44075</v>
      </c>
      <c r="F385" s="1">
        <v>44076</v>
      </c>
      <c r="G385">
        <v>1</v>
      </c>
      <c r="H385">
        <v>113.72</v>
      </c>
      <c r="I385">
        <v>1364.64</v>
      </c>
      <c r="J385">
        <v>10000</v>
      </c>
      <c r="K385" t="s">
        <v>27</v>
      </c>
      <c r="L385">
        <v>10000</v>
      </c>
      <c r="M385">
        <v>6.58</v>
      </c>
      <c r="N385" t="s">
        <v>36</v>
      </c>
      <c r="O385">
        <v>79</v>
      </c>
      <c r="P385">
        <v>51</v>
      </c>
      <c r="Q385">
        <v>1</v>
      </c>
      <c r="R385">
        <v>4</v>
      </c>
      <c r="S385" t="s">
        <v>65</v>
      </c>
      <c r="T385" t="s">
        <v>44</v>
      </c>
      <c r="U385" t="s">
        <v>38</v>
      </c>
      <c r="V385" t="s">
        <v>45</v>
      </c>
      <c r="W385">
        <v>1</v>
      </c>
      <c r="X385">
        <v>0</v>
      </c>
      <c r="Y385" s="2">
        <f>Table1[[#This Row],[premium_yearly]]*Table1[[#This Row],[tenure_years]]</f>
        <v>8979.3312000000005</v>
      </c>
      <c r="Z385" s="2">
        <f>Table1[[#This Row],[total_collected_premiums]]*(1-$AD$2)</f>
        <v>6554.9117759999999</v>
      </c>
      <c r="AA385" s="2">
        <f>Table1[[#This Row],[retained_premium]]-Table1[[#This Row],[claim_amount_paid]]</f>
        <v>-3445.0882240000001</v>
      </c>
    </row>
    <row r="386" spans="1:27" x14ac:dyDescent="0.35">
      <c r="A386" t="s">
        <v>1197</v>
      </c>
      <c r="B386" t="s">
        <v>1198</v>
      </c>
      <c r="C386" t="s">
        <v>1199</v>
      </c>
      <c r="D386" s="1">
        <v>42998</v>
      </c>
      <c r="E386" s="1">
        <v>44077</v>
      </c>
      <c r="F386" s="1">
        <v>44077</v>
      </c>
      <c r="G386">
        <v>0</v>
      </c>
      <c r="H386">
        <v>73.48</v>
      </c>
      <c r="I386">
        <v>881.76</v>
      </c>
      <c r="J386">
        <v>4000</v>
      </c>
      <c r="K386" t="s">
        <v>27</v>
      </c>
      <c r="L386">
        <v>4000</v>
      </c>
      <c r="M386">
        <v>9.33</v>
      </c>
      <c r="N386" t="s">
        <v>49</v>
      </c>
      <c r="O386">
        <v>112</v>
      </c>
      <c r="P386">
        <v>31</v>
      </c>
      <c r="Q386">
        <v>1</v>
      </c>
      <c r="R386">
        <v>6</v>
      </c>
      <c r="S386" t="s">
        <v>65</v>
      </c>
      <c r="T386" t="s">
        <v>30</v>
      </c>
      <c r="U386" t="s">
        <v>38</v>
      </c>
      <c r="V386" t="s">
        <v>45</v>
      </c>
      <c r="W386">
        <v>0</v>
      </c>
      <c r="X386">
        <v>1</v>
      </c>
      <c r="Y386" s="2">
        <f>Table1[[#This Row],[premium_yearly]]*Table1[[#This Row],[tenure_years]]</f>
        <v>8226.8207999999995</v>
      </c>
      <c r="Z386" s="2">
        <f>Table1[[#This Row],[total_collected_premiums]]*(1-$AD$2)</f>
        <v>6005.5791839999993</v>
      </c>
      <c r="AA386" s="2">
        <f>Table1[[#This Row],[retained_premium]]-Table1[[#This Row],[claim_amount_paid]]</f>
        <v>2005.5791839999993</v>
      </c>
    </row>
    <row r="387" spans="1:27" x14ac:dyDescent="0.35">
      <c r="A387" t="s">
        <v>1200</v>
      </c>
      <c r="B387" t="s">
        <v>1201</v>
      </c>
      <c r="C387" t="s">
        <v>1202</v>
      </c>
      <c r="D387" s="1">
        <v>41215</v>
      </c>
      <c r="E387" s="1">
        <v>44073</v>
      </c>
      <c r="F387" s="1">
        <v>44075</v>
      </c>
      <c r="G387">
        <v>2</v>
      </c>
      <c r="H387">
        <v>104.33</v>
      </c>
      <c r="I387">
        <v>1251.96</v>
      </c>
      <c r="J387">
        <v>6000</v>
      </c>
      <c r="K387" t="s">
        <v>27</v>
      </c>
      <c r="L387">
        <v>6000</v>
      </c>
      <c r="M387">
        <v>6.5</v>
      </c>
      <c r="N387" t="s">
        <v>49</v>
      </c>
      <c r="O387">
        <v>78</v>
      </c>
      <c r="P387">
        <v>44</v>
      </c>
      <c r="Q387">
        <v>0</v>
      </c>
      <c r="R387">
        <v>2</v>
      </c>
      <c r="S387" t="s">
        <v>65</v>
      </c>
      <c r="T387" t="s">
        <v>44</v>
      </c>
      <c r="U387" t="s">
        <v>38</v>
      </c>
      <c r="V387" t="s">
        <v>32</v>
      </c>
      <c r="W387">
        <v>0</v>
      </c>
      <c r="X387">
        <v>1</v>
      </c>
      <c r="Y387" s="2">
        <f>Table1[[#This Row],[premium_yearly]]*Table1[[#This Row],[tenure_years]]</f>
        <v>8137.74</v>
      </c>
      <c r="Z387" s="2">
        <f>Table1[[#This Row],[total_collected_premiums]]*(1-$AD$2)</f>
        <v>5940.5501999999997</v>
      </c>
      <c r="AA387" s="2">
        <f>Table1[[#This Row],[retained_premium]]-Table1[[#This Row],[claim_amount_paid]]</f>
        <v>-59.449800000000323</v>
      </c>
    </row>
    <row r="388" spans="1:27" x14ac:dyDescent="0.35">
      <c r="A388" t="s">
        <v>1203</v>
      </c>
      <c r="B388" t="s">
        <v>1204</v>
      </c>
      <c r="C388" t="s">
        <v>1205</v>
      </c>
      <c r="D388" s="1">
        <v>41310</v>
      </c>
      <c r="E388" s="1">
        <v>44079</v>
      </c>
      <c r="F388" s="1">
        <v>44079</v>
      </c>
      <c r="G388">
        <v>0</v>
      </c>
      <c r="H388">
        <v>129.01</v>
      </c>
      <c r="I388">
        <v>1548.12</v>
      </c>
      <c r="J388">
        <v>10000</v>
      </c>
      <c r="K388" t="s">
        <v>43</v>
      </c>
      <c r="L388">
        <v>0</v>
      </c>
      <c r="M388">
        <v>4.17</v>
      </c>
      <c r="N388" t="s">
        <v>28</v>
      </c>
      <c r="O388">
        <v>50</v>
      </c>
      <c r="P388">
        <v>27</v>
      </c>
      <c r="Q388">
        <v>1</v>
      </c>
      <c r="R388">
        <v>5</v>
      </c>
      <c r="S388" t="s">
        <v>65</v>
      </c>
      <c r="T388" t="s">
        <v>30</v>
      </c>
      <c r="U388" t="s">
        <v>31</v>
      </c>
      <c r="V388" t="s">
        <v>45</v>
      </c>
      <c r="W388">
        <v>0</v>
      </c>
      <c r="X388">
        <v>1</v>
      </c>
      <c r="Y388" s="2">
        <f>Table1[[#This Row],[premium_yearly]]*Table1[[#This Row],[tenure_years]]</f>
        <v>6455.6603999999998</v>
      </c>
      <c r="Z388" s="2">
        <f>Table1[[#This Row],[total_collected_premiums]]*(1-$AD$2)</f>
        <v>4712.6320919999998</v>
      </c>
      <c r="AA388" s="2">
        <f>Table1[[#This Row],[retained_premium]]-Table1[[#This Row],[claim_amount_paid]]</f>
        <v>4712.6320919999998</v>
      </c>
    </row>
    <row r="389" spans="1:27" x14ac:dyDescent="0.35">
      <c r="A389" t="s">
        <v>1206</v>
      </c>
      <c r="B389" t="s">
        <v>1207</v>
      </c>
      <c r="C389" t="s">
        <v>1208</v>
      </c>
      <c r="D389" s="1">
        <v>43065</v>
      </c>
      <c r="E389" s="1">
        <v>44072</v>
      </c>
      <c r="F389" s="1">
        <v>44075</v>
      </c>
      <c r="G389">
        <v>3</v>
      </c>
      <c r="H389">
        <v>121.21</v>
      </c>
      <c r="I389">
        <v>1454.52</v>
      </c>
      <c r="J389">
        <v>1000</v>
      </c>
      <c r="K389" t="s">
        <v>27</v>
      </c>
      <c r="L389">
        <v>1000</v>
      </c>
      <c r="M389">
        <v>7.17</v>
      </c>
      <c r="N389" t="s">
        <v>28</v>
      </c>
      <c r="O389">
        <v>86</v>
      </c>
      <c r="P389">
        <v>56</v>
      </c>
      <c r="Q389">
        <v>1</v>
      </c>
      <c r="R389">
        <v>7</v>
      </c>
      <c r="S389" t="s">
        <v>29</v>
      </c>
      <c r="T389" t="s">
        <v>30</v>
      </c>
      <c r="U389" t="s">
        <v>31</v>
      </c>
      <c r="V389" t="s">
        <v>45</v>
      </c>
      <c r="W389">
        <v>1</v>
      </c>
      <c r="X389">
        <v>1</v>
      </c>
      <c r="Y389" s="2">
        <f>Table1[[#This Row],[premium_yearly]]*Table1[[#This Row],[tenure_years]]</f>
        <v>10428.9084</v>
      </c>
      <c r="Z389" s="2">
        <f>Table1[[#This Row],[total_collected_premiums]]*(1-$AD$2)</f>
        <v>7613.1031320000002</v>
      </c>
      <c r="AA389" s="2">
        <f>Table1[[#This Row],[retained_premium]]-Table1[[#This Row],[claim_amount_paid]]</f>
        <v>6613.1031320000002</v>
      </c>
    </row>
    <row r="390" spans="1:27" x14ac:dyDescent="0.35">
      <c r="A390" t="s">
        <v>1209</v>
      </c>
      <c r="B390" t="s">
        <v>1210</v>
      </c>
      <c r="C390" t="s">
        <v>1211</v>
      </c>
      <c r="D390" s="1">
        <v>41044</v>
      </c>
      <c r="E390" s="1">
        <v>44072</v>
      </c>
      <c r="F390" s="1">
        <v>44075</v>
      </c>
      <c r="G390">
        <v>3</v>
      </c>
      <c r="H390">
        <v>85.03</v>
      </c>
      <c r="I390">
        <v>1020.36</v>
      </c>
      <c r="J390">
        <v>1000</v>
      </c>
      <c r="K390" t="s">
        <v>27</v>
      </c>
      <c r="L390">
        <v>1000</v>
      </c>
      <c r="M390">
        <v>2.83</v>
      </c>
      <c r="N390" t="s">
        <v>28</v>
      </c>
      <c r="O390">
        <v>34</v>
      </c>
      <c r="P390">
        <v>51</v>
      </c>
      <c r="Q390">
        <v>1</v>
      </c>
      <c r="R390">
        <v>5</v>
      </c>
      <c r="S390" t="s">
        <v>65</v>
      </c>
      <c r="T390" t="s">
        <v>50</v>
      </c>
      <c r="U390" t="s">
        <v>66</v>
      </c>
      <c r="V390" t="s">
        <v>32</v>
      </c>
      <c r="W390">
        <v>1</v>
      </c>
      <c r="X390">
        <v>0</v>
      </c>
      <c r="Y390" s="2">
        <f>Table1[[#This Row],[premium_yearly]]*Table1[[#This Row],[tenure_years]]</f>
        <v>2887.6188000000002</v>
      </c>
      <c r="Z390" s="2">
        <f>Table1[[#This Row],[total_collected_premiums]]*(1-$AD$2)</f>
        <v>2107.9617240000002</v>
      </c>
      <c r="AA390" s="2">
        <f>Table1[[#This Row],[retained_premium]]-Table1[[#This Row],[claim_amount_paid]]</f>
        <v>1107.9617240000002</v>
      </c>
    </row>
    <row r="391" spans="1:27" x14ac:dyDescent="0.35">
      <c r="A391" t="s">
        <v>1212</v>
      </c>
      <c r="B391" t="s">
        <v>1213</v>
      </c>
      <c r="C391" t="s">
        <v>1214</v>
      </c>
      <c r="D391" s="1">
        <v>41736</v>
      </c>
      <c r="E391" s="1">
        <v>44080</v>
      </c>
      <c r="F391" s="1">
        <v>44080</v>
      </c>
      <c r="G391">
        <v>0</v>
      </c>
      <c r="H391">
        <v>133.22</v>
      </c>
      <c r="I391">
        <v>1598.64</v>
      </c>
      <c r="J391">
        <v>8000</v>
      </c>
      <c r="K391" t="s">
        <v>27</v>
      </c>
      <c r="L391">
        <v>8000</v>
      </c>
      <c r="M391">
        <v>4.5</v>
      </c>
      <c r="N391" t="s">
        <v>36</v>
      </c>
      <c r="O391">
        <v>54</v>
      </c>
      <c r="P391">
        <v>30</v>
      </c>
      <c r="Q391">
        <v>1</v>
      </c>
      <c r="R391">
        <v>4</v>
      </c>
      <c r="S391" t="s">
        <v>65</v>
      </c>
      <c r="T391" t="s">
        <v>30</v>
      </c>
      <c r="U391" t="s">
        <v>38</v>
      </c>
      <c r="V391" t="s">
        <v>39</v>
      </c>
      <c r="W391">
        <v>1</v>
      </c>
      <c r="X391">
        <v>1</v>
      </c>
      <c r="Y391" s="2">
        <f>Table1[[#This Row],[premium_yearly]]*Table1[[#This Row],[tenure_years]]</f>
        <v>7193.88</v>
      </c>
      <c r="Z391" s="2">
        <f>Table1[[#This Row],[total_collected_premiums]]*(1-$AD$2)</f>
        <v>5251.5324000000001</v>
      </c>
      <c r="AA391" s="2">
        <f>Table1[[#This Row],[retained_premium]]-Table1[[#This Row],[claim_amount_paid]]</f>
        <v>-2748.4675999999999</v>
      </c>
    </row>
    <row r="392" spans="1:27" x14ac:dyDescent="0.35">
      <c r="A392" t="s">
        <v>1215</v>
      </c>
      <c r="B392" t="s">
        <v>1216</v>
      </c>
      <c r="C392" t="s">
        <v>1217</v>
      </c>
      <c r="D392" s="1">
        <v>40662</v>
      </c>
      <c r="E392" s="1">
        <v>44062</v>
      </c>
      <c r="F392" s="1">
        <v>44067</v>
      </c>
      <c r="G392">
        <v>5</v>
      </c>
      <c r="H392">
        <v>123.35</v>
      </c>
      <c r="I392">
        <v>1480.2</v>
      </c>
      <c r="J392">
        <v>9000</v>
      </c>
      <c r="K392" t="s">
        <v>27</v>
      </c>
      <c r="L392">
        <v>9000</v>
      </c>
      <c r="M392">
        <v>2.25</v>
      </c>
      <c r="N392" t="s">
        <v>28</v>
      </c>
      <c r="O392">
        <v>27</v>
      </c>
      <c r="P392">
        <v>35</v>
      </c>
      <c r="Q392">
        <v>1</v>
      </c>
      <c r="R392">
        <v>6</v>
      </c>
      <c r="S392" t="s">
        <v>29</v>
      </c>
      <c r="T392" t="s">
        <v>44</v>
      </c>
      <c r="U392" t="s">
        <v>31</v>
      </c>
      <c r="V392" t="s">
        <v>39</v>
      </c>
      <c r="W392">
        <v>1</v>
      </c>
      <c r="X392">
        <v>1</v>
      </c>
      <c r="Y392" s="2">
        <f>Table1[[#This Row],[premium_yearly]]*Table1[[#This Row],[tenure_years]]</f>
        <v>3330.4500000000003</v>
      </c>
      <c r="Z392" s="2">
        <f>Table1[[#This Row],[total_collected_premiums]]*(1-$AD$2)</f>
        <v>2431.2285000000002</v>
      </c>
      <c r="AA392" s="2">
        <f>Table1[[#This Row],[retained_premium]]-Table1[[#This Row],[claim_amount_paid]]</f>
        <v>-6568.7714999999998</v>
      </c>
    </row>
    <row r="393" spans="1:27" x14ac:dyDescent="0.35">
      <c r="A393" t="s">
        <v>1218</v>
      </c>
      <c r="B393" t="s">
        <v>1219</v>
      </c>
      <c r="C393" t="s">
        <v>1220</v>
      </c>
      <c r="D393" s="1">
        <v>42229</v>
      </c>
      <c r="E393" s="1">
        <v>44075</v>
      </c>
      <c r="F393" s="1">
        <v>44077</v>
      </c>
      <c r="G393">
        <v>2</v>
      </c>
      <c r="H393">
        <v>85</v>
      </c>
      <c r="I393">
        <v>1020</v>
      </c>
      <c r="J393">
        <v>6000</v>
      </c>
      <c r="K393" t="s">
        <v>27</v>
      </c>
      <c r="L393">
        <v>6000</v>
      </c>
      <c r="M393">
        <v>4.58</v>
      </c>
      <c r="N393" t="s">
        <v>36</v>
      </c>
      <c r="O393">
        <v>55</v>
      </c>
      <c r="P393">
        <v>27</v>
      </c>
      <c r="Q393">
        <v>0</v>
      </c>
      <c r="R393">
        <v>2</v>
      </c>
      <c r="S393" t="s">
        <v>65</v>
      </c>
      <c r="T393" t="s">
        <v>44</v>
      </c>
      <c r="U393" t="s">
        <v>38</v>
      </c>
      <c r="V393" t="s">
        <v>32</v>
      </c>
      <c r="W393">
        <v>1</v>
      </c>
      <c r="X393">
        <v>0</v>
      </c>
      <c r="Y393" s="2">
        <f>Table1[[#This Row],[premium_yearly]]*Table1[[#This Row],[tenure_years]]</f>
        <v>4671.6000000000004</v>
      </c>
      <c r="Z393" s="2">
        <f>Table1[[#This Row],[total_collected_premiums]]*(1-$AD$2)</f>
        <v>3410.268</v>
      </c>
      <c r="AA393" s="2">
        <f>Table1[[#This Row],[retained_premium]]-Table1[[#This Row],[claim_amount_paid]]</f>
        <v>-2589.732</v>
      </c>
    </row>
    <row r="394" spans="1:27" x14ac:dyDescent="0.35">
      <c r="A394" t="s">
        <v>1221</v>
      </c>
      <c r="B394" t="s">
        <v>1222</v>
      </c>
      <c r="C394" t="s">
        <v>1223</v>
      </c>
      <c r="D394" s="1">
        <v>42179</v>
      </c>
      <c r="E394" s="1">
        <v>44080</v>
      </c>
      <c r="F394" s="1">
        <v>44080</v>
      </c>
      <c r="G394">
        <v>0</v>
      </c>
      <c r="H394">
        <v>74.239999999999995</v>
      </c>
      <c r="I394">
        <v>890.88</v>
      </c>
      <c r="J394">
        <v>9000</v>
      </c>
      <c r="K394" t="s">
        <v>27</v>
      </c>
      <c r="L394">
        <v>9000</v>
      </c>
      <c r="M394">
        <v>8.25</v>
      </c>
      <c r="N394" t="s">
        <v>49</v>
      </c>
      <c r="O394">
        <v>99</v>
      </c>
      <c r="P394">
        <v>55</v>
      </c>
      <c r="Q394">
        <v>1</v>
      </c>
      <c r="R394">
        <v>7</v>
      </c>
      <c r="S394" t="s">
        <v>37</v>
      </c>
      <c r="T394" t="s">
        <v>44</v>
      </c>
      <c r="U394" t="s">
        <v>38</v>
      </c>
      <c r="V394" t="s">
        <v>32</v>
      </c>
      <c r="W394">
        <v>1</v>
      </c>
      <c r="X394">
        <v>1</v>
      </c>
      <c r="Y394" s="2">
        <f>Table1[[#This Row],[premium_yearly]]*Table1[[#This Row],[tenure_years]]</f>
        <v>7349.76</v>
      </c>
      <c r="Z394" s="2">
        <f>Table1[[#This Row],[total_collected_premiums]]*(1-$AD$2)</f>
        <v>5365.3248000000003</v>
      </c>
      <c r="AA394" s="2">
        <f>Table1[[#This Row],[retained_premium]]-Table1[[#This Row],[claim_amount_paid]]</f>
        <v>-3634.6751999999997</v>
      </c>
    </row>
    <row r="395" spans="1:27" x14ac:dyDescent="0.35">
      <c r="A395" t="s">
        <v>1224</v>
      </c>
      <c r="B395" t="s">
        <v>1225</v>
      </c>
      <c r="C395" t="s">
        <v>1226</v>
      </c>
      <c r="D395" s="1">
        <v>43806</v>
      </c>
      <c r="E395" s="1">
        <v>44071</v>
      </c>
      <c r="F395" s="1">
        <v>44076</v>
      </c>
      <c r="G395">
        <v>5</v>
      </c>
      <c r="H395">
        <v>99.59</v>
      </c>
      <c r="I395">
        <v>1195.08</v>
      </c>
      <c r="J395">
        <v>9000</v>
      </c>
      <c r="K395" t="s">
        <v>27</v>
      </c>
      <c r="L395">
        <v>9000</v>
      </c>
      <c r="M395">
        <v>8.25</v>
      </c>
      <c r="N395" t="s">
        <v>49</v>
      </c>
      <c r="O395">
        <v>99</v>
      </c>
      <c r="P395">
        <v>49</v>
      </c>
      <c r="Q395">
        <v>1</v>
      </c>
      <c r="R395">
        <v>6</v>
      </c>
      <c r="S395" t="s">
        <v>29</v>
      </c>
      <c r="T395" t="s">
        <v>44</v>
      </c>
      <c r="U395" t="s">
        <v>51</v>
      </c>
      <c r="V395" t="s">
        <v>32</v>
      </c>
      <c r="W395">
        <v>1</v>
      </c>
      <c r="X395">
        <v>0</v>
      </c>
      <c r="Y395" s="2">
        <f>Table1[[#This Row],[premium_yearly]]*Table1[[#This Row],[tenure_years]]</f>
        <v>9859.41</v>
      </c>
      <c r="Z395" s="2">
        <f>Table1[[#This Row],[total_collected_premiums]]*(1-$AD$2)</f>
        <v>7197.3692999999994</v>
      </c>
      <c r="AA395" s="2">
        <f>Table1[[#This Row],[retained_premium]]-Table1[[#This Row],[claim_amount_paid]]</f>
        <v>-1802.6307000000006</v>
      </c>
    </row>
    <row r="396" spans="1:27" x14ac:dyDescent="0.35">
      <c r="A396" t="s">
        <v>1227</v>
      </c>
      <c r="B396" t="s">
        <v>1228</v>
      </c>
      <c r="C396" t="s">
        <v>1229</v>
      </c>
      <c r="D396" s="1">
        <v>43752</v>
      </c>
      <c r="E396" s="1">
        <v>44080</v>
      </c>
      <c r="F396" s="1">
        <v>44081</v>
      </c>
      <c r="G396">
        <v>1</v>
      </c>
      <c r="H396">
        <v>90.67</v>
      </c>
      <c r="I396">
        <v>1088.04</v>
      </c>
      <c r="J396">
        <v>8000</v>
      </c>
      <c r="K396" t="s">
        <v>27</v>
      </c>
      <c r="L396">
        <v>8000</v>
      </c>
      <c r="M396">
        <v>7.42</v>
      </c>
      <c r="N396" t="s">
        <v>49</v>
      </c>
      <c r="O396">
        <v>89</v>
      </c>
      <c r="P396">
        <v>44</v>
      </c>
      <c r="Q396">
        <v>0</v>
      </c>
      <c r="R396">
        <v>5</v>
      </c>
      <c r="S396" t="s">
        <v>29</v>
      </c>
      <c r="T396" t="s">
        <v>50</v>
      </c>
      <c r="U396" t="s">
        <v>38</v>
      </c>
      <c r="V396" t="s">
        <v>39</v>
      </c>
      <c r="W396">
        <v>1</v>
      </c>
      <c r="X396">
        <v>1</v>
      </c>
      <c r="Y396" s="2">
        <f>Table1[[#This Row],[premium_yearly]]*Table1[[#This Row],[tenure_years]]</f>
        <v>8073.2567999999992</v>
      </c>
      <c r="Z396" s="2">
        <f>Table1[[#This Row],[total_collected_premiums]]*(1-$AD$2)</f>
        <v>5893.4774639999996</v>
      </c>
      <c r="AA396" s="2">
        <f>Table1[[#This Row],[retained_premium]]-Table1[[#This Row],[claim_amount_paid]]</f>
        <v>-2106.5225360000004</v>
      </c>
    </row>
    <row r="397" spans="1:27" x14ac:dyDescent="0.35">
      <c r="A397" t="s">
        <v>1230</v>
      </c>
      <c r="B397" t="s">
        <v>1231</v>
      </c>
      <c r="C397" t="s">
        <v>1232</v>
      </c>
      <c r="D397" s="1">
        <v>42336</v>
      </c>
      <c r="E397" s="1">
        <v>44067</v>
      </c>
      <c r="F397" s="1">
        <v>44072</v>
      </c>
      <c r="G397">
        <v>5</v>
      </c>
      <c r="H397">
        <v>124.81</v>
      </c>
      <c r="I397">
        <v>1497.72</v>
      </c>
      <c r="J397">
        <v>4000</v>
      </c>
      <c r="K397" t="s">
        <v>43</v>
      </c>
      <c r="L397">
        <v>0</v>
      </c>
      <c r="M397">
        <v>1.42</v>
      </c>
      <c r="N397" t="s">
        <v>36</v>
      </c>
      <c r="O397">
        <v>17</v>
      </c>
      <c r="P397">
        <v>44</v>
      </c>
      <c r="Q397">
        <v>0</v>
      </c>
      <c r="R397">
        <v>6</v>
      </c>
      <c r="S397" t="s">
        <v>29</v>
      </c>
      <c r="T397" t="s">
        <v>30</v>
      </c>
      <c r="U397" t="s">
        <v>58</v>
      </c>
      <c r="V397" t="s">
        <v>32</v>
      </c>
      <c r="W397">
        <v>0</v>
      </c>
      <c r="X397">
        <v>1</v>
      </c>
      <c r="Y397" s="2">
        <f>Table1[[#This Row],[premium_yearly]]*Table1[[#This Row],[tenure_years]]</f>
        <v>2126.7624000000001</v>
      </c>
      <c r="Z397" s="2">
        <f>Table1[[#This Row],[total_collected_premiums]]*(1-$AD$2)</f>
        <v>1552.536552</v>
      </c>
      <c r="AA397" s="2">
        <f>Table1[[#This Row],[retained_premium]]-Table1[[#This Row],[claim_amount_paid]]</f>
        <v>1552.536552</v>
      </c>
    </row>
    <row r="398" spans="1:27" x14ac:dyDescent="0.35">
      <c r="A398" t="s">
        <v>1233</v>
      </c>
      <c r="B398" t="s">
        <v>1234</v>
      </c>
      <c r="C398" t="s">
        <v>1235</v>
      </c>
      <c r="D398" s="1">
        <v>41745</v>
      </c>
      <c r="E398" s="1">
        <v>44067</v>
      </c>
      <c r="F398" s="1">
        <v>44072</v>
      </c>
      <c r="G398">
        <v>5</v>
      </c>
      <c r="H398">
        <v>111.94</v>
      </c>
      <c r="I398">
        <v>1343.28</v>
      </c>
      <c r="J398">
        <v>7000</v>
      </c>
      <c r="K398" t="s">
        <v>27</v>
      </c>
      <c r="L398">
        <v>7000</v>
      </c>
      <c r="M398">
        <v>1.58</v>
      </c>
      <c r="N398" t="s">
        <v>28</v>
      </c>
      <c r="O398">
        <v>19</v>
      </c>
      <c r="P398">
        <v>33</v>
      </c>
      <c r="Q398">
        <v>1</v>
      </c>
      <c r="R398">
        <v>3</v>
      </c>
      <c r="S398" t="s">
        <v>29</v>
      </c>
      <c r="T398" t="s">
        <v>30</v>
      </c>
      <c r="U398" t="s">
        <v>66</v>
      </c>
      <c r="V398" t="s">
        <v>39</v>
      </c>
      <c r="W398">
        <v>1</v>
      </c>
      <c r="X398">
        <v>1</v>
      </c>
      <c r="Y398" s="2">
        <f>Table1[[#This Row],[premium_yearly]]*Table1[[#This Row],[tenure_years]]</f>
        <v>2122.3824</v>
      </c>
      <c r="Z398" s="2">
        <f>Table1[[#This Row],[total_collected_premiums]]*(1-$AD$2)</f>
        <v>1549.339152</v>
      </c>
      <c r="AA398" s="2">
        <f>Table1[[#This Row],[retained_premium]]-Table1[[#This Row],[claim_amount_paid]]</f>
        <v>-5450.6608479999995</v>
      </c>
    </row>
    <row r="399" spans="1:27" x14ac:dyDescent="0.35">
      <c r="A399" t="s">
        <v>1236</v>
      </c>
      <c r="B399" t="s">
        <v>1237</v>
      </c>
      <c r="C399" t="s">
        <v>1238</v>
      </c>
      <c r="D399" s="1">
        <v>40397</v>
      </c>
      <c r="E399" s="1">
        <v>44082</v>
      </c>
      <c r="F399" s="1">
        <v>44082</v>
      </c>
      <c r="G399">
        <v>0</v>
      </c>
      <c r="H399">
        <v>126.84</v>
      </c>
      <c r="I399">
        <v>1522.08</v>
      </c>
      <c r="J399">
        <v>3000</v>
      </c>
      <c r="K399" t="s">
        <v>27</v>
      </c>
      <c r="L399">
        <v>3000</v>
      </c>
      <c r="M399">
        <v>4.33</v>
      </c>
      <c r="N399" t="s">
        <v>36</v>
      </c>
      <c r="O399">
        <v>52</v>
      </c>
      <c r="P399">
        <v>43</v>
      </c>
      <c r="Q399">
        <v>0</v>
      </c>
      <c r="R399">
        <v>7</v>
      </c>
      <c r="S399" t="s">
        <v>65</v>
      </c>
      <c r="T399" t="s">
        <v>44</v>
      </c>
      <c r="U399" t="s">
        <v>58</v>
      </c>
      <c r="V399" t="s">
        <v>32</v>
      </c>
      <c r="W399">
        <v>1</v>
      </c>
      <c r="X399">
        <v>0</v>
      </c>
      <c r="Y399" s="2">
        <f>Table1[[#This Row],[premium_yearly]]*Table1[[#This Row],[tenure_years]]</f>
        <v>6590.6063999999997</v>
      </c>
      <c r="Z399" s="2">
        <f>Table1[[#This Row],[total_collected_premiums]]*(1-$AD$2)</f>
        <v>4811.1426719999999</v>
      </c>
      <c r="AA399" s="2">
        <f>Table1[[#This Row],[retained_premium]]-Table1[[#This Row],[claim_amount_paid]]</f>
        <v>1811.1426719999999</v>
      </c>
    </row>
    <row r="400" spans="1:27" x14ac:dyDescent="0.35">
      <c r="A400" t="s">
        <v>1239</v>
      </c>
      <c r="B400" t="s">
        <v>1240</v>
      </c>
      <c r="C400" t="s">
        <v>1241</v>
      </c>
      <c r="D400" s="1">
        <v>40976</v>
      </c>
      <c r="E400" s="1">
        <v>44080</v>
      </c>
      <c r="F400" s="1">
        <v>44081</v>
      </c>
      <c r="G400">
        <v>1</v>
      </c>
      <c r="H400">
        <v>83.78</v>
      </c>
      <c r="I400">
        <v>1005.36</v>
      </c>
      <c r="J400">
        <v>9000</v>
      </c>
      <c r="K400" t="s">
        <v>27</v>
      </c>
      <c r="L400">
        <v>9000</v>
      </c>
      <c r="M400">
        <v>0.92</v>
      </c>
      <c r="N400" t="s">
        <v>36</v>
      </c>
      <c r="O400">
        <v>11</v>
      </c>
      <c r="P400">
        <v>47</v>
      </c>
      <c r="Q400">
        <v>1</v>
      </c>
      <c r="R400">
        <v>3</v>
      </c>
      <c r="S400" t="s">
        <v>37</v>
      </c>
      <c r="T400" t="s">
        <v>50</v>
      </c>
      <c r="U400" t="s">
        <v>58</v>
      </c>
      <c r="V400" t="s">
        <v>39</v>
      </c>
      <c r="W400">
        <v>0</v>
      </c>
      <c r="X400">
        <v>1</v>
      </c>
      <c r="Y400" s="2">
        <f>Table1[[#This Row],[premium_yearly]]*Table1[[#This Row],[tenure_years]]</f>
        <v>924.9312000000001</v>
      </c>
      <c r="Z400" s="2">
        <f>Table1[[#This Row],[total_collected_premiums]]*(1-$AD$2)</f>
        <v>675.19977600000004</v>
      </c>
      <c r="AA400" s="2">
        <f>Table1[[#This Row],[retained_premium]]-Table1[[#This Row],[claim_amount_paid]]</f>
        <v>-8324.8002240000005</v>
      </c>
    </row>
    <row r="401" spans="1:27" x14ac:dyDescent="0.35">
      <c r="A401" t="s">
        <v>1242</v>
      </c>
      <c r="B401" t="s">
        <v>1243</v>
      </c>
      <c r="C401" t="s">
        <v>1244</v>
      </c>
      <c r="D401" s="1">
        <v>43850</v>
      </c>
      <c r="E401" s="1">
        <v>44075</v>
      </c>
      <c r="F401" s="1">
        <v>44078</v>
      </c>
      <c r="G401">
        <v>3</v>
      </c>
      <c r="H401">
        <v>139.47999999999999</v>
      </c>
      <c r="I401">
        <v>1673.76</v>
      </c>
      <c r="J401">
        <v>9000</v>
      </c>
      <c r="K401" t="s">
        <v>27</v>
      </c>
      <c r="L401">
        <v>9000</v>
      </c>
      <c r="M401">
        <v>4.5</v>
      </c>
      <c r="N401" t="s">
        <v>49</v>
      </c>
      <c r="O401">
        <v>54</v>
      </c>
      <c r="P401">
        <v>58</v>
      </c>
      <c r="Q401">
        <v>0</v>
      </c>
      <c r="R401">
        <v>6</v>
      </c>
      <c r="S401" t="s">
        <v>65</v>
      </c>
      <c r="T401" t="s">
        <v>30</v>
      </c>
      <c r="U401" t="s">
        <v>58</v>
      </c>
      <c r="V401" t="s">
        <v>45</v>
      </c>
      <c r="W401">
        <v>0</v>
      </c>
      <c r="X401">
        <v>0</v>
      </c>
      <c r="Y401" s="2">
        <f>Table1[[#This Row],[premium_yearly]]*Table1[[#This Row],[tenure_years]]</f>
        <v>7531.92</v>
      </c>
      <c r="Z401" s="2">
        <f>Table1[[#This Row],[total_collected_premiums]]*(1-$AD$2)</f>
        <v>5498.3015999999998</v>
      </c>
      <c r="AA401" s="2">
        <f>Table1[[#This Row],[retained_premium]]-Table1[[#This Row],[claim_amount_paid]]</f>
        <v>-3501.6984000000002</v>
      </c>
    </row>
    <row r="402" spans="1:27" x14ac:dyDescent="0.35">
      <c r="A402" t="s">
        <v>1245</v>
      </c>
      <c r="B402" t="s">
        <v>1246</v>
      </c>
      <c r="C402" t="s">
        <v>1247</v>
      </c>
      <c r="D402" s="1">
        <v>43354</v>
      </c>
      <c r="E402" s="1">
        <v>44081</v>
      </c>
      <c r="F402" s="1">
        <v>44081</v>
      </c>
      <c r="G402">
        <v>0</v>
      </c>
      <c r="H402">
        <v>78.67</v>
      </c>
      <c r="I402">
        <v>944.04</v>
      </c>
      <c r="J402">
        <v>1000</v>
      </c>
      <c r="K402" t="s">
        <v>27</v>
      </c>
      <c r="L402">
        <v>1000</v>
      </c>
      <c r="M402">
        <v>2.75</v>
      </c>
      <c r="N402" t="s">
        <v>36</v>
      </c>
      <c r="O402">
        <v>33</v>
      </c>
      <c r="P402">
        <v>62</v>
      </c>
      <c r="Q402">
        <v>0</v>
      </c>
      <c r="R402">
        <v>7</v>
      </c>
      <c r="S402" t="s">
        <v>65</v>
      </c>
      <c r="T402" t="s">
        <v>30</v>
      </c>
      <c r="U402" t="s">
        <v>66</v>
      </c>
      <c r="V402" t="s">
        <v>45</v>
      </c>
      <c r="W402">
        <v>0</v>
      </c>
      <c r="X402">
        <v>1</v>
      </c>
      <c r="Y402" s="2">
        <f>Table1[[#This Row],[premium_yearly]]*Table1[[#This Row],[tenure_years]]</f>
        <v>2596.1099999999997</v>
      </c>
      <c r="Z402" s="2">
        <f>Table1[[#This Row],[total_collected_premiums]]*(1-$AD$2)</f>
        <v>1895.1602999999998</v>
      </c>
      <c r="AA402" s="2">
        <f>Table1[[#This Row],[retained_premium]]-Table1[[#This Row],[claim_amount_paid]]</f>
        <v>895.16029999999978</v>
      </c>
    </row>
    <row r="403" spans="1:27" x14ac:dyDescent="0.35">
      <c r="A403" t="s">
        <v>1248</v>
      </c>
      <c r="B403" t="s">
        <v>1249</v>
      </c>
      <c r="C403" t="s">
        <v>1250</v>
      </c>
      <c r="D403" s="1">
        <v>42976</v>
      </c>
      <c r="E403" s="1">
        <v>44075</v>
      </c>
      <c r="F403" s="1">
        <v>44078</v>
      </c>
      <c r="G403">
        <v>3</v>
      </c>
      <c r="H403">
        <v>97.37</v>
      </c>
      <c r="I403">
        <v>1168.44</v>
      </c>
      <c r="J403">
        <v>7000</v>
      </c>
      <c r="K403" t="s">
        <v>27</v>
      </c>
      <c r="L403">
        <v>7000</v>
      </c>
      <c r="M403">
        <v>3.33</v>
      </c>
      <c r="N403" t="s">
        <v>49</v>
      </c>
      <c r="O403">
        <v>40</v>
      </c>
      <c r="P403">
        <v>59</v>
      </c>
      <c r="Q403">
        <v>1</v>
      </c>
      <c r="R403">
        <v>2</v>
      </c>
      <c r="S403" t="s">
        <v>65</v>
      </c>
      <c r="T403" t="s">
        <v>30</v>
      </c>
      <c r="U403" t="s">
        <v>107</v>
      </c>
      <c r="V403" t="s">
        <v>32</v>
      </c>
      <c r="W403">
        <v>1</v>
      </c>
      <c r="X403">
        <v>0</v>
      </c>
      <c r="Y403" s="2">
        <f>Table1[[#This Row],[premium_yearly]]*Table1[[#This Row],[tenure_years]]</f>
        <v>3890.9052000000001</v>
      </c>
      <c r="Z403" s="2">
        <f>Table1[[#This Row],[total_collected_premiums]]*(1-$AD$2)</f>
        <v>2840.3607959999999</v>
      </c>
      <c r="AA403" s="2">
        <f>Table1[[#This Row],[retained_premium]]-Table1[[#This Row],[claim_amount_paid]]</f>
        <v>-4159.6392040000001</v>
      </c>
    </row>
    <row r="404" spans="1:27" x14ac:dyDescent="0.35">
      <c r="A404" t="s">
        <v>1251</v>
      </c>
      <c r="B404" t="s">
        <v>1252</v>
      </c>
      <c r="C404" t="s">
        <v>1253</v>
      </c>
      <c r="D404" s="1">
        <v>42766</v>
      </c>
      <c r="E404" s="1">
        <v>44073</v>
      </c>
      <c r="F404" s="1">
        <v>44078</v>
      </c>
      <c r="G404">
        <v>5</v>
      </c>
      <c r="H404">
        <v>134.80000000000001</v>
      </c>
      <c r="I404">
        <v>1617.6</v>
      </c>
      <c r="J404">
        <v>6000</v>
      </c>
      <c r="K404" t="s">
        <v>27</v>
      </c>
      <c r="L404">
        <v>6000</v>
      </c>
      <c r="M404">
        <v>6.83</v>
      </c>
      <c r="N404" t="s">
        <v>28</v>
      </c>
      <c r="O404">
        <v>82</v>
      </c>
      <c r="P404">
        <v>26</v>
      </c>
      <c r="Q404">
        <v>1</v>
      </c>
      <c r="R404">
        <v>6</v>
      </c>
      <c r="S404" t="s">
        <v>65</v>
      </c>
      <c r="T404" t="s">
        <v>30</v>
      </c>
      <c r="U404" t="s">
        <v>31</v>
      </c>
      <c r="V404" t="s">
        <v>32</v>
      </c>
      <c r="W404">
        <v>1</v>
      </c>
      <c r="X404">
        <v>0</v>
      </c>
      <c r="Y404" s="2">
        <f>Table1[[#This Row],[premium_yearly]]*Table1[[#This Row],[tenure_years]]</f>
        <v>11048.207999999999</v>
      </c>
      <c r="Z404" s="2">
        <f>Table1[[#This Row],[total_collected_premiums]]*(1-$AD$2)</f>
        <v>8065.1918399999986</v>
      </c>
      <c r="AA404" s="2">
        <f>Table1[[#This Row],[retained_premium]]-Table1[[#This Row],[claim_amount_paid]]</f>
        <v>2065.1918399999986</v>
      </c>
    </row>
    <row r="405" spans="1:27" x14ac:dyDescent="0.35">
      <c r="A405" t="s">
        <v>1254</v>
      </c>
      <c r="B405" t="s">
        <v>1255</v>
      </c>
      <c r="C405" t="s">
        <v>1256</v>
      </c>
      <c r="D405" s="1">
        <v>41007</v>
      </c>
      <c r="E405" s="1">
        <v>44078</v>
      </c>
      <c r="F405" s="1">
        <v>44080</v>
      </c>
      <c r="G405">
        <v>2</v>
      </c>
      <c r="H405">
        <v>70.22</v>
      </c>
      <c r="I405">
        <v>842.64</v>
      </c>
      <c r="J405">
        <v>2000</v>
      </c>
      <c r="K405" t="s">
        <v>27</v>
      </c>
      <c r="L405">
        <v>2000</v>
      </c>
      <c r="M405">
        <v>6.25</v>
      </c>
      <c r="N405" t="s">
        <v>28</v>
      </c>
      <c r="O405">
        <v>75</v>
      </c>
      <c r="P405">
        <v>61</v>
      </c>
      <c r="Q405">
        <v>0</v>
      </c>
      <c r="R405">
        <v>4</v>
      </c>
      <c r="S405" t="s">
        <v>29</v>
      </c>
      <c r="T405" t="s">
        <v>50</v>
      </c>
      <c r="U405" t="s">
        <v>66</v>
      </c>
      <c r="V405" t="s">
        <v>32</v>
      </c>
      <c r="W405">
        <v>1</v>
      </c>
      <c r="X405">
        <v>0</v>
      </c>
      <c r="Y405" s="2">
        <f>Table1[[#This Row],[premium_yearly]]*Table1[[#This Row],[tenure_years]]</f>
        <v>5266.5</v>
      </c>
      <c r="Z405" s="2">
        <f>Table1[[#This Row],[total_collected_premiums]]*(1-$AD$2)</f>
        <v>3844.5450000000001</v>
      </c>
      <c r="AA405" s="2">
        <f>Table1[[#This Row],[retained_premium]]-Table1[[#This Row],[claim_amount_paid]]</f>
        <v>1844.5450000000001</v>
      </c>
    </row>
    <row r="406" spans="1:27" x14ac:dyDescent="0.35">
      <c r="A406" t="s">
        <v>1257</v>
      </c>
      <c r="B406" t="s">
        <v>1258</v>
      </c>
      <c r="C406" t="s">
        <v>1259</v>
      </c>
      <c r="D406" s="1">
        <v>41107</v>
      </c>
      <c r="E406" s="1">
        <v>44079</v>
      </c>
      <c r="F406" s="1">
        <v>44081</v>
      </c>
      <c r="G406">
        <v>2</v>
      </c>
      <c r="H406">
        <v>128.65</v>
      </c>
      <c r="I406">
        <v>1543.8</v>
      </c>
      <c r="J406">
        <v>3000</v>
      </c>
      <c r="K406" t="s">
        <v>27</v>
      </c>
      <c r="L406">
        <v>3000</v>
      </c>
      <c r="M406">
        <v>2.33</v>
      </c>
      <c r="N406" t="s">
        <v>28</v>
      </c>
      <c r="O406">
        <v>28</v>
      </c>
      <c r="P406">
        <v>30</v>
      </c>
      <c r="Q406">
        <v>1</v>
      </c>
      <c r="R406">
        <v>3</v>
      </c>
      <c r="S406" t="s">
        <v>37</v>
      </c>
      <c r="T406" t="s">
        <v>50</v>
      </c>
      <c r="U406" t="s">
        <v>31</v>
      </c>
      <c r="V406" t="s">
        <v>32</v>
      </c>
      <c r="W406">
        <v>1</v>
      </c>
      <c r="X406">
        <v>1</v>
      </c>
      <c r="Y406" s="2">
        <f>Table1[[#This Row],[premium_yearly]]*Table1[[#This Row],[tenure_years]]</f>
        <v>3597.0540000000001</v>
      </c>
      <c r="Z406" s="2">
        <f>Table1[[#This Row],[total_collected_premiums]]*(1-$AD$2)</f>
        <v>2625.84942</v>
      </c>
      <c r="AA406" s="2">
        <f>Table1[[#This Row],[retained_premium]]-Table1[[#This Row],[claim_amount_paid]]</f>
        <v>-374.15057999999999</v>
      </c>
    </row>
    <row r="407" spans="1:27" x14ac:dyDescent="0.35">
      <c r="A407" t="s">
        <v>1260</v>
      </c>
      <c r="B407" t="s">
        <v>1261</v>
      </c>
      <c r="C407" t="s">
        <v>1262</v>
      </c>
      <c r="D407" s="1">
        <v>41779</v>
      </c>
      <c r="E407" s="1">
        <v>44075</v>
      </c>
      <c r="F407" s="1">
        <v>44080</v>
      </c>
      <c r="G407">
        <v>5</v>
      </c>
      <c r="H407">
        <v>133.19</v>
      </c>
      <c r="I407">
        <v>1598.28</v>
      </c>
      <c r="J407">
        <v>8000</v>
      </c>
      <c r="K407" t="s">
        <v>27</v>
      </c>
      <c r="L407">
        <v>8000</v>
      </c>
      <c r="M407">
        <v>4.08</v>
      </c>
      <c r="N407" t="s">
        <v>49</v>
      </c>
      <c r="O407">
        <v>49</v>
      </c>
      <c r="P407">
        <v>37</v>
      </c>
      <c r="Q407">
        <v>1</v>
      </c>
      <c r="R407">
        <v>7</v>
      </c>
      <c r="S407" t="s">
        <v>29</v>
      </c>
      <c r="T407" t="s">
        <v>30</v>
      </c>
      <c r="U407" t="s">
        <v>31</v>
      </c>
      <c r="V407" t="s">
        <v>39</v>
      </c>
      <c r="W407">
        <v>1</v>
      </c>
      <c r="X407">
        <v>1</v>
      </c>
      <c r="Y407" s="2">
        <f>Table1[[#This Row],[premium_yearly]]*Table1[[#This Row],[tenure_years]]</f>
        <v>6520.9823999999999</v>
      </c>
      <c r="Z407" s="2">
        <f>Table1[[#This Row],[total_collected_premiums]]*(1-$AD$2)</f>
        <v>4760.3171519999996</v>
      </c>
      <c r="AA407" s="2">
        <f>Table1[[#This Row],[retained_premium]]-Table1[[#This Row],[claim_amount_paid]]</f>
        <v>-3239.6828480000004</v>
      </c>
    </row>
    <row r="408" spans="1:27" x14ac:dyDescent="0.35">
      <c r="A408" t="s">
        <v>1263</v>
      </c>
      <c r="B408" t="s">
        <v>1264</v>
      </c>
      <c r="C408" t="s">
        <v>1265</v>
      </c>
      <c r="D408" s="1">
        <v>41702</v>
      </c>
      <c r="E408" s="1">
        <v>44075</v>
      </c>
      <c r="F408" s="1">
        <v>44080</v>
      </c>
      <c r="G408">
        <v>5</v>
      </c>
      <c r="H408">
        <v>138.28</v>
      </c>
      <c r="I408">
        <v>1659.36</v>
      </c>
      <c r="J408">
        <v>8000</v>
      </c>
      <c r="K408" t="s">
        <v>27</v>
      </c>
      <c r="L408">
        <v>8000</v>
      </c>
      <c r="M408">
        <v>6.83</v>
      </c>
      <c r="N408" t="s">
        <v>28</v>
      </c>
      <c r="O408">
        <v>82</v>
      </c>
      <c r="P408">
        <v>59</v>
      </c>
      <c r="Q408">
        <v>0</v>
      </c>
      <c r="R408">
        <v>7</v>
      </c>
      <c r="S408" t="s">
        <v>65</v>
      </c>
      <c r="T408" t="s">
        <v>30</v>
      </c>
      <c r="U408" t="s">
        <v>58</v>
      </c>
      <c r="V408" t="s">
        <v>45</v>
      </c>
      <c r="W408">
        <v>1</v>
      </c>
      <c r="X408">
        <v>0</v>
      </c>
      <c r="Y408" s="2">
        <f>Table1[[#This Row],[premium_yearly]]*Table1[[#This Row],[tenure_years]]</f>
        <v>11333.4288</v>
      </c>
      <c r="Z408" s="2">
        <f>Table1[[#This Row],[total_collected_premiums]]*(1-$AD$2)</f>
        <v>8273.4030239999993</v>
      </c>
      <c r="AA408" s="2">
        <f>Table1[[#This Row],[retained_premium]]-Table1[[#This Row],[claim_amount_paid]]</f>
        <v>273.40302399999928</v>
      </c>
    </row>
    <row r="409" spans="1:27" x14ac:dyDescent="0.35">
      <c r="A409" t="s">
        <v>1266</v>
      </c>
      <c r="B409" t="s">
        <v>1267</v>
      </c>
      <c r="C409" t="s">
        <v>1268</v>
      </c>
      <c r="D409" s="1">
        <v>42710</v>
      </c>
      <c r="E409" s="1">
        <v>44071</v>
      </c>
      <c r="F409" s="1">
        <v>44076</v>
      </c>
      <c r="G409">
        <v>5</v>
      </c>
      <c r="H409">
        <v>84.1</v>
      </c>
      <c r="I409">
        <v>1009.2</v>
      </c>
      <c r="J409">
        <v>6000</v>
      </c>
      <c r="K409" t="s">
        <v>27</v>
      </c>
      <c r="L409">
        <v>6000</v>
      </c>
      <c r="M409">
        <v>4.75</v>
      </c>
      <c r="N409" t="s">
        <v>36</v>
      </c>
      <c r="O409">
        <v>57</v>
      </c>
      <c r="P409">
        <v>51</v>
      </c>
      <c r="Q409">
        <v>1</v>
      </c>
      <c r="R409">
        <v>7</v>
      </c>
      <c r="S409" t="s">
        <v>29</v>
      </c>
      <c r="T409" t="s">
        <v>44</v>
      </c>
      <c r="U409" t="s">
        <v>38</v>
      </c>
      <c r="V409" t="s">
        <v>39</v>
      </c>
      <c r="W409">
        <v>1</v>
      </c>
      <c r="X409">
        <v>1</v>
      </c>
      <c r="Y409" s="2">
        <f>Table1[[#This Row],[premium_yearly]]*Table1[[#This Row],[tenure_years]]</f>
        <v>4793.7</v>
      </c>
      <c r="Z409" s="2">
        <f>Table1[[#This Row],[total_collected_premiums]]*(1-$AD$2)</f>
        <v>3499.4009999999998</v>
      </c>
      <c r="AA409" s="2">
        <f>Table1[[#This Row],[retained_premium]]-Table1[[#This Row],[claim_amount_paid]]</f>
        <v>-2500.5990000000002</v>
      </c>
    </row>
    <row r="410" spans="1:27" x14ac:dyDescent="0.35">
      <c r="A410" t="s">
        <v>1269</v>
      </c>
      <c r="B410" t="s">
        <v>1270</v>
      </c>
      <c r="C410" t="s">
        <v>1271</v>
      </c>
      <c r="D410" s="1">
        <v>43451</v>
      </c>
      <c r="E410" s="1">
        <v>44068</v>
      </c>
      <c r="F410" s="1">
        <v>44073</v>
      </c>
      <c r="G410">
        <v>5</v>
      </c>
      <c r="H410">
        <v>121.94</v>
      </c>
      <c r="I410">
        <v>1463.28</v>
      </c>
      <c r="J410">
        <v>2000</v>
      </c>
      <c r="K410" t="s">
        <v>27</v>
      </c>
      <c r="L410">
        <v>2000</v>
      </c>
      <c r="M410">
        <v>7.25</v>
      </c>
      <c r="N410" t="s">
        <v>28</v>
      </c>
      <c r="O410">
        <v>87</v>
      </c>
      <c r="P410">
        <v>43</v>
      </c>
      <c r="Q410">
        <v>1</v>
      </c>
      <c r="R410">
        <v>7</v>
      </c>
      <c r="S410" t="s">
        <v>65</v>
      </c>
      <c r="T410" t="s">
        <v>30</v>
      </c>
      <c r="U410" t="s">
        <v>38</v>
      </c>
      <c r="V410" t="s">
        <v>39</v>
      </c>
      <c r="W410">
        <v>0</v>
      </c>
      <c r="X410">
        <v>1</v>
      </c>
      <c r="Y410" s="2">
        <f>Table1[[#This Row],[premium_yearly]]*Table1[[#This Row],[tenure_years]]</f>
        <v>10608.78</v>
      </c>
      <c r="Z410" s="2">
        <f>Table1[[#This Row],[total_collected_premiums]]*(1-$AD$2)</f>
        <v>7744.4094000000005</v>
      </c>
      <c r="AA410" s="2">
        <f>Table1[[#This Row],[retained_premium]]-Table1[[#This Row],[claim_amount_paid]]</f>
        <v>5744.4094000000005</v>
      </c>
    </row>
    <row r="411" spans="1:27" x14ac:dyDescent="0.35">
      <c r="A411" t="s">
        <v>1272</v>
      </c>
      <c r="B411" t="s">
        <v>1273</v>
      </c>
      <c r="C411" t="s">
        <v>1274</v>
      </c>
      <c r="D411" s="1">
        <v>41516</v>
      </c>
      <c r="E411" s="1">
        <v>44072</v>
      </c>
      <c r="F411" s="1">
        <v>44077</v>
      </c>
      <c r="G411">
        <v>5</v>
      </c>
      <c r="H411">
        <v>99.44</v>
      </c>
      <c r="I411">
        <v>1193.28</v>
      </c>
      <c r="J411">
        <v>6000</v>
      </c>
      <c r="K411" t="s">
        <v>27</v>
      </c>
      <c r="L411">
        <v>6000</v>
      </c>
      <c r="M411">
        <v>3.42</v>
      </c>
      <c r="N411" t="s">
        <v>36</v>
      </c>
      <c r="O411">
        <v>41</v>
      </c>
      <c r="P411">
        <v>53</v>
      </c>
      <c r="Q411">
        <v>1</v>
      </c>
      <c r="R411">
        <v>3</v>
      </c>
      <c r="S411" t="s">
        <v>65</v>
      </c>
      <c r="T411" t="s">
        <v>44</v>
      </c>
      <c r="U411" t="s">
        <v>66</v>
      </c>
      <c r="V411" t="s">
        <v>39</v>
      </c>
      <c r="W411">
        <v>0</v>
      </c>
      <c r="X411">
        <v>1</v>
      </c>
      <c r="Y411" s="2">
        <f>Table1[[#This Row],[premium_yearly]]*Table1[[#This Row],[tenure_years]]</f>
        <v>4081.0175999999997</v>
      </c>
      <c r="Z411" s="2">
        <f>Table1[[#This Row],[total_collected_premiums]]*(1-$AD$2)</f>
        <v>2979.1428479999995</v>
      </c>
      <c r="AA411" s="2">
        <f>Table1[[#This Row],[retained_premium]]-Table1[[#This Row],[claim_amount_paid]]</f>
        <v>-3020.8571520000005</v>
      </c>
    </row>
    <row r="412" spans="1:27" x14ac:dyDescent="0.35">
      <c r="A412" t="s">
        <v>1275</v>
      </c>
      <c r="B412" t="s">
        <v>1276</v>
      </c>
      <c r="C412" t="s">
        <v>1277</v>
      </c>
      <c r="D412" s="1">
        <v>42842</v>
      </c>
      <c r="E412" s="1">
        <v>44071</v>
      </c>
      <c r="F412" s="1">
        <v>44076</v>
      </c>
      <c r="G412">
        <v>5</v>
      </c>
      <c r="H412">
        <v>72.08</v>
      </c>
      <c r="I412">
        <v>864.96</v>
      </c>
      <c r="J412">
        <v>7000</v>
      </c>
      <c r="K412" t="s">
        <v>27</v>
      </c>
      <c r="L412">
        <v>7000</v>
      </c>
      <c r="M412">
        <v>2.67</v>
      </c>
      <c r="N412" t="s">
        <v>49</v>
      </c>
      <c r="O412">
        <v>32</v>
      </c>
      <c r="P412">
        <v>29</v>
      </c>
      <c r="Q412">
        <v>1</v>
      </c>
      <c r="R412">
        <v>3</v>
      </c>
      <c r="S412" t="s">
        <v>37</v>
      </c>
      <c r="T412" t="s">
        <v>44</v>
      </c>
      <c r="U412" t="s">
        <v>31</v>
      </c>
      <c r="V412" t="s">
        <v>45</v>
      </c>
      <c r="W412">
        <v>1</v>
      </c>
      <c r="X412">
        <v>1</v>
      </c>
      <c r="Y412" s="2">
        <f>Table1[[#This Row],[premium_yearly]]*Table1[[#This Row],[tenure_years]]</f>
        <v>2309.4432000000002</v>
      </c>
      <c r="Z412" s="2">
        <f>Table1[[#This Row],[total_collected_premiums]]*(1-$AD$2)</f>
        <v>1685.893536</v>
      </c>
      <c r="AA412" s="2">
        <f>Table1[[#This Row],[retained_premium]]-Table1[[#This Row],[claim_amount_paid]]</f>
        <v>-5314.1064640000004</v>
      </c>
    </row>
    <row r="413" spans="1:27" x14ac:dyDescent="0.35">
      <c r="A413" t="s">
        <v>1278</v>
      </c>
      <c r="B413" t="s">
        <v>1279</v>
      </c>
      <c r="C413" t="s">
        <v>1280</v>
      </c>
      <c r="D413" s="1">
        <v>43792</v>
      </c>
      <c r="E413" s="1">
        <v>44081</v>
      </c>
      <c r="F413" s="1">
        <v>44084</v>
      </c>
      <c r="G413">
        <v>3</v>
      </c>
      <c r="H413">
        <v>131.82</v>
      </c>
      <c r="I413">
        <v>1581.84</v>
      </c>
      <c r="J413">
        <v>1000</v>
      </c>
      <c r="K413" t="s">
        <v>27</v>
      </c>
      <c r="L413">
        <v>1000</v>
      </c>
      <c r="M413">
        <v>1.33</v>
      </c>
      <c r="N413" t="s">
        <v>49</v>
      </c>
      <c r="O413">
        <v>16</v>
      </c>
      <c r="P413">
        <v>44</v>
      </c>
      <c r="Q413">
        <v>1</v>
      </c>
      <c r="R413">
        <v>4</v>
      </c>
      <c r="S413" t="s">
        <v>65</v>
      </c>
      <c r="T413" t="s">
        <v>30</v>
      </c>
      <c r="U413" t="s">
        <v>38</v>
      </c>
      <c r="V413" t="s">
        <v>39</v>
      </c>
      <c r="W413">
        <v>1</v>
      </c>
      <c r="X413">
        <v>1</v>
      </c>
      <c r="Y413" s="2">
        <f>Table1[[#This Row],[premium_yearly]]*Table1[[#This Row],[tenure_years]]</f>
        <v>2103.8472000000002</v>
      </c>
      <c r="Z413" s="2">
        <f>Table1[[#This Row],[total_collected_premiums]]*(1-$AD$2)</f>
        <v>1535.808456</v>
      </c>
      <c r="AA413" s="2">
        <f>Table1[[#This Row],[retained_premium]]-Table1[[#This Row],[claim_amount_paid]]</f>
        <v>535.80845599999998</v>
      </c>
    </row>
    <row r="414" spans="1:27" x14ac:dyDescent="0.35">
      <c r="A414" t="s">
        <v>1281</v>
      </c>
      <c r="B414" t="s">
        <v>1282</v>
      </c>
      <c r="C414" t="s">
        <v>1283</v>
      </c>
      <c r="D414" s="1">
        <v>43273</v>
      </c>
      <c r="E414" s="1">
        <v>44080</v>
      </c>
      <c r="F414" s="1">
        <v>44083</v>
      </c>
      <c r="G414">
        <v>3</v>
      </c>
      <c r="H414">
        <v>73.62</v>
      </c>
      <c r="I414">
        <v>883.44</v>
      </c>
      <c r="J414">
        <v>6000</v>
      </c>
      <c r="K414" t="s">
        <v>27</v>
      </c>
      <c r="L414">
        <v>6000</v>
      </c>
      <c r="M414">
        <v>2.67</v>
      </c>
      <c r="N414" t="s">
        <v>36</v>
      </c>
      <c r="O414">
        <v>32</v>
      </c>
      <c r="P414">
        <v>58</v>
      </c>
      <c r="Q414">
        <v>0</v>
      </c>
      <c r="R414">
        <v>3</v>
      </c>
      <c r="S414" t="s">
        <v>65</v>
      </c>
      <c r="T414" t="s">
        <v>44</v>
      </c>
      <c r="U414" t="s">
        <v>51</v>
      </c>
      <c r="V414" t="s">
        <v>45</v>
      </c>
      <c r="W414">
        <v>1</v>
      </c>
      <c r="X414">
        <v>1</v>
      </c>
      <c r="Y414" s="2">
        <f>Table1[[#This Row],[premium_yearly]]*Table1[[#This Row],[tenure_years]]</f>
        <v>2358.7847999999999</v>
      </c>
      <c r="Z414" s="2">
        <f>Table1[[#This Row],[total_collected_premiums]]*(1-$AD$2)</f>
        <v>1721.9129039999998</v>
      </c>
      <c r="AA414" s="2">
        <f>Table1[[#This Row],[retained_premium]]-Table1[[#This Row],[claim_amount_paid]]</f>
        <v>-4278.0870960000002</v>
      </c>
    </row>
    <row r="415" spans="1:27" x14ac:dyDescent="0.35">
      <c r="A415" t="s">
        <v>1284</v>
      </c>
      <c r="B415" t="s">
        <v>1285</v>
      </c>
      <c r="C415" t="s">
        <v>1286</v>
      </c>
      <c r="D415" s="1">
        <v>40519</v>
      </c>
      <c r="E415" s="1">
        <v>44072</v>
      </c>
      <c r="F415" s="1">
        <v>44077</v>
      </c>
      <c r="G415">
        <v>5</v>
      </c>
      <c r="H415">
        <v>74.97</v>
      </c>
      <c r="I415">
        <v>899.64</v>
      </c>
      <c r="J415">
        <v>1000</v>
      </c>
      <c r="K415" t="s">
        <v>27</v>
      </c>
      <c r="L415">
        <v>1000</v>
      </c>
      <c r="M415">
        <v>1.67</v>
      </c>
      <c r="N415" t="s">
        <v>36</v>
      </c>
      <c r="O415">
        <v>20</v>
      </c>
      <c r="P415">
        <v>60</v>
      </c>
      <c r="Q415">
        <v>1</v>
      </c>
      <c r="R415">
        <v>5</v>
      </c>
      <c r="S415" t="s">
        <v>65</v>
      </c>
      <c r="T415" t="s">
        <v>50</v>
      </c>
      <c r="U415" t="s">
        <v>38</v>
      </c>
      <c r="V415" t="s">
        <v>45</v>
      </c>
      <c r="W415">
        <v>1</v>
      </c>
      <c r="X415">
        <v>0</v>
      </c>
      <c r="Y415" s="2">
        <f>Table1[[#This Row],[premium_yearly]]*Table1[[#This Row],[tenure_years]]</f>
        <v>1502.3987999999999</v>
      </c>
      <c r="Z415" s="2">
        <f>Table1[[#This Row],[total_collected_premiums]]*(1-$AD$2)</f>
        <v>1096.7511239999999</v>
      </c>
      <c r="AA415" s="2">
        <f>Table1[[#This Row],[retained_premium]]-Table1[[#This Row],[claim_amount_paid]]</f>
        <v>96.751123999999891</v>
      </c>
    </row>
    <row r="416" spans="1:27" x14ac:dyDescent="0.35">
      <c r="A416" t="s">
        <v>1287</v>
      </c>
      <c r="B416" t="s">
        <v>1288</v>
      </c>
      <c r="C416" t="s">
        <v>1289</v>
      </c>
      <c r="D416" s="1">
        <v>42767</v>
      </c>
      <c r="E416" s="1">
        <v>44074</v>
      </c>
      <c r="F416" s="1">
        <v>44079</v>
      </c>
      <c r="G416">
        <v>5</v>
      </c>
      <c r="H416">
        <v>100.18</v>
      </c>
      <c r="I416">
        <v>1202.1600000000001</v>
      </c>
      <c r="J416">
        <v>1000</v>
      </c>
      <c r="K416" t="s">
        <v>27</v>
      </c>
      <c r="L416">
        <v>1000</v>
      </c>
      <c r="M416">
        <v>5.83</v>
      </c>
      <c r="N416" t="s">
        <v>49</v>
      </c>
      <c r="O416">
        <v>70</v>
      </c>
      <c r="P416">
        <v>47</v>
      </c>
      <c r="Q416">
        <v>1</v>
      </c>
      <c r="R416">
        <v>5</v>
      </c>
      <c r="S416" t="s">
        <v>29</v>
      </c>
      <c r="T416" t="s">
        <v>44</v>
      </c>
      <c r="U416" t="s">
        <v>51</v>
      </c>
      <c r="V416" t="s">
        <v>45</v>
      </c>
      <c r="W416">
        <v>0</v>
      </c>
      <c r="X416">
        <v>1</v>
      </c>
      <c r="Y416" s="2">
        <f>Table1[[#This Row],[premium_yearly]]*Table1[[#This Row],[tenure_years]]</f>
        <v>7008.5928000000004</v>
      </c>
      <c r="Z416" s="2">
        <f>Table1[[#This Row],[total_collected_premiums]]*(1-$AD$2)</f>
        <v>5116.2727439999999</v>
      </c>
      <c r="AA416" s="2">
        <f>Table1[[#This Row],[retained_premium]]-Table1[[#This Row],[claim_amount_paid]]</f>
        <v>4116.2727439999999</v>
      </c>
    </row>
    <row r="417" spans="1:27" x14ac:dyDescent="0.35">
      <c r="A417" t="s">
        <v>1290</v>
      </c>
      <c r="B417" t="s">
        <v>1291</v>
      </c>
      <c r="C417" t="s">
        <v>1292</v>
      </c>
      <c r="D417" s="1">
        <v>42521</v>
      </c>
      <c r="E417" s="1">
        <v>44071</v>
      </c>
      <c r="F417" s="1">
        <v>44076</v>
      </c>
      <c r="G417">
        <v>5</v>
      </c>
      <c r="H417">
        <v>104.57</v>
      </c>
      <c r="I417">
        <v>1254.8399999999999</v>
      </c>
      <c r="J417">
        <v>8000</v>
      </c>
      <c r="K417" t="s">
        <v>43</v>
      </c>
      <c r="L417">
        <v>0</v>
      </c>
      <c r="M417">
        <v>8.58</v>
      </c>
      <c r="N417" t="s">
        <v>36</v>
      </c>
      <c r="O417">
        <v>103</v>
      </c>
      <c r="P417">
        <v>29</v>
      </c>
      <c r="Q417">
        <v>1</v>
      </c>
      <c r="R417">
        <v>6</v>
      </c>
      <c r="S417" t="s">
        <v>29</v>
      </c>
      <c r="T417" t="s">
        <v>44</v>
      </c>
      <c r="U417" t="s">
        <v>38</v>
      </c>
      <c r="V417" t="s">
        <v>32</v>
      </c>
      <c r="W417">
        <v>1</v>
      </c>
      <c r="X417">
        <v>0</v>
      </c>
      <c r="Y417" s="2">
        <f>Table1[[#This Row],[premium_yearly]]*Table1[[#This Row],[tenure_years]]</f>
        <v>10766.527199999999</v>
      </c>
      <c r="Z417" s="2">
        <f>Table1[[#This Row],[total_collected_premiums]]*(1-$AD$2)</f>
        <v>7859.5648559999991</v>
      </c>
      <c r="AA417" s="2">
        <f>Table1[[#This Row],[retained_premium]]-Table1[[#This Row],[claim_amount_paid]]</f>
        <v>7859.5648559999991</v>
      </c>
    </row>
    <row r="418" spans="1:27" x14ac:dyDescent="0.35">
      <c r="A418" t="s">
        <v>1293</v>
      </c>
      <c r="B418" t="s">
        <v>1294</v>
      </c>
      <c r="C418" t="s">
        <v>1295</v>
      </c>
      <c r="D418" s="1">
        <v>43675</v>
      </c>
      <c r="E418" s="1">
        <v>44073</v>
      </c>
      <c r="F418" s="1">
        <v>44078</v>
      </c>
      <c r="G418">
        <v>5</v>
      </c>
      <c r="H418">
        <v>124.37</v>
      </c>
      <c r="I418">
        <v>1492.44</v>
      </c>
      <c r="J418">
        <v>3000</v>
      </c>
      <c r="K418" t="s">
        <v>27</v>
      </c>
      <c r="L418">
        <v>3000</v>
      </c>
      <c r="M418">
        <v>8.83</v>
      </c>
      <c r="N418" t="s">
        <v>36</v>
      </c>
      <c r="O418">
        <v>106</v>
      </c>
      <c r="P418">
        <v>30</v>
      </c>
      <c r="Q418">
        <v>1</v>
      </c>
      <c r="R418">
        <v>7</v>
      </c>
      <c r="S418" t="s">
        <v>65</v>
      </c>
      <c r="T418" t="s">
        <v>30</v>
      </c>
      <c r="U418" t="s">
        <v>38</v>
      </c>
      <c r="V418" t="s">
        <v>39</v>
      </c>
      <c r="W418">
        <v>1</v>
      </c>
      <c r="X418">
        <v>0</v>
      </c>
      <c r="Y418" s="2">
        <f>Table1[[#This Row],[premium_yearly]]*Table1[[#This Row],[tenure_years]]</f>
        <v>13178.245200000001</v>
      </c>
      <c r="Z418" s="2">
        <f>Table1[[#This Row],[total_collected_premiums]]*(1-$AD$2)</f>
        <v>9620.1189960000011</v>
      </c>
      <c r="AA418" s="2">
        <f>Table1[[#This Row],[retained_premium]]-Table1[[#This Row],[claim_amount_paid]]</f>
        <v>6620.1189960000011</v>
      </c>
    </row>
    <row r="419" spans="1:27" x14ac:dyDescent="0.35">
      <c r="A419" t="s">
        <v>1296</v>
      </c>
      <c r="B419" t="s">
        <v>1297</v>
      </c>
      <c r="C419" t="s">
        <v>1298</v>
      </c>
      <c r="D419" s="1">
        <v>41007</v>
      </c>
      <c r="E419" s="1">
        <v>44087</v>
      </c>
      <c r="F419" s="1">
        <v>44088</v>
      </c>
      <c r="G419">
        <v>1</v>
      </c>
      <c r="H419">
        <v>128.24</v>
      </c>
      <c r="I419">
        <v>1538.88</v>
      </c>
      <c r="J419">
        <v>7000</v>
      </c>
      <c r="K419" t="s">
        <v>27</v>
      </c>
      <c r="L419">
        <v>7000</v>
      </c>
      <c r="M419">
        <v>3.5</v>
      </c>
      <c r="N419" t="s">
        <v>28</v>
      </c>
      <c r="O419">
        <v>42</v>
      </c>
      <c r="P419">
        <v>49</v>
      </c>
      <c r="Q419">
        <v>1</v>
      </c>
      <c r="R419">
        <v>7</v>
      </c>
      <c r="S419" t="s">
        <v>65</v>
      </c>
      <c r="T419" t="s">
        <v>30</v>
      </c>
      <c r="U419" t="s">
        <v>31</v>
      </c>
      <c r="V419" t="s">
        <v>45</v>
      </c>
      <c r="W419">
        <v>0</v>
      </c>
      <c r="X419">
        <v>1</v>
      </c>
      <c r="Y419" s="2">
        <f>Table1[[#This Row],[premium_yearly]]*Table1[[#This Row],[tenure_years]]</f>
        <v>5386.08</v>
      </c>
      <c r="Z419" s="2">
        <f>Table1[[#This Row],[total_collected_premiums]]*(1-$AD$2)</f>
        <v>3931.8383999999996</v>
      </c>
      <c r="AA419" s="2">
        <f>Table1[[#This Row],[retained_premium]]-Table1[[#This Row],[claim_amount_paid]]</f>
        <v>-3068.1616000000004</v>
      </c>
    </row>
    <row r="420" spans="1:27" x14ac:dyDescent="0.35">
      <c r="A420" t="s">
        <v>1299</v>
      </c>
      <c r="B420" t="s">
        <v>1300</v>
      </c>
      <c r="C420" t="s">
        <v>1301</v>
      </c>
      <c r="D420" s="1">
        <v>41840</v>
      </c>
      <c r="E420" s="1">
        <v>44074</v>
      </c>
      <c r="F420" s="1">
        <v>44079</v>
      </c>
      <c r="G420">
        <v>5</v>
      </c>
      <c r="H420">
        <v>76.349999999999994</v>
      </c>
      <c r="I420">
        <v>916.2</v>
      </c>
      <c r="J420">
        <v>10000</v>
      </c>
      <c r="K420" t="s">
        <v>27</v>
      </c>
      <c r="L420">
        <v>10000</v>
      </c>
      <c r="M420">
        <v>6.42</v>
      </c>
      <c r="N420" t="s">
        <v>49</v>
      </c>
      <c r="O420">
        <v>77</v>
      </c>
      <c r="P420">
        <v>28</v>
      </c>
      <c r="Q420">
        <v>1</v>
      </c>
      <c r="R420">
        <v>4</v>
      </c>
      <c r="S420" t="s">
        <v>65</v>
      </c>
      <c r="T420" t="s">
        <v>44</v>
      </c>
      <c r="U420" t="s">
        <v>88</v>
      </c>
      <c r="V420" t="s">
        <v>39</v>
      </c>
      <c r="W420">
        <v>1</v>
      </c>
      <c r="X420">
        <v>0</v>
      </c>
      <c r="Y420" s="2">
        <f>Table1[[#This Row],[premium_yearly]]*Table1[[#This Row],[tenure_years]]</f>
        <v>5882.0039999999999</v>
      </c>
      <c r="Z420" s="2">
        <f>Table1[[#This Row],[total_collected_premiums]]*(1-$AD$2)</f>
        <v>4293.8629199999996</v>
      </c>
      <c r="AA420" s="2">
        <f>Table1[[#This Row],[retained_premium]]-Table1[[#This Row],[claim_amount_paid]]</f>
        <v>-5706.1370800000004</v>
      </c>
    </row>
    <row r="421" spans="1:27" x14ac:dyDescent="0.35">
      <c r="A421" t="s">
        <v>1302</v>
      </c>
      <c r="B421" t="s">
        <v>1303</v>
      </c>
      <c r="C421" t="s">
        <v>1304</v>
      </c>
      <c r="D421" s="1">
        <v>41197</v>
      </c>
      <c r="E421" s="1">
        <v>44088</v>
      </c>
      <c r="F421" s="1">
        <v>44088</v>
      </c>
      <c r="G421">
        <v>0</v>
      </c>
      <c r="H421">
        <v>110.18</v>
      </c>
      <c r="I421">
        <v>1322.16</v>
      </c>
      <c r="J421">
        <v>6000</v>
      </c>
      <c r="K421" t="s">
        <v>27</v>
      </c>
      <c r="L421">
        <v>6000</v>
      </c>
      <c r="M421">
        <v>9.25</v>
      </c>
      <c r="N421" t="s">
        <v>28</v>
      </c>
      <c r="O421">
        <v>111</v>
      </c>
      <c r="P421">
        <v>47</v>
      </c>
      <c r="Q421">
        <v>1</v>
      </c>
      <c r="R421">
        <v>6</v>
      </c>
      <c r="S421" t="s">
        <v>65</v>
      </c>
      <c r="T421" t="s">
        <v>30</v>
      </c>
      <c r="U421" t="s">
        <v>107</v>
      </c>
      <c r="V421" t="s">
        <v>39</v>
      </c>
      <c r="W421">
        <v>1</v>
      </c>
      <c r="X421">
        <v>1</v>
      </c>
      <c r="Y421" s="2">
        <f>Table1[[#This Row],[premium_yearly]]*Table1[[#This Row],[tenure_years]]</f>
        <v>12229.980000000001</v>
      </c>
      <c r="Z421" s="2">
        <f>Table1[[#This Row],[total_collected_premiums]]*(1-$AD$2)</f>
        <v>8927.885400000001</v>
      </c>
      <c r="AA421" s="2">
        <f>Table1[[#This Row],[retained_premium]]-Table1[[#This Row],[claim_amount_paid]]</f>
        <v>2927.885400000001</v>
      </c>
    </row>
    <row r="422" spans="1:27" x14ac:dyDescent="0.35">
      <c r="A422" t="s">
        <v>1305</v>
      </c>
      <c r="B422" t="s">
        <v>1306</v>
      </c>
      <c r="C422" t="s">
        <v>1307</v>
      </c>
      <c r="D422" s="1">
        <v>42906</v>
      </c>
      <c r="E422" s="1">
        <v>44089</v>
      </c>
      <c r="F422" s="1">
        <v>44089</v>
      </c>
      <c r="G422">
        <v>0</v>
      </c>
      <c r="H422">
        <v>129.16999999999999</v>
      </c>
      <c r="I422">
        <v>1550.04</v>
      </c>
      <c r="J422">
        <v>5000</v>
      </c>
      <c r="K422" t="s">
        <v>27</v>
      </c>
      <c r="L422">
        <v>5000</v>
      </c>
      <c r="M422">
        <v>4.67</v>
      </c>
      <c r="N422" t="s">
        <v>28</v>
      </c>
      <c r="O422">
        <v>56</v>
      </c>
      <c r="P422">
        <v>49</v>
      </c>
      <c r="Q422">
        <v>1</v>
      </c>
      <c r="R422">
        <v>4</v>
      </c>
      <c r="S422" t="s">
        <v>29</v>
      </c>
      <c r="T422" t="s">
        <v>30</v>
      </c>
      <c r="U422" t="s">
        <v>38</v>
      </c>
      <c r="V422" t="s">
        <v>39</v>
      </c>
      <c r="W422">
        <v>1</v>
      </c>
      <c r="X422">
        <v>1</v>
      </c>
      <c r="Y422" s="2">
        <f>Table1[[#This Row],[premium_yearly]]*Table1[[#This Row],[tenure_years]]</f>
        <v>7238.6867999999995</v>
      </c>
      <c r="Z422" s="2">
        <f>Table1[[#This Row],[total_collected_premiums]]*(1-$AD$2)</f>
        <v>5284.2413639999995</v>
      </c>
      <c r="AA422" s="2">
        <f>Table1[[#This Row],[retained_premium]]-Table1[[#This Row],[claim_amount_paid]]</f>
        <v>284.24136399999952</v>
      </c>
    </row>
    <row r="423" spans="1:27" x14ac:dyDescent="0.35">
      <c r="A423" t="s">
        <v>1308</v>
      </c>
      <c r="B423" t="s">
        <v>1309</v>
      </c>
      <c r="C423" t="s">
        <v>1310</v>
      </c>
      <c r="D423" s="1">
        <v>41091</v>
      </c>
      <c r="E423" s="1">
        <v>44080</v>
      </c>
      <c r="F423" s="1">
        <v>44085</v>
      </c>
      <c r="G423">
        <v>5</v>
      </c>
      <c r="H423">
        <v>119.44</v>
      </c>
      <c r="I423">
        <v>1433.28</v>
      </c>
      <c r="J423">
        <v>4000</v>
      </c>
      <c r="K423" t="s">
        <v>43</v>
      </c>
      <c r="L423">
        <v>0</v>
      </c>
      <c r="M423">
        <v>8.75</v>
      </c>
      <c r="N423" t="s">
        <v>36</v>
      </c>
      <c r="O423">
        <v>105</v>
      </c>
      <c r="P423">
        <v>25</v>
      </c>
      <c r="Q423">
        <v>1</v>
      </c>
      <c r="R423">
        <v>6</v>
      </c>
      <c r="S423" t="s">
        <v>29</v>
      </c>
      <c r="T423" t="s">
        <v>50</v>
      </c>
      <c r="U423" t="s">
        <v>38</v>
      </c>
      <c r="V423" t="s">
        <v>45</v>
      </c>
      <c r="W423">
        <v>1</v>
      </c>
      <c r="X423">
        <v>1</v>
      </c>
      <c r="Y423" s="2">
        <f>Table1[[#This Row],[premium_yearly]]*Table1[[#This Row],[tenure_years]]</f>
        <v>12541.199999999999</v>
      </c>
      <c r="Z423" s="2">
        <f>Table1[[#This Row],[total_collected_premiums]]*(1-$AD$2)</f>
        <v>9155.0759999999991</v>
      </c>
      <c r="AA423" s="2">
        <f>Table1[[#This Row],[retained_premium]]-Table1[[#This Row],[claim_amount_paid]]</f>
        <v>9155.0759999999991</v>
      </c>
    </row>
    <row r="424" spans="1:27" x14ac:dyDescent="0.35">
      <c r="A424" t="s">
        <v>1311</v>
      </c>
      <c r="B424" t="s">
        <v>1312</v>
      </c>
      <c r="C424" t="s">
        <v>1313</v>
      </c>
      <c r="D424" s="1">
        <v>43543</v>
      </c>
      <c r="E424" s="1">
        <v>44074</v>
      </c>
      <c r="F424" s="1">
        <v>44079</v>
      </c>
      <c r="G424">
        <v>5</v>
      </c>
      <c r="H424">
        <v>136.35</v>
      </c>
      <c r="I424">
        <v>1636.2</v>
      </c>
      <c r="J424">
        <v>7000</v>
      </c>
      <c r="K424" t="s">
        <v>27</v>
      </c>
      <c r="L424">
        <v>7000</v>
      </c>
      <c r="M424">
        <v>6.33</v>
      </c>
      <c r="N424" t="s">
        <v>28</v>
      </c>
      <c r="O424">
        <v>76</v>
      </c>
      <c r="P424">
        <v>50</v>
      </c>
      <c r="Q424">
        <v>0</v>
      </c>
      <c r="R424">
        <v>2</v>
      </c>
      <c r="S424" t="s">
        <v>29</v>
      </c>
      <c r="T424" t="s">
        <v>30</v>
      </c>
      <c r="U424" t="s">
        <v>38</v>
      </c>
      <c r="V424" t="s">
        <v>45</v>
      </c>
      <c r="W424">
        <v>1</v>
      </c>
      <c r="X424">
        <v>1</v>
      </c>
      <c r="Y424" s="2">
        <f>Table1[[#This Row],[premium_yearly]]*Table1[[#This Row],[tenure_years]]</f>
        <v>10357.146000000001</v>
      </c>
      <c r="Z424" s="2">
        <f>Table1[[#This Row],[total_collected_premiums]]*(1-$AD$2)</f>
        <v>7560.7165800000002</v>
      </c>
      <c r="AA424" s="2">
        <f>Table1[[#This Row],[retained_premium]]-Table1[[#This Row],[claim_amount_paid]]</f>
        <v>560.71658000000025</v>
      </c>
    </row>
    <row r="425" spans="1:27" x14ac:dyDescent="0.35">
      <c r="A425" t="s">
        <v>1314</v>
      </c>
      <c r="B425" t="s">
        <v>1315</v>
      </c>
      <c r="C425" t="s">
        <v>1316</v>
      </c>
      <c r="D425" s="1">
        <v>40829</v>
      </c>
      <c r="E425" s="1">
        <v>44086</v>
      </c>
      <c r="F425" s="1">
        <v>44088</v>
      </c>
      <c r="G425">
        <v>2</v>
      </c>
      <c r="H425">
        <v>82.39</v>
      </c>
      <c r="I425">
        <v>988.68</v>
      </c>
      <c r="J425">
        <v>7000</v>
      </c>
      <c r="K425" t="s">
        <v>27</v>
      </c>
      <c r="L425">
        <v>7000</v>
      </c>
      <c r="M425">
        <v>3.25</v>
      </c>
      <c r="N425" t="s">
        <v>36</v>
      </c>
      <c r="O425">
        <v>39</v>
      </c>
      <c r="P425">
        <v>55</v>
      </c>
      <c r="Q425">
        <v>1</v>
      </c>
      <c r="R425">
        <v>5</v>
      </c>
      <c r="S425" t="s">
        <v>65</v>
      </c>
      <c r="T425" t="s">
        <v>50</v>
      </c>
      <c r="U425" t="s">
        <v>38</v>
      </c>
      <c r="V425" t="s">
        <v>32</v>
      </c>
      <c r="W425">
        <v>1</v>
      </c>
      <c r="X425">
        <v>1</v>
      </c>
      <c r="Y425" s="2">
        <f>Table1[[#This Row],[premium_yearly]]*Table1[[#This Row],[tenure_years]]</f>
        <v>3213.21</v>
      </c>
      <c r="Z425" s="2">
        <f>Table1[[#This Row],[total_collected_premiums]]*(1-$AD$2)</f>
        <v>2345.6433000000002</v>
      </c>
      <c r="AA425" s="2">
        <f>Table1[[#This Row],[retained_premium]]-Table1[[#This Row],[claim_amount_paid]]</f>
        <v>-4654.3567000000003</v>
      </c>
    </row>
    <row r="426" spans="1:27" x14ac:dyDescent="0.35">
      <c r="A426" t="s">
        <v>1317</v>
      </c>
      <c r="B426" t="s">
        <v>1318</v>
      </c>
      <c r="C426" t="s">
        <v>1319</v>
      </c>
      <c r="D426" s="1">
        <v>42385</v>
      </c>
      <c r="E426" s="1">
        <v>44091</v>
      </c>
      <c r="F426" s="1">
        <v>44091</v>
      </c>
      <c r="G426">
        <v>0</v>
      </c>
      <c r="H426">
        <v>88.91</v>
      </c>
      <c r="I426">
        <v>1066.92</v>
      </c>
      <c r="J426">
        <v>6000</v>
      </c>
      <c r="K426" t="s">
        <v>27</v>
      </c>
      <c r="L426">
        <v>6000</v>
      </c>
      <c r="M426">
        <v>4.83</v>
      </c>
      <c r="N426" t="s">
        <v>28</v>
      </c>
      <c r="O426">
        <v>58</v>
      </c>
      <c r="P426">
        <v>26</v>
      </c>
      <c r="Q426">
        <v>1</v>
      </c>
      <c r="R426">
        <v>4</v>
      </c>
      <c r="S426" t="s">
        <v>29</v>
      </c>
      <c r="T426" t="s">
        <v>30</v>
      </c>
      <c r="U426" t="s">
        <v>58</v>
      </c>
      <c r="V426" t="s">
        <v>39</v>
      </c>
      <c r="W426">
        <v>1</v>
      </c>
      <c r="X426">
        <v>1</v>
      </c>
      <c r="Y426" s="2">
        <f>Table1[[#This Row],[premium_yearly]]*Table1[[#This Row],[tenure_years]]</f>
        <v>5153.2236000000003</v>
      </c>
      <c r="Z426" s="2">
        <f>Table1[[#This Row],[total_collected_premiums]]*(1-$AD$2)</f>
        <v>3761.8532279999999</v>
      </c>
      <c r="AA426" s="2">
        <f>Table1[[#This Row],[retained_premium]]-Table1[[#This Row],[claim_amount_paid]]</f>
        <v>-2238.1467720000001</v>
      </c>
    </row>
    <row r="427" spans="1:27" x14ac:dyDescent="0.35">
      <c r="A427" t="s">
        <v>1320</v>
      </c>
      <c r="B427" t="s">
        <v>1321</v>
      </c>
      <c r="C427" t="s">
        <v>1322</v>
      </c>
      <c r="D427" s="1">
        <v>42565</v>
      </c>
      <c r="E427" s="1">
        <v>44093</v>
      </c>
      <c r="F427" s="1">
        <v>44093</v>
      </c>
      <c r="G427">
        <v>0</v>
      </c>
      <c r="H427">
        <v>125.98</v>
      </c>
      <c r="I427">
        <v>1511.76</v>
      </c>
      <c r="J427">
        <v>10000</v>
      </c>
      <c r="K427" t="s">
        <v>27</v>
      </c>
      <c r="L427">
        <v>10000</v>
      </c>
      <c r="M427">
        <v>9.25</v>
      </c>
      <c r="N427" t="s">
        <v>36</v>
      </c>
      <c r="O427">
        <v>111</v>
      </c>
      <c r="P427">
        <v>34</v>
      </c>
      <c r="Q427">
        <v>0</v>
      </c>
      <c r="R427">
        <v>5</v>
      </c>
      <c r="S427" t="s">
        <v>29</v>
      </c>
      <c r="T427" t="s">
        <v>50</v>
      </c>
      <c r="U427" t="s">
        <v>58</v>
      </c>
      <c r="V427" t="s">
        <v>39</v>
      </c>
      <c r="W427">
        <v>0</v>
      </c>
      <c r="X427">
        <v>1</v>
      </c>
      <c r="Y427" s="2">
        <f>Table1[[#This Row],[premium_yearly]]*Table1[[#This Row],[tenure_years]]</f>
        <v>13983.78</v>
      </c>
      <c r="Z427" s="2">
        <f>Table1[[#This Row],[total_collected_premiums]]*(1-$AD$2)</f>
        <v>10208.1594</v>
      </c>
      <c r="AA427" s="2">
        <f>Table1[[#This Row],[retained_premium]]-Table1[[#This Row],[claim_amount_paid]]</f>
        <v>208.15940000000046</v>
      </c>
    </row>
    <row r="428" spans="1:27" x14ac:dyDescent="0.35">
      <c r="A428" t="s">
        <v>1323</v>
      </c>
      <c r="B428" t="s">
        <v>1324</v>
      </c>
      <c r="C428" t="s">
        <v>1325</v>
      </c>
      <c r="D428" s="1">
        <v>40478</v>
      </c>
      <c r="E428" s="1">
        <v>44089</v>
      </c>
      <c r="F428" s="1">
        <v>44090</v>
      </c>
      <c r="G428">
        <v>1</v>
      </c>
      <c r="H428">
        <v>78.430000000000007</v>
      </c>
      <c r="I428">
        <v>941.16</v>
      </c>
      <c r="J428">
        <v>8000</v>
      </c>
      <c r="K428" t="s">
        <v>27</v>
      </c>
      <c r="L428">
        <v>8000</v>
      </c>
      <c r="M428">
        <v>5.67</v>
      </c>
      <c r="N428" t="s">
        <v>36</v>
      </c>
      <c r="O428">
        <v>68</v>
      </c>
      <c r="P428">
        <v>35</v>
      </c>
      <c r="Q428">
        <v>0</v>
      </c>
      <c r="R428">
        <v>7</v>
      </c>
      <c r="S428" t="s">
        <v>29</v>
      </c>
      <c r="T428" t="s">
        <v>44</v>
      </c>
      <c r="U428" t="s">
        <v>31</v>
      </c>
      <c r="V428" t="s">
        <v>32</v>
      </c>
      <c r="W428">
        <v>1</v>
      </c>
      <c r="X428">
        <v>1</v>
      </c>
      <c r="Y428" s="2">
        <f>Table1[[#This Row],[premium_yearly]]*Table1[[#This Row],[tenure_years]]</f>
        <v>5336.3771999999999</v>
      </c>
      <c r="Z428" s="2">
        <f>Table1[[#This Row],[total_collected_premiums]]*(1-$AD$2)</f>
        <v>3895.5553559999998</v>
      </c>
      <c r="AA428" s="2">
        <f>Table1[[#This Row],[retained_premium]]-Table1[[#This Row],[claim_amount_paid]]</f>
        <v>-4104.4446440000002</v>
      </c>
    </row>
    <row r="429" spans="1:27" x14ac:dyDescent="0.35">
      <c r="A429" t="s">
        <v>1326</v>
      </c>
      <c r="B429" t="s">
        <v>1327</v>
      </c>
      <c r="C429" t="s">
        <v>1328</v>
      </c>
      <c r="D429" s="1">
        <v>40493</v>
      </c>
      <c r="E429" s="1">
        <v>44087</v>
      </c>
      <c r="F429" s="1">
        <v>44089</v>
      </c>
      <c r="G429">
        <v>2</v>
      </c>
      <c r="H429">
        <v>113.19</v>
      </c>
      <c r="I429">
        <v>1358.28</v>
      </c>
      <c r="J429">
        <v>5000</v>
      </c>
      <c r="K429" t="s">
        <v>27</v>
      </c>
      <c r="L429">
        <v>5000</v>
      </c>
      <c r="M429">
        <v>5.67</v>
      </c>
      <c r="N429" t="s">
        <v>28</v>
      </c>
      <c r="O429">
        <v>68</v>
      </c>
      <c r="P429">
        <v>50</v>
      </c>
      <c r="Q429">
        <v>0</v>
      </c>
      <c r="R429">
        <v>6</v>
      </c>
      <c r="S429" t="s">
        <v>65</v>
      </c>
      <c r="T429" t="s">
        <v>30</v>
      </c>
      <c r="U429" t="s">
        <v>38</v>
      </c>
      <c r="V429" t="s">
        <v>45</v>
      </c>
      <c r="W429">
        <v>1</v>
      </c>
      <c r="X429">
        <v>1</v>
      </c>
      <c r="Y429" s="2">
        <f>Table1[[#This Row],[premium_yearly]]*Table1[[#This Row],[tenure_years]]</f>
        <v>7701.4475999999995</v>
      </c>
      <c r="Z429" s="2">
        <f>Table1[[#This Row],[total_collected_premiums]]*(1-$AD$2)</f>
        <v>5622.0567479999991</v>
      </c>
      <c r="AA429" s="2">
        <f>Table1[[#This Row],[retained_premium]]-Table1[[#This Row],[claim_amount_paid]]</f>
        <v>622.05674799999906</v>
      </c>
    </row>
    <row r="430" spans="1:27" x14ac:dyDescent="0.35">
      <c r="A430" t="s">
        <v>1329</v>
      </c>
      <c r="B430" t="s">
        <v>1330</v>
      </c>
      <c r="C430" t="s">
        <v>1331</v>
      </c>
      <c r="D430" s="1">
        <v>40394</v>
      </c>
      <c r="E430" s="1">
        <v>44086</v>
      </c>
      <c r="F430" s="1">
        <v>44089</v>
      </c>
      <c r="G430">
        <v>3</v>
      </c>
      <c r="H430">
        <v>93.16</v>
      </c>
      <c r="I430">
        <v>1117.92</v>
      </c>
      <c r="J430">
        <v>2000</v>
      </c>
      <c r="K430" t="s">
        <v>43</v>
      </c>
      <c r="L430">
        <v>0</v>
      </c>
      <c r="M430">
        <v>9.83</v>
      </c>
      <c r="N430" t="s">
        <v>36</v>
      </c>
      <c r="O430">
        <v>118</v>
      </c>
      <c r="P430">
        <v>36</v>
      </c>
      <c r="Q430">
        <v>0</v>
      </c>
      <c r="R430">
        <v>4</v>
      </c>
      <c r="S430" t="s">
        <v>37</v>
      </c>
      <c r="T430" t="s">
        <v>30</v>
      </c>
      <c r="U430" t="s">
        <v>38</v>
      </c>
      <c r="V430" t="s">
        <v>39</v>
      </c>
      <c r="W430">
        <v>1</v>
      </c>
      <c r="X430">
        <v>1</v>
      </c>
      <c r="Y430" s="2">
        <f>Table1[[#This Row],[premium_yearly]]*Table1[[#This Row],[tenure_years]]</f>
        <v>10989.153600000001</v>
      </c>
      <c r="Z430" s="2">
        <f>Table1[[#This Row],[total_collected_premiums]]*(1-$AD$2)</f>
        <v>8022.0821280000009</v>
      </c>
      <c r="AA430" s="2">
        <f>Table1[[#This Row],[retained_premium]]-Table1[[#This Row],[claim_amount_paid]]</f>
        <v>8022.0821280000009</v>
      </c>
    </row>
    <row r="431" spans="1:27" x14ac:dyDescent="0.35">
      <c r="A431" t="s">
        <v>1332</v>
      </c>
      <c r="B431" t="s">
        <v>1333</v>
      </c>
      <c r="C431" t="s">
        <v>1334</v>
      </c>
      <c r="D431" s="1">
        <v>42355</v>
      </c>
      <c r="E431" s="1">
        <v>44090</v>
      </c>
      <c r="F431" s="1">
        <v>44091</v>
      </c>
      <c r="G431">
        <v>1</v>
      </c>
      <c r="H431">
        <v>79.069999999999993</v>
      </c>
      <c r="I431">
        <v>948.84</v>
      </c>
      <c r="J431">
        <v>7000</v>
      </c>
      <c r="K431" t="s">
        <v>27</v>
      </c>
      <c r="L431">
        <v>7000</v>
      </c>
      <c r="M431">
        <v>0.57999999999999996</v>
      </c>
      <c r="N431" t="s">
        <v>28</v>
      </c>
      <c r="O431">
        <v>7</v>
      </c>
      <c r="P431">
        <v>28</v>
      </c>
      <c r="Q431">
        <v>1</v>
      </c>
      <c r="R431">
        <v>2</v>
      </c>
      <c r="S431" t="s">
        <v>65</v>
      </c>
      <c r="T431" t="s">
        <v>50</v>
      </c>
      <c r="U431" t="s">
        <v>51</v>
      </c>
      <c r="V431" t="s">
        <v>45</v>
      </c>
      <c r="W431">
        <v>1</v>
      </c>
      <c r="X431">
        <v>0</v>
      </c>
      <c r="Y431" s="2">
        <f>Table1[[#This Row],[premium_yearly]]*Table1[[#This Row],[tenure_years]]</f>
        <v>550.32719999999995</v>
      </c>
      <c r="Z431" s="2">
        <f>Table1[[#This Row],[total_collected_premiums]]*(1-$AD$2)</f>
        <v>401.73885599999994</v>
      </c>
      <c r="AA431" s="2">
        <f>Table1[[#This Row],[retained_premium]]-Table1[[#This Row],[claim_amount_paid]]</f>
        <v>-6598.2611440000001</v>
      </c>
    </row>
    <row r="432" spans="1:27" x14ac:dyDescent="0.35">
      <c r="A432" t="s">
        <v>1335</v>
      </c>
      <c r="B432" t="s">
        <v>1336</v>
      </c>
      <c r="C432" t="s">
        <v>1337</v>
      </c>
      <c r="D432" s="1">
        <v>40371</v>
      </c>
      <c r="E432" s="1">
        <v>44086</v>
      </c>
      <c r="F432" s="1">
        <v>44089</v>
      </c>
      <c r="G432">
        <v>3</v>
      </c>
      <c r="H432">
        <v>110.54</v>
      </c>
      <c r="I432">
        <v>1326.48</v>
      </c>
      <c r="J432">
        <v>7000</v>
      </c>
      <c r="K432" t="s">
        <v>27</v>
      </c>
      <c r="L432">
        <v>7000</v>
      </c>
      <c r="M432">
        <v>2.17</v>
      </c>
      <c r="N432" t="s">
        <v>49</v>
      </c>
      <c r="O432">
        <v>26</v>
      </c>
      <c r="P432">
        <v>37</v>
      </c>
      <c r="Q432">
        <v>1</v>
      </c>
      <c r="R432">
        <v>5</v>
      </c>
      <c r="S432" t="s">
        <v>65</v>
      </c>
      <c r="T432" t="s">
        <v>50</v>
      </c>
      <c r="U432" t="s">
        <v>58</v>
      </c>
      <c r="V432" t="s">
        <v>32</v>
      </c>
      <c r="W432">
        <v>0</v>
      </c>
      <c r="X432">
        <v>1</v>
      </c>
      <c r="Y432" s="2">
        <f>Table1[[#This Row],[premium_yearly]]*Table1[[#This Row],[tenure_years]]</f>
        <v>2878.4616000000001</v>
      </c>
      <c r="Z432" s="2">
        <f>Table1[[#This Row],[total_collected_premiums]]*(1-$AD$2)</f>
        <v>2101.2769680000001</v>
      </c>
      <c r="AA432" s="2">
        <f>Table1[[#This Row],[retained_premium]]-Table1[[#This Row],[claim_amount_paid]]</f>
        <v>-4898.7230319999999</v>
      </c>
    </row>
    <row r="433" spans="1:27" x14ac:dyDescent="0.35">
      <c r="A433" t="s">
        <v>1338</v>
      </c>
      <c r="B433" t="s">
        <v>1339</v>
      </c>
      <c r="C433" t="s">
        <v>1340</v>
      </c>
      <c r="D433" s="1">
        <v>41376</v>
      </c>
      <c r="E433" s="1">
        <v>44088</v>
      </c>
      <c r="F433" s="1">
        <v>44090</v>
      </c>
      <c r="G433">
        <v>2</v>
      </c>
      <c r="H433">
        <v>77.81</v>
      </c>
      <c r="I433">
        <v>933.72</v>
      </c>
      <c r="J433">
        <v>3000</v>
      </c>
      <c r="K433" t="s">
        <v>27</v>
      </c>
      <c r="L433">
        <v>3000</v>
      </c>
      <c r="M433">
        <v>0.67</v>
      </c>
      <c r="N433" t="s">
        <v>36</v>
      </c>
      <c r="O433">
        <v>8</v>
      </c>
      <c r="P433">
        <v>38</v>
      </c>
      <c r="Q433">
        <v>1</v>
      </c>
      <c r="R433">
        <v>5</v>
      </c>
      <c r="S433" t="s">
        <v>65</v>
      </c>
      <c r="T433" t="s">
        <v>30</v>
      </c>
      <c r="U433" t="s">
        <v>58</v>
      </c>
      <c r="V433" t="s">
        <v>32</v>
      </c>
      <c r="W433">
        <v>1</v>
      </c>
      <c r="X433">
        <v>1</v>
      </c>
      <c r="Y433" s="2">
        <f>Table1[[#This Row],[premium_yearly]]*Table1[[#This Row],[tenure_years]]</f>
        <v>625.59240000000011</v>
      </c>
      <c r="Z433" s="2">
        <f>Table1[[#This Row],[total_collected_premiums]]*(1-$AD$2)</f>
        <v>456.68245200000007</v>
      </c>
      <c r="AA433" s="2">
        <f>Table1[[#This Row],[retained_premium]]-Table1[[#This Row],[claim_amount_paid]]</f>
        <v>-2543.317548</v>
      </c>
    </row>
    <row r="434" spans="1:27" x14ac:dyDescent="0.35">
      <c r="A434" t="s">
        <v>1341</v>
      </c>
      <c r="B434" t="s">
        <v>1342</v>
      </c>
      <c r="C434" t="s">
        <v>1343</v>
      </c>
      <c r="D434" s="1">
        <v>41879</v>
      </c>
      <c r="E434" s="1">
        <v>44076</v>
      </c>
      <c r="F434" s="1">
        <v>44081</v>
      </c>
      <c r="G434">
        <v>5</v>
      </c>
      <c r="H434">
        <v>118.73</v>
      </c>
      <c r="I434">
        <v>1424.76</v>
      </c>
      <c r="J434">
        <v>3000</v>
      </c>
      <c r="K434" t="s">
        <v>27</v>
      </c>
      <c r="L434">
        <v>3000</v>
      </c>
      <c r="M434">
        <v>8.33</v>
      </c>
      <c r="N434" t="s">
        <v>36</v>
      </c>
      <c r="O434">
        <v>100</v>
      </c>
      <c r="P434">
        <v>29</v>
      </c>
      <c r="Q434">
        <v>1</v>
      </c>
      <c r="R434">
        <v>3</v>
      </c>
      <c r="S434" t="s">
        <v>29</v>
      </c>
      <c r="T434" t="s">
        <v>50</v>
      </c>
      <c r="U434" t="s">
        <v>38</v>
      </c>
      <c r="V434" t="s">
        <v>32</v>
      </c>
      <c r="W434">
        <v>1</v>
      </c>
      <c r="X434">
        <v>1</v>
      </c>
      <c r="Y434" s="2">
        <f>Table1[[#This Row],[premium_yearly]]*Table1[[#This Row],[tenure_years]]</f>
        <v>11868.2508</v>
      </c>
      <c r="Z434" s="2">
        <f>Table1[[#This Row],[total_collected_premiums]]*(1-$AD$2)</f>
        <v>8663.8230839999997</v>
      </c>
      <c r="AA434" s="2">
        <f>Table1[[#This Row],[retained_premium]]-Table1[[#This Row],[claim_amount_paid]]</f>
        <v>5663.8230839999997</v>
      </c>
    </row>
    <row r="435" spans="1:27" x14ac:dyDescent="0.35">
      <c r="A435" t="s">
        <v>1344</v>
      </c>
      <c r="B435" t="s">
        <v>1345</v>
      </c>
      <c r="C435" t="s">
        <v>1346</v>
      </c>
      <c r="D435" s="1">
        <v>43439</v>
      </c>
      <c r="E435" s="1">
        <v>44080</v>
      </c>
      <c r="F435" s="1">
        <v>44085</v>
      </c>
      <c r="G435">
        <v>5</v>
      </c>
      <c r="H435">
        <v>111.67</v>
      </c>
      <c r="I435">
        <v>1340.04</v>
      </c>
      <c r="J435">
        <v>6000</v>
      </c>
      <c r="K435" t="s">
        <v>27</v>
      </c>
      <c r="L435">
        <v>6000</v>
      </c>
      <c r="M435">
        <v>3.83</v>
      </c>
      <c r="N435" t="s">
        <v>28</v>
      </c>
      <c r="O435">
        <v>46</v>
      </c>
      <c r="P435">
        <v>25</v>
      </c>
      <c r="Q435">
        <v>1</v>
      </c>
      <c r="R435">
        <v>3</v>
      </c>
      <c r="S435" t="s">
        <v>37</v>
      </c>
      <c r="T435" t="s">
        <v>30</v>
      </c>
      <c r="U435" t="s">
        <v>38</v>
      </c>
      <c r="V435" t="s">
        <v>39</v>
      </c>
      <c r="W435">
        <v>0</v>
      </c>
      <c r="X435">
        <v>1</v>
      </c>
      <c r="Y435" s="2">
        <f>Table1[[#This Row],[premium_yearly]]*Table1[[#This Row],[tenure_years]]</f>
        <v>5132.3531999999996</v>
      </c>
      <c r="Z435" s="2">
        <f>Table1[[#This Row],[total_collected_premiums]]*(1-$AD$2)</f>
        <v>3746.6178359999994</v>
      </c>
      <c r="AA435" s="2">
        <f>Table1[[#This Row],[retained_premium]]-Table1[[#This Row],[claim_amount_paid]]</f>
        <v>-2253.3821640000006</v>
      </c>
    </row>
    <row r="436" spans="1:27" x14ac:dyDescent="0.35">
      <c r="A436" t="s">
        <v>1347</v>
      </c>
      <c r="B436" t="s">
        <v>1348</v>
      </c>
      <c r="C436" t="s">
        <v>1349</v>
      </c>
      <c r="D436" s="1">
        <v>42539</v>
      </c>
      <c r="E436" s="1">
        <v>44081</v>
      </c>
      <c r="F436" s="1">
        <v>44086</v>
      </c>
      <c r="G436">
        <v>5</v>
      </c>
      <c r="H436">
        <v>129.79</v>
      </c>
      <c r="I436">
        <v>1557.48</v>
      </c>
      <c r="J436">
        <v>2000</v>
      </c>
      <c r="K436" t="s">
        <v>27</v>
      </c>
      <c r="L436">
        <v>2000</v>
      </c>
      <c r="M436">
        <v>9.5</v>
      </c>
      <c r="N436" t="s">
        <v>36</v>
      </c>
      <c r="O436">
        <v>114</v>
      </c>
      <c r="P436">
        <v>40</v>
      </c>
      <c r="Q436">
        <v>0</v>
      </c>
      <c r="R436">
        <v>7</v>
      </c>
      <c r="S436" t="s">
        <v>65</v>
      </c>
      <c r="T436" t="s">
        <v>30</v>
      </c>
      <c r="U436" t="s">
        <v>31</v>
      </c>
      <c r="V436" t="s">
        <v>45</v>
      </c>
      <c r="W436">
        <v>1</v>
      </c>
      <c r="X436">
        <v>0</v>
      </c>
      <c r="Y436" s="2">
        <f>Table1[[#This Row],[premium_yearly]]*Table1[[#This Row],[tenure_years]]</f>
        <v>14796.06</v>
      </c>
      <c r="Z436" s="2">
        <f>Table1[[#This Row],[total_collected_premiums]]*(1-$AD$2)</f>
        <v>10801.123799999999</v>
      </c>
      <c r="AA436" s="2">
        <f>Table1[[#This Row],[retained_premium]]-Table1[[#This Row],[claim_amount_paid]]</f>
        <v>8801.1237999999994</v>
      </c>
    </row>
    <row r="437" spans="1:27" x14ac:dyDescent="0.35">
      <c r="A437" t="s">
        <v>1350</v>
      </c>
      <c r="B437" t="s">
        <v>1351</v>
      </c>
      <c r="C437" t="s">
        <v>1352</v>
      </c>
      <c r="D437" s="1">
        <v>42898</v>
      </c>
      <c r="E437" s="1">
        <v>44094</v>
      </c>
      <c r="F437" s="1">
        <v>44094</v>
      </c>
      <c r="G437">
        <v>0</v>
      </c>
      <c r="H437">
        <v>80.22</v>
      </c>
      <c r="I437">
        <v>962.64</v>
      </c>
      <c r="J437">
        <v>9000</v>
      </c>
      <c r="K437" t="s">
        <v>27</v>
      </c>
      <c r="L437">
        <v>9000</v>
      </c>
      <c r="M437">
        <v>1.58</v>
      </c>
      <c r="N437" t="s">
        <v>28</v>
      </c>
      <c r="O437">
        <v>19</v>
      </c>
      <c r="P437">
        <v>36</v>
      </c>
      <c r="Q437">
        <v>0</v>
      </c>
      <c r="R437">
        <v>2</v>
      </c>
      <c r="S437" t="s">
        <v>29</v>
      </c>
      <c r="T437" t="s">
        <v>30</v>
      </c>
      <c r="U437" t="s">
        <v>38</v>
      </c>
      <c r="V437" t="s">
        <v>32</v>
      </c>
      <c r="W437">
        <v>0</v>
      </c>
      <c r="X437">
        <v>1</v>
      </c>
      <c r="Y437" s="2">
        <f>Table1[[#This Row],[premium_yearly]]*Table1[[#This Row],[tenure_years]]</f>
        <v>1520.9712</v>
      </c>
      <c r="Z437" s="2">
        <f>Table1[[#This Row],[total_collected_premiums]]*(1-$AD$2)</f>
        <v>1110.308976</v>
      </c>
      <c r="AA437" s="2">
        <f>Table1[[#This Row],[retained_premium]]-Table1[[#This Row],[claim_amount_paid]]</f>
        <v>-7889.6910239999997</v>
      </c>
    </row>
    <row r="438" spans="1:27" x14ac:dyDescent="0.35">
      <c r="A438" t="s">
        <v>1353</v>
      </c>
      <c r="B438" t="s">
        <v>1354</v>
      </c>
      <c r="C438" t="s">
        <v>1355</v>
      </c>
      <c r="D438" s="1">
        <v>41348</v>
      </c>
      <c r="E438" s="1">
        <v>44088</v>
      </c>
      <c r="F438" s="1">
        <v>44091</v>
      </c>
      <c r="G438">
        <v>3</v>
      </c>
      <c r="H438">
        <v>110.54</v>
      </c>
      <c r="I438">
        <v>1326.48</v>
      </c>
      <c r="J438">
        <v>8000</v>
      </c>
      <c r="K438" t="s">
        <v>27</v>
      </c>
      <c r="L438">
        <v>8000</v>
      </c>
      <c r="M438">
        <v>5.42</v>
      </c>
      <c r="N438" t="s">
        <v>49</v>
      </c>
      <c r="O438">
        <v>65</v>
      </c>
      <c r="P438">
        <v>62</v>
      </c>
      <c r="Q438">
        <v>1</v>
      </c>
      <c r="R438">
        <v>4</v>
      </c>
      <c r="S438" t="s">
        <v>65</v>
      </c>
      <c r="T438" t="s">
        <v>50</v>
      </c>
      <c r="U438" t="s">
        <v>38</v>
      </c>
      <c r="V438" t="s">
        <v>39</v>
      </c>
      <c r="W438">
        <v>0</v>
      </c>
      <c r="X438">
        <v>1</v>
      </c>
      <c r="Y438" s="2">
        <f>Table1[[#This Row],[premium_yearly]]*Table1[[#This Row],[tenure_years]]</f>
        <v>7189.5216</v>
      </c>
      <c r="Z438" s="2">
        <f>Table1[[#This Row],[total_collected_premiums]]*(1-$AD$2)</f>
        <v>5248.3507680000002</v>
      </c>
      <c r="AA438" s="2">
        <f>Table1[[#This Row],[retained_premium]]-Table1[[#This Row],[claim_amount_paid]]</f>
        <v>-2751.6492319999998</v>
      </c>
    </row>
    <row r="439" spans="1:27" x14ac:dyDescent="0.35">
      <c r="A439" t="s">
        <v>1356</v>
      </c>
      <c r="B439" t="s">
        <v>1357</v>
      </c>
      <c r="C439" t="s">
        <v>1358</v>
      </c>
      <c r="D439" s="1">
        <v>42702</v>
      </c>
      <c r="E439" s="1">
        <v>44096</v>
      </c>
      <c r="F439" s="1">
        <v>44096</v>
      </c>
      <c r="G439">
        <v>0</v>
      </c>
      <c r="H439">
        <v>81.88</v>
      </c>
      <c r="I439">
        <v>982.56</v>
      </c>
      <c r="J439">
        <v>3000</v>
      </c>
      <c r="K439" t="s">
        <v>27</v>
      </c>
      <c r="L439">
        <v>3000</v>
      </c>
      <c r="M439">
        <v>6.33</v>
      </c>
      <c r="N439" t="s">
        <v>36</v>
      </c>
      <c r="O439">
        <v>76</v>
      </c>
      <c r="P439">
        <v>55</v>
      </c>
      <c r="Q439">
        <v>1</v>
      </c>
      <c r="R439">
        <v>2</v>
      </c>
      <c r="S439" t="s">
        <v>29</v>
      </c>
      <c r="T439" t="s">
        <v>30</v>
      </c>
      <c r="U439" t="s">
        <v>51</v>
      </c>
      <c r="V439" t="s">
        <v>39</v>
      </c>
      <c r="W439">
        <v>1</v>
      </c>
      <c r="X439">
        <v>0</v>
      </c>
      <c r="Y439" s="2">
        <f>Table1[[#This Row],[premium_yearly]]*Table1[[#This Row],[tenure_years]]</f>
        <v>6219.6048000000001</v>
      </c>
      <c r="Z439" s="2">
        <f>Table1[[#This Row],[total_collected_premiums]]*(1-$AD$2)</f>
        <v>4540.3115040000002</v>
      </c>
      <c r="AA439" s="2">
        <f>Table1[[#This Row],[retained_premium]]-Table1[[#This Row],[claim_amount_paid]]</f>
        <v>1540.3115040000002</v>
      </c>
    </row>
    <row r="440" spans="1:27" x14ac:dyDescent="0.35">
      <c r="A440" t="s">
        <v>1359</v>
      </c>
      <c r="B440" t="s">
        <v>1360</v>
      </c>
      <c r="C440" t="s">
        <v>1361</v>
      </c>
      <c r="D440" s="1">
        <v>43254</v>
      </c>
      <c r="E440" s="1">
        <v>44080</v>
      </c>
      <c r="F440" s="1">
        <v>44085</v>
      </c>
      <c r="G440">
        <v>5</v>
      </c>
      <c r="H440">
        <v>75</v>
      </c>
      <c r="I440">
        <v>900</v>
      </c>
      <c r="J440">
        <v>1000</v>
      </c>
      <c r="K440" t="s">
        <v>27</v>
      </c>
      <c r="L440">
        <v>1000</v>
      </c>
      <c r="M440">
        <v>9.67</v>
      </c>
      <c r="N440" t="s">
        <v>28</v>
      </c>
      <c r="O440">
        <v>116</v>
      </c>
      <c r="P440">
        <v>55</v>
      </c>
      <c r="Q440">
        <v>1</v>
      </c>
      <c r="R440">
        <v>5</v>
      </c>
      <c r="S440" t="s">
        <v>29</v>
      </c>
      <c r="T440" t="s">
        <v>30</v>
      </c>
      <c r="U440" t="s">
        <v>31</v>
      </c>
      <c r="V440" t="s">
        <v>32</v>
      </c>
      <c r="W440">
        <v>0</v>
      </c>
      <c r="X440">
        <v>1</v>
      </c>
      <c r="Y440" s="2">
        <f>Table1[[#This Row],[premium_yearly]]*Table1[[#This Row],[tenure_years]]</f>
        <v>8703</v>
      </c>
      <c r="Z440" s="2">
        <f>Table1[[#This Row],[total_collected_premiums]]*(1-$AD$2)</f>
        <v>6353.19</v>
      </c>
      <c r="AA440" s="2">
        <f>Table1[[#This Row],[retained_premium]]-Table1[[#This Row],[claim_amount_paid]]</f>
        <v>5353.19</v>
      </c>
    </row>
    <row r="441" spans="1:27" x14ac:dyDescent="0.35">
      <c r="A441" t="s">
        <v>1362</v>
      </c>
      <c r="B441" t="s">
        <v>1363</v>
      </c>
      <c r="C441" t="s">
        <v>1364</v>
      </c>
      <c r="D441" s="1">
        <v>43583</v>
      </c>
      <c r="E441" s="1">
        <v>44092</v>
      </c>
      <c r="F441" s="1">
        <v>44094</v>
      </c>
      <c r="G441">
        <v>2</v>
      </c>
      <c r="H441">
        <v>99.44</v>
      </c>
      <c r="I441">
        <v>1193.28</v>
      </c>
      <c r="J441">
        <v>7000</v>
      </c>
      <c r="K441" t="s">
        <v>27</v>
      </c>
      <c r="L441">
        <v>7000</v>
      </c>
      <c r="M441">
        <v>4</v>
      </c>
      <c r="N441" t="s">
        <v>28</v>
      </c>
      <c r="O441">
        <v>48</v>
      </c>
      <c r="P441">
        <v>44</v>
      </c>
      <c r="Q441">
        <v>1</v>
      </c>
      <c r="R441">
        <v>3</v>
      </c>
      <c r="S441" t="s">
        <v>65</v>
      </c>
      <c r="T441" t="s">
        <v>44</v>
      </c>
      <c r="U441" t="s">
        <v>38</v>
      </c>
      <c r="V441" t="s">
        <v>32</v>
      </c>
      <c r="W441">
        <v>0</v>
      </c>
      <c r="X441">
        <v>1</v>
      </c>
      <c r="Y441" s="2">
        <f>Table1[[#This Row],[premium_yearly]]*Table1[[#This Row],[tenure_years]]</f>
        <v>4773.12</v>
      </c>
      <c r="Z441" s="2">
        <f>Table1[[#This Row],[total_collected_premiums]]*(1-$AD$2)</f>
        <v>3484.3775999999998</v>
      </c>
      <c r="AA441" s="2">
        <f>Table1[[#This Row],[retained_premium]]-Table1[[#This Row],[claim_amount_paid]]</f>
        <v>-3515.6224000000002</v>
      </c>
    </row>
    <row r="442" spans="1:27" x14ac:dyDescent="0.35">
      <c r="A442" t="s">
        <v>1365</v>
      </c>
      <c r="B442" t="s">
        <v>1366</v>
      </c>
      <c r="C442" t="s">
        <v>1367</v>
      </c>
      <c r="D442" s="1">
        <v>43179</v>
      </c>
      <c r="E442" s="1">
        <v>44088</v>
      </c>
      <c r="F442" s="1">
        <v>44091</v>
      </c>
      <c r="G442">
        <v>3</v>
      </c>
      <c r="H442">
        <v>74.25</v>
      </c>
      <c r="I442">
        <v>891</v>
      </c>
      <c r="J442">
        <v>6000</v>
      </c>
      <c r="K442" t="s">
        <v>27</v>
      </c>
      <c r="L442">
        <v>6000</v>
      </c>
      <c r="M442">
        <v>0.92</v>
      </c>
      <c r="N442" t="s">
        <v>28</v>
      </c>
      <c r="O442">
        <v>11</v>
      </c>
      <c r="P442">
        <v>32</v>
      </c>
      <c r="Q442">
        <v>1</v>
      </c>
      <c r="R442">
        <v>4</v>
      </c>
      <c r="S442" t="s">
        <v>37</v>
      </c>
      <c r="T442" t="s">
        <v>44</v>
      </c>
      <c r="U442" t="s">
        <v>58</v>
      </c>
      <c r="V442" t="s">
        <v>32</v>
      </c>
      <c r="W442">
        <v>0</v>
      </c>
      <c r="X442">
        <v>1</v>
      </c>
      <c r="Y442" s="2">
        <f>Table1[[#This Row],[premium_yearly]]*Table1[[#This Row],[tenure_years]]</f>
        <v>819.72</v>
      </c>
      <c r="Z442" s="2">
        <f>Table1[[#This Row],[total_collected_premiums]]*(1-$AD$2)</f>
        <v>598.39560000000006</v>
      </c>
      <c r="AA442" s="2">
        <f>Table1[[#This Row],[retained_premium]]-Table1[[#This Row],[claim_amount_paid]]</f>
        <v>-5401.6044000000002</v>
      </c>
    </row>
    <row r="443" spans="1:27" x14ac:dyDescent="0.35">
      <c r="A443" t="s">
        <v>1368</v>
      </c>
      <c r="B443" t="s">
        <v>1369</v>
      </c>
      <c r="C443" t="s">
        <v>1370</v>
      </c>
      <c r="D443" s="1">
        <v>41293</v>
      </c>
      <c r="E443" s="1">
        <v>44093</v>
      </c>
      <c r="F443" s="1">
        <v>44094</v>
      </c>
      <c r="G443">
        <v>1</v>
      </c>
      <c r="H443">
        <v>112.24</v>
      </c>
      <c r="I443">
        <v>1346.88</v>
      </c>
      <c r="J443">
        <v>8000</v>
      </c>
      <c r="K443" t="s">
        <v>27</v>
      </c>
      <c r="L443">
        <v>8000</v>
      </c>
      <c r="M443">
        <v>2.58</v>
      </c>
      <c r="N443" t="s">
        <v>49</v>
      </c>
      <c r="O443">
        <v>31</v>
      </c>
      <c r="P443">
        <v>64</v>
      </c>
      <c r="Q443">
        <v>1</v>
      </c>
      <c r="R443">
        <v>4</v>
      </c>
      <c r="S443" t="s">
        <v>29</v>
      </c>
      <c r="T443" t="s">
        <v>50</v>
      </c>
      <c r="U443" t="s">
        <v>31</v>
      </c>
      <c r="V443" t="s">
        <v>32</v>
      </c>
      <c r="W443">
        <v>0</v>
      </c>
      <c r="X443">
        <v>1</v>
      </c>
      <c r="Y443" s="2">
        <f>Table1[[#This Row],[premium_yearly]]*Table1[[#This Row],[tenure_years]]</f>
        <v>3474.9504000000002</v>
      </c>
      <c r="Z443" s="2">
        <f>Table1[[#This Row],[total_collected_premiums]]*(1-$AD$2)</f>
        <v>2536.713792</v>
      </c>
      <c r="AA443" s="2">
        <f>Table1[[#This Row],[retained_premium]]-Table1[[#This Row],[claim_amount_paid]]</f>
        <v>-5463.2862079999995</v>
      </c>
    </row>
    <row r="444" spans="1:27" x14ac:dyDescent="0.35">
      <c r="A444" t="s">
        <v>1371</v>
      </c>
      <c r="B444" t="s">
        <v>1372</v>
      </c>
      <c r="C444" t="s">
        <v>1373</v>
      </c>
      <c r="D444" s="1">
        <v>41300</v>
      </c>
      <c r="E444" s="1">
        <v>44096</v>
      </c>
      <c r="F444" s="1">
        <v>44096</v>
      </c>
      <c r="G444">
        <v>0</v>
      </c>
      <c r="H444">
        <v>86.06</v>
      </c>
      <c r="I444">
        <v>1032.72</v>
      </c>
      <c r="J444">
        <v>4000</v>
      </c>
      <c r="K444" t="s">
        <v>27</v>
      </c>
      <c r="L444">
        <v>4000</v>
      </c>
      <c r="M444">
        <v>6.83</v>
      </c>
      <c r="N444" t="s">
        <v>49</v>
      </c>
      <c r="O444">
        <v>82</v>
      </c>
      <c r="P444">
        <v>54</v>
      </c>
      <c r="Q444">
        <v>1</v>
      </c>
      <c r="R444">
        <v>2</v>
      </c>
      <c r="S444" t="s">
        <v>65</v>
      </c>
      <c r="T444" t="s">
        <v>30</v>
      </c>
      <c r="U444" t="s">
        <v>38</v>
      </c>
      <c r="V444" t="s">
        <v>45</v>
      </c>
      <c r="W444">
        <v>1</v>
      </c>
      <c r="X444">
        <v>0</v>
      </c>
      <c r="Y444" s="2">
        <f>Table1[[#This Row],[premium_yearly]]*Table1[[#This Row],[tenure_years]]</f>
        <v>7053.4776000000002</v>
      </c>
      <c r="Z444" s="2">
        <f>Table1[[#This Row],[total_collected_premiums]]*(1-$AD$2)</f>
        <v>5149.0386479999997</v>
      </c>
      <c r="AA444" s="2">
        <f>Table1[[#This Row],[retained_premium]]-Table1[[#This Row],[claim_amount_paid]]</f>
        <v>1149.0386479999997</v>
      </c>
    </row>
    <row r="445" spans="1:27" x14ac:dyDescent="0.35">
      <c r="A445" t="s">
        <v>1374</v>
      </c>
      <c r="B445" t="s">
        <v>1375</v>
      </c>
      <c r="C445" t="s">
        <v>1376</v>
      </c>
      <c r="D445" s="1">
        <v>41007</v>
      </c>
      <c r="E445" s="1">
        <v>44079</v>
      </c>
      <c r="F445" s="1">
        <v>44084</v>
      </c>
      <c r="G445">
        <v>5</v>
      </c>
      <c r="H445">
        <v>106.01</v>
      </c>
      <c r="I445">
        <v>1272.1199999999999</v>
      </c>
      <c r="J445">
        <v>3000</v>
      </c>
      <c r="K445" t="s">
        <v>27</v>
      </c>
      <c r="L445">
        <v>3000</v>
      </c>
      <c r="M445">
        <v>0.75</v>
      </c>
      <c r="N445" t="s">
        <v>36</v>
      </c>
      <c r="O445">
        <v>9</v>
      </c>
      <c r="P445">
        <v>46</v>
      </c>
      <c r="Q445">
        <v>1</v>
      </c>
      <c r="R445">
        <v>7</v>
      </c>
      <c r="S445" t="s">
        <v>65</v>
      </c>
      <c r="T445" t="s">
        <v>30</v>
      </c>
      <c r="U445" t="s">
        <v>38</v>
      </c>
      <c r="V445" t="s">
        <v>32</v>
      </c>
      <c r="W445">
        <v>1</v>
      </c>
      <c r="X445">
        <v>0</v>
      </c>
      <c r="Y445" s="2">
        <f>Table1[[#This Row],[premium_yearly]]*Table1[[#This Row],[tenure_years]]</f>
        <v>954.08999999999992</v>
      </c>
      <c r="Z445" s="2">
        <f>Table1[[#This Row],[total_collected_premiums]]*(1-$AD$2)</f>
        <v>696.48569999999995</v>
      </c>
      <c r="AA445" s="2">
        <f>Table1[[#This Row],[retained_premium]]-Table1[[#This Row],[claim_amount_paid]]</f>
        <v>-2303.5142999999998</v>
      </c>
    </row>
    <row r="446" spans="1:27" x14ac:dyDescent="0.35">
      <c r="A446" t="s">
        <v>1377</v>
      </c>
      <c r="B446" t="s">
        <v>1378</v>
      </c>
      <c r="C446" t="s">
        <v>1379</v>
      </c>
      <c r="D446" s="1">
        <v>40443</v>
      </c>
      <c r="E446" s="1">
        <v>44091</v>
      </c>
      <c r="F446" s="1">
        <v>44094</v>
      </c>
      <c r="G446">
        <v>3</v>
      </c>
      <c r="H446">
        <v>113.14</v>
      </c>
      <c r="I446">
        <v>1357.68</v>
      </c>
      <c r="J446">
        <v>4000</v>
      </c>
      <c r="K446" t="s">
        <v>27</v>
      </c>
      <c r="L446">
        <v>4000</v>
      </c>
      <c r="M446">
        <v>8.58</v>
      </c>
      <c r="N446" t="s">
        <v>28</v>
      </c>
      <c r="O446">
        <v>103</v>
      </c>
      <c r="P446">
        <v>48</v>
      </c>
      <c r="Q446">
        <v>1</v>
      </c>
      <c r="R446">
        <v>7</v>
      </c>
      <c r="S446" t="s">
        <v>29</v>
      </c>
      <c r="T446" t="s">
        <v>44</v>
      </c>
      <c r="U446" t="s">
        <v>38</v>
      </c>
      <c r="V446" t="s">
        <v>39</v>
      </c>
      <c r="W446">
        <v>0</v>
      </c>
      <c r="X446">
        <v>1</v>
      </c>
      <c r="Y446" s="2">
        <f>Table1[[#This Row],[premium_yearly]]*Table1[[#This Row],[tenure_years]]</f>
        <v>11648.894400000001</v>
      </c>
      <c r="Z446" s="2">
        <f>Table1[[#This Row],[total_collected_premiums]]*(1-$AD$2)</f>
        <v>8503.6929120000004</v>
      </c>
      <c r="AA446" s="2">
        <f>Table1[[#This Row],[retained_premium]]-Table1[[#This Row],[claim_amount_paid]]</f>
        <v>4503.6929120000004</v>
      </c>
    </row>
    <row r="447" spans="1:27" x14ac:dyDescent="0.35">
      <c r="A447" t="s">
        <v>1380</v>
      </c>
      <c r="B447" t="s">
        <v>1381</v>
      </c>
      <c r="C447" t="s">
        <v>1382</v>
      </c>
      <c r="D447" s="1">
        <v>42467</v>
      </c>
      <c r="E447" s="1">
        <v>44094</v>
      </c>
      <c r="F447" s="1">
        <v>44095</v>
      </c>
      <c r="G447">
        <v>1</v>
      </c>
      <c r="H447">
        <v>134.6</v>
      </c>
      <c r="I447">
        <v>1615.2</v>
      </c>
      <c r="J447">
        <v>5000</v>
      </c>
      <c r="K447" t="s">
        <v>43</v>
      </c>
      <c r="L447">
        <v>0</v>
      </c>
      <c r="M447">
        <v>1.92</v>
      </c>
      <c r="N447" t="s">
        <v>49</v>
      </c>
      <c r="O447">
        <v>23</v>
      </c>
      <c r="P447">
        <v>35</v>
      </c>
      <c r="Q447">
        <v>0</v>
      </c>
      <c r="R447">
        <v>3</v>
      </c>
      <c r="S447" t="s">
        <v>29</v>
      </c>
      <c r="T447" t="s">
        <v>50</v>
      </c>
      <c r="U447" t="s">
        <v>58</v>
      </c>
      <c r="V447" t="s">
        <v>45</v>
      </c>
      <c r="W447">
        <v>1</v>
      </c>
      <c r="X447">
        <v>0</v>
      </c>
      <c r="Y447" s="2">
        <f>Table1[[#This Row],[premium_yearly]]*Table1[[#This Row],[tenure_years]]</f>
        <v>3101.1840000000002</v>
      </c>
      <c r="Z447" s="2">
        <f>Table1[[#This Row],[total_collected_premiums]]*(1-$AD$2)</f>
        <v>2263.8643200000001</v>
      </c>
      <c r="AA447" s="2">
        <f>Table1[[#This Row],[retained_premium]]-Table1[[#This Row],[claim_amount_paid]]</f>
        <v>2263.8643200000001</v>
      </c>
    </row>
    <row r="448" spans="1:27" x14ac:dyDescent="0.35">
      <c r="A448" t="s">
        <v>1383</v>
      </c>
      <c r="B448" t="s">
        <v>1384</v>
      </c>
      <c r="C448" t="s">
        <v>1385</v>
      </c>
      <c r="D448" s="1">
        <v>40568</v>
      </c>
      <c r="E448" s="1">
        <v>44098</v>
      </c>
      <c r="F448" s="1">
        <v>44098</v>
      </c>
      <c r="G448">
        <v>0</v>
      </c>
      <c r="H448">
        <v>122.52</v>
      </c>
      <c r="I448">
        <v>1470.24</v>
      </c>
      <c r="J448">
        <v>5000</v>
      </c>
      <c r="K448" t="s">
        <v>27</v>
      </c>
      <c r="L448">
        <v>5000</v>
      </c>
      <c r="M448">
        <v>4.25</v>
      </c>
      <c r="N448" t="s">
        <v>49</v>
      </c>
      <c r="O448">
        <v>51</v>
      </c>
      <c r="P448">
        <v>58</v>
      </c>
      <c r="Q448">
        <v>1</v>
      </c>
      <c r="R448">
        <v>7</v>
      </c>
      <c r="S448" t="s">
        <v>29</v>
      </c>
      <c r="T448" t="s">
        <v>30</v>
      </c>
      <c r="U448" t="s">
        <v>38</v>
      </c>
      <c r="V448" t="s">
        <v>45</v>
      </c>
      <c r="W448">
        <v>1</v>
      </c>
      <c r="X448">
        <v>1</v>
      </c>
      <c r="Y448" s="2">
        <f>Table1[[#This Row],[premium_yearly]]*Table1[[#This Row],[tenure_years]]</f>
        <v>6248.52</v>
      </c>
      <c r="Z448" s="2">
        <f>Table1[[#This Row],[total_collected_premiums]]*(1-$AD$2)</f>
        <v>4561.4196000000002</v>
      </c>
      <c r="AA448" s="2">
        <f>Table1[[#This Row],[retained_premium]]-Table1[[#This Row],[claim_amount_paid]]</f>
        <v>-438.58039999999983</v>
      </c>
    </row>
    <row r="449" spans="1:27" x14ac:dyDescent="0.35">
      <c r="A449" t="s">
        <v>1386</v>
      </c>
      <c r="B449" t="s">
        <v>1387</v>
      </c>
      <c r="C449" t="s">
        <v>1388</v>
      </c>
      <c r="D449" s="1">
        <v>40966</v>
      </c>
      <c r="E449" s="1">
        <v>44080</v>
      </c>
      <c r="F449" s="1">
        <v>44085</v>
      </c>
      <c r="G449">
        <v>5</v>
      </c>
      <c r="H449">
        <v>114.63</v>
      </c>
      <c r="I449">
        <v>1375.56</v>
      </c>
      <c r="J449">
        <v>2000</v>
      </c>
      <c r="K449" t="s">
        <v>27</v>
      </c>
      <c r="L449">
        <v>2000</v>
      </c>
      <c r="M449">
        <v>2.08</v>
      </c>
      <c r="N449" t="s">
        <v>49</v>
      </c>
      <c r="O449">
        <v>25</v>
      </c>
      <c r="P449">
        <v>38</v>
      </c>
      <c r="Q449">
        <v>0</v>
      </c>
      <c r="R449">
        <v>4</v>
      </c>
      <c r="S449" t="s">
        <v>65</v>
      </c>
      <c r="T449" t="s">
        <v>50</v>
      </c>
      <c r="U449" t="s">
        <v>31</v>
      </c>
      <c r="V449" t="s">
        <v>39</v>
      </c>
      <c r="W449">
        <v>1</v>
      </c>
      <c r="X449">
        <v>0</v>
      </c>
      <c r="Y449" s="2">
        <f>Table1[[#This Row],[premium_yearly]]*Table1[[#This Row],[tenure_years]]</f>
        <v>2861.1648</v>
      </c>
      <c r="Z449" s="2">
        <f>Table1[[#This Row],[total_collected_premiums]]*(1-$AD$2)</f>
        <v>2088.6503039999998</v>
      </c>
      <c r="AA449" s="2">
        <f>Table1[[#This Row],[retained_premium]]-Table1[[#This Row],[claim_amount_paid]]</f>
        <v>88.650303999999778</v>
      </c>
    </row>
    <row r="450" spans="1:27" x14ac:dyDescent="0.35">
      <c r="A450" t="s">
        <v>1389</v>
      </c>
      <c r="B450" t="s">
        <v>1390</v>
      </c>
      <c r="C450" t="s">
        <v>1391</v>
      </c>
      <c r="D450" s="1">
        <v>40723</v>
      </c>
      <c r="E450" s="1">
        <v>44081</v>
      </c>
      <c r="F450" s="1">
        <v>44086</v>
      </c>
      <c r="G450">
        <v>5</v>
      </c>
      <c r="H450">
        <v>101.27</v>
      </c>
      <c r="I450">
        <v>1215.24</v>
      </c>
      <c r="J450">
        <v>5000</v>
      </c>
      <c r="K450" t="s">
        <v>27</v>
      </c>
      <c r="L450">
        <v>5000</v>
      </c>
      <c r="M450">
        <v>2.58</v>
      </c>
      <c r="N450" t="s">
        <v>36</v>
      </c>
      <c r="O450">
        <v>31</v>
      </c>
      <c r="P450">
        <v>35</v>
      </c>
      <c r="Q450">
        <v>1</v>
      </c>
      <c r="R450">
        <v>4</v>
      </c>
      <c r="S450" t="s">
        <v>37</v>
      </c>
      <c r="T450" t="s">
        <v>50</v>
      </c>
      <c r="U450" t="s">
        <v>31</v>
      </c>
      <c r="V450" t="s">
        <v>32</v>
      </c>
      <c r="W450">
        <v>1</v>
      </c>
      <c r="X450">
        <v>1</v>
      </c>
      <c r="Y450" s="2">
        <f>Table1[[#This Row],[premium_yearly]]*Table1[[#This Row],[tenure_years]]</f>
        <v>3135.3191999999999</v>
      </c>
      <c r="Z450" s="2">
        <f>Table1[[#This Row],[total_collected_premiums]]*(1-$AD$2)</f>
        <v>2288.7830159999999</v>
      </c>
      <c r="AA450" s="2">
        <f>Table1[[#This Row],[retained_premium]]-Table1[[#This Row],[claim_amount_paid]]</f>
        <v>-2711.2169840000001</v>
      </c>
    </row>
    <row r="451" spans="1:27" x14ac:dyDescent="0.35">
      <c r="A451" t="s">
        <v>1392</v>
      </c>
      <c r="B451" t="s">
        <v>1393</v>
      </c>
      <c r="C451" t="s">
        <v>1394</v>
      </c>
      <c r="D451" s="1">
        <v>41465</v>
      </c>
      <c r="E451" s="1">
        <v>44088</v>
      </c>
      <c r="F451" s="1">
        <v>44093</v>
      </c>
      <c r="G451">
        <v>5</v>
      </c>
      <c r="H451">
        <v>118.98</v>
      </c>
      <c r="I451">
        <v>1427.76</v>
      </c>
      <c r="J451">
        <v>10000</v>
      </c>
      <c r="K451" t="s">
        <v>27</v>
      </c>
      <c r="L451">
        <v>10000</v>
      </c>
      <c r="M451">
        <v>9.25</v>
      </c>
      <c r="N451" t="s">
        <v>28</v>
      </c>
      <c r="O451">
        <v>111</v>
      </c>
      <c r="P451">
        <v>55</v>
      </c>
      <c r="Q451">
        <v>0</v>
      </c>
      <c r="R451">
        <v>6</v>
      </c>
      <c r="S451" t="s">
        <v>29</v>
      </c>
      <c r="T451" t="s">
        <v>30</v>
      </c>
      <c r="U451" t="s">
        <v>38</v>
      </c>
      <c r="V451" t="s">
        <v>45</v>
      </c>
      <c r="W451">
        <v>0</v>
      </c>
      <c r="X451">
        <v>1</v>
      </c>
      <c r="Y451" s="2">
        <f>Table1[[#This Row],[premium_yearly]]*Table1[[#This Row],[tenure_years]]</f>
        <v>13206.78</v>
      </c>
      <c r="Z451" s="2">
        <f>Table1[[#This Row],[total_collected_premiums]]*(1-$AD$2)</f>
        <v>9640.9493999999995</v>
      </c>
      <c r="AA451" s="2">
        <f>Table1[[#This Row],[retained_premium]]-Table1[[#This Row],[claim_amount_paid]]</f>
        <v>-359.05060000000049</v>
      </c>
    </row>
    <row r="452" spans="1:27" x14ac:dyDescent="0.35">
      <c r="A452" t="s">
        <v>1395</v>
      </c>
      <c r="B452" t="s">
        <v>1396</v>
      </c>
      <c r="C452" t="s">
        <v>1397</v>
      </c>
      <c r="D452" s="1">
        <v>43445</v>
      </c>
      <c r="E452" s="1">
        <v>44093</v>
      </c>
      <c r="F452" s="1">
        <v>44095</v>
      </c>
      <c r="G452">
        <v>2</v>
      </c>
      <c r="H452">
        <v>85.8</v>
      </c>
      <c r="I452">
        <v>1029.5999999999999</v>
      </c>
      <c r="J452">
        <v>7000</v>
      </c>
      <c r="K452" t="s">
        <v>27</v>
      </c>
      <c r="L452">
        <v>7000</v>
      </c>
      <c r="M452">
        <v>1.67</v>
      </c>
      <c r="N452" t="s">
        <v>28</v>
      </c>
      <c r="O452">
        <v>20</v>
      </c>
      <c r="P452">
        <v>54</v>
      </c>
      <c r="Q452">
        <v>1</v>
      </c>
      <c r="R452">
        <v>2</v>
      </c>
      <c r="S452" t="s">
        <v>65</v>
      </c>
      <c r="T452" t="s">
        <v>50</v>
      </c>
      <c r="U452" t="s">
        <v>51</v>
      </c>
      <c r="V452" t="s">
        <v>32</v>
      </c>
      <c r="W452">
        <v>0</v>
      </c>
      <c r="X452">
        <v>1</v>
      </c>
      <c r="Y452" s="2">
        <f>Table1[[#This Row],[premium_yearly]]*Table1[[#This Row],[tenure_years]]</f>
        <v>1719.4319999999998</v>
      </c>
      <c r="Z452" s="2">
        <f>Table1[[#This Row],[total_collected_premiums]]*(1-$AD$2)</f>
        <v>1255.1853599999997</v>
      </c>
      <c r="AA452" s="2">
        <f>Table1[[#This Row],[retained_premium]]-Table1[[#This Row],[claim_amount_paid]]</f>
        <v>-5744.8146400000005</v>
      </c>
    </row>
    <row r="453" spans="1:27" x14ac:dyDescent="0.35">
      <c r="A453" t="s">
        <v>1398</v>
      </c>
      <c r="B453" t="s">
        <v>1399</v>
      </c>
      <c r="C453" t="s">
        <v>1400</v>
      </c>
      <c r="D453" s="1">
        <v>42870</v>
      </c>
      <c r="E453" s="1">
        <v>44096</v>
      </c>
      <c r="F453" s="1">
        <v>44097</v>
      </c>
      <c r="G453">
        <v>1</v>
      </c>
      <c r="H453">
        <v>80.319999999999993</v>
      </c>
      <c r="I453">
        <v>963.84</v>
      </c>
      <c r="J453">
        <v>6000</v>
      </c>
      <c r="K453" t="s">
        <v>27</v>
      </c>
      <c r="L453">
        <v>6000</v>
      </c>
      <c r="M453">
        <v>7.42</v>
      </c>
      <c r="N453" t="s">
        <v>36</v>
      </c>
      <c r="O453">
        <v>89</v>
      </c>
      <c r="P453">
        <v>42</v>
      </c>
      <c r="Q453">
        <v>1</v>
      </c>
      <c r="R453">
        <v>5</v>
      </c>
      <c r="S453" t="s">
        <v>29</v>
      </c>
      <c r="T453" t="s">
        <v>50</v>
      </c>
      <c r="U453" t="s">
        <v>38</v>
      </c>
      <c r="V453" t="s">
        <v>32</v>
      </c>
      <c r="W453">
        <v>0</v>
      </c>
      <c r="X453">
        <v>1</v>
      </c>
      <c r="Y453" s="2">
        <f>Table1[[#This Row],[premium_yearly]]*Table1[[#This Row],[tenure_years]]</f>
        <v>7151.6927999999998</v>
      </c>
      <c r="Z453" s="2">
        <f>Table1[[#This Row],[total_collected_premiums]]*(1-$AD$2)</f>
        <v>5220.7357439999996</v>
      </c>
      <c r="AA453" s="2">
        <f>Table1[[#This Row],[retained_premium]]-Table1[[#This Row],[claim_amount_paid]]</f>
        <v>-779.26425600000039</v>
      </c>
    </row>
    <row r="454" spans="1:27" x14ac:dyDescent="0.35">
      <c r="A454" t="s">
        <v>1401</v>
      </c>
      <c r="B454" t="s">
        <v>1402</v>
      </c>
      <c r="C454" t="s">
        <v>1403</v>
      </c>
      <c r="D454" s="1">
        <v>40446</v>
      </c>
      <c r="E454" s="1">
        <v>44086</v>
      </c>
      <c r="F454" s="1">
        <v>44091</v>
      </c>
      <c r="G454">
        <v>5</v>
      </c>
      <c r="H454">
        <v>111.87</v>
      </c>
      <c r="I454">
        <v>1342.44</v>
      </c>
      <c r="J454">
        <v>10000</v>
      </c>
      <c r="K454" t="s">
        <v>27</v>
      </c>
      <c r="L454">
        <v>10000</v>
      </c>
      <c r="M454">
        <v>4.08</v>
      </c>
      <c r="N454" t="s">
        <v>28</v>
      </c>
      <c r="O454">
        <v>49</v>
      </c>
      <c r="P454">
        <v>55</v>
      </c>
      <c r="Q454">
        <v>0</v>
      </c>
      <c r="R454">
        <v>2</v>
      </c>
      <c r="S454" t="s">
        <v>37</v>
      </c>
      <c r="T454" t="s">
        <v>44</v>
      </c>
      <c r="U454" t="s">
        <v>38</v>
      </c>
      <c r="V454" t="s">
        <v>45</v>
      </c>
      <c r="W454">
        <v>1</v>
      </c>
      <c r="X454">
        <v>0</v>
      </c>
      <c r="Y454" s="2">
        <f>Table1[[#This Row],[premium_yearly]]*Table1[[#This Row],[tenure_years]]</f>
        <v>5477.1552000000001</v>
      </c>
      <c r="Z454" s="2">
        <f>Table1[[#This Row],[total_collected_premiums]]*(1-$AD$2)</f>
        <v>3998.323296</v>
      </c>
      <c r="AA454" s="2">
        <f>Table1[[#This Row],[retained_premium]]-Table1[[#This Row],[claim_amount_paid]]</f>
        <v>-6001.6767039999995</v>
      </c>
    </row>
    <row r="455" spans="1:27" x14ac:dyDescent="0.35">
      <c r="A455" t="s">
        <v>1404</v>
      </c>
      <c r="B455" t="s">
        <v>1405</v>
      </c>
      <c r="C455" t="s">
        <v>1406</v>
      </c>
      <c r="D455" s="1">
        <v>41254</v>
      </c>
      <c r="E455" s="1">
        <v>44081</v>
      </c>
      <c r="F455" s="1">
        <v>44086</v>
      </c>
      <c r="G455">
        <v>5</v>
      </c>
      <c r="H455">
        <v>75.28</v>
      </c>
      <c r="I455">
        <v>903.36</v>
      </c>
      <c r="J455">
        <v>6000</v>
      </c>
      <c r="K455" t="s">
        <v>27</v>
      </c>
      <c r="L455">
        <v>6000</v>
      </c>
      <c r="M455">
        <v>7.58</v>
      </c>
      <c r="N455" t="s">
        <v>49</v>
      </c>
      <c r="O455">
        <v>91</v>
      </c>
      <c r="P455">
        <v>39</v>
      </c>
      <c r="Q455">
        <v>1</v>
      </c>
      <c r="R455">
        <v>7</v>
      </c>
      <c r="S455" t="s">
        <v>65</v>
      </c>
      <c r="T455" t="s">
        <v>30</v>
      </c>
      <c r="U455" t="s">
        <v>58</v>
      </c>
      <c r="V455" t="s">
        <v>39</v>
      </c>
      <c r="W455">
        <v>1</v>
      </c>
      <c r="X455">
        <v>0</v>
      </c>
      <c r="Y455" s="2">
        <f>Table1[[#This Row],[premium_yearly]]*Table1[[#This Row],[tenure_years]]</f>
        <v>6847.4688000000006</v>
      </c>
      <c r="Z455" s="2">
        <f>Table1[[#This Row],[total_collected_premiums]]*(1-$AD$2)</f>
        <v>4998.6522240000004</v>
      </c>
      <c r="AA455" s="2">
        <f>Table1[[#This Row],[retained_premium]]-Table1[[#This Row],[claim_amount_paid]]</f>
        <v>-1001.3477759999996</v>
      </c>
    </row>
    <row r="456" spans="1:27" x14ac:dyDescent="0.35">
      <c r="A456" t="s">
        <v>1407</v>
      </c>
      <c r="B456" t="s">
        <v>1408</v>
      </c>
      <c r="C456" t="s">
        <v>1409</v>
      </c>
      <c r="D456" s="1">
        <v>42024</v>
      </c>
      <c r="E456" s="1">
        <v>44083</v>
      </c>
      <c r="F456" s="1">
        <v>44088</v>
      </c>
      <c r="G456">
        <v>5</v>
      </c>
      <c r="H456">
        <v>85</v>
      </c>
      <c r="I456">
        <v>1020</v>
      </c>
      <c r="J456">
        <v>7000</v>
      </c>
      <c r="K456" t="s">
        <v>27</v>
      </c>
      <c r="L456">
        <v>7000</v>
      </c>
      <c r="M456">
        <v>5.42</v>
      </c>
      <c r="N456" t="s">
        <v>36</v>
      </c>
      <c r="O456">
        <v>65</v>
      </c>
      <c r="P456">
        <v>36</v>
      </c>
      <c r="Q456">
        <v>1</v>
      </c>
      <c r="R456">
        <v>7</v>
      </c>
      <c r="S456" t="s">
        <v>29</v>
      </c>
      <c r="T456" t="s">
        <v>30</v>
      </c>
      <c r="U456" t="s">
        <v>88</v>
      </c>
      <c r="V456" t="s">
        <v>45</v>
      </c>
      <c r="W456">
        <v>0</v>
      </c>
      <c r="X456">
        <v>1</v>
      </c>
      <c r="Y456" s="2">
        <f>Table1[[#This Row],[premium_yearly]]*Table1[[#This Row],[tenure_years]]</f>
        <v>5528.4</v>
      </c>
      <c r="Z456" s="2">
        <f>Table1[[#This Row],[total_collected_premiums]]*(1-$AD$2)</f>
        <v>4035.7319999999995</v>
      </c>
      <c r="AA456" s="2">
        <f>Table1[[#This Row],[retained_premium]]-Table1[[#This Row],[claim_amount_paid]]</f>
        <v>-2964.2680000000005</v>
      </c>
    </row>
    <row r="457" spans="1:27" x14ac:dyDescent="0.35">
      <c r="A457" t="s">
        <v>1410</v>
      </c>
      <c r="B457" t="s">
        <v>1411</v>
      </c>
      <c r="C457" t="s">
        <v>1412</v>
      </c>
      <c r="D457" s="1">
        <v>40800</v>
      </c>
      <c r="E457" s="1">
        <v>44089</v>
      </c>
      <c r="F457" s="1">
        <v>44094</v>
      </c>
      <c r="G457">
        <v>5</v>
      </c>
      <c r="H457">
        <v>117</v>
      </c>
      <c r="I457">
        <v>1404</v>
      </c>
      <c r="J457">
        <v>9000</v>
      </c>
      <c r="K457" t="s">
        <v>27</v>
      </c>
      <c r="L457">
        <v>9000</v>
      </c>
      <c r="M457">
        <v>2.58</v>
      </c>
      <c r="N457" t="s">
        <v>28</v>
      </c>
      <c r="O457">
        <v>31</v>
      </c>
      <c r="P457">
        <v>42</v>
      </c>
      <c r="Q457">
        <v>1</v>
      </c>
      <c r="R457">
        <v>3</v>
      </c>
      <c r="S457" t="s">
        <v>29</v>
      </c>
      <c r="T457" t="s">
        <v>30</v>
      </c>
      <c r="U457" t="s">
        <v>51</v>
      </c>
      <c r="V457" t="s">
        <v>45</v>
      </c>
      <c r="W457">
        <v>1</v>
      </c>
      <c r="X457">
        <v>1</v>
      </c>
      <c r="Y457" s="2">
        <f>Table1[[#This Row],[premium_yearly]]*Table1[[#This Row],[tenure_years]]</f>
        <v>3622.32</v>
      </c>
      <c r="Z457" s="2">
        <f>Table1[[#This Row],[total_collected_premiums]]*(1-$AD$2)</f>
        <v>2644.2936</v>
      </c>
      <c r="AA457" s="2">
        <f>Table1[[#This Row],[retained_premium]]-Table1[[#This Row],[claim_amount_paid]]</f>
        <v>-6355.7064</v>
      </c>
    </row>
    <row r="458" spans="1:27" x14ac:dyDescent="0.35">
      <c r="A458" t="s">
        <v>1413</v>
      </c>
      <c r="B458" t="s">
        <v>1414</v>
      </c>
      <c r="C458" t="s">
        <v>1415</v>
      </c>
      <c r="D458" s="1">
        <v>40460</v>
      </c>
      <c r="E458" s="1">
        <v>44096</v>
      </c>
      <c r="F458" s="1">
        <v>44097</v>
      </c>
      <c r="G458">
        <v>1</v>
      </c>
      <c r="H458">
        <v>103.2</v>
      </c>
      <c r="I458">
        <v>1238.4000000000001</v>
      </c>
      <c r="J458">
        <v>2000</v>
      </c>
      <c r="K458" t="s">
        <v>43</v>
      </c>
      <c r="L458">
        <v>0</v>
      </c>
      <c r="M458">
        <v>5.17</v>
      </c>
      <c r="N458" t="s">
        <v>28</v>
      </c>
      <c r="O458">
        <v>62</v>
      </c>
      <c r="P458">
        <v>30</v>
      </c>
      <c r="Q458">
        <v>0</v>
      </c>
      <c r="R458">
        <v>2</v>
      </c>
      <c r="S458" t="s">
        <v>29</v>
      </c>
      <c r="T458" t="s">
        <v>30</v>
      </c>
      <c r="U458" t="s">
        <v>38</v>
      </c>
      <c r="V458" t="s">
        <v>32</v>
      </c>
      <c r="W458">
        <v>0</v>
      </c>
      <c r="X458">
        <v>0</v>
      </c>
      <c r="Y458" s="2">
        <f>Table1[[#This Row],[premium_yearly]]*Table1[[#This Row],[tenure_years]]</f>
        <v>6402.5280000000002</v>
      </c>
      <c r="Z458" s="2">
        <f>Table1[[#This Row],[total_collected_premiums]]*(1-$AD$2)</f>
        <v>4673.8454400000001</v>
      </c>
      <c r="AA458" s="2">
        <f>Table1[[#This Row],[retained_premium]]-Table1[[#This Row],[claim_amount_paid]]</f>
        <v>4673.8454400000001</v>
      </c>
    </row>
    <row r="459" spans="1:27" x14ac:dyDescent="0.35">
      <c r="A459" t="s">
        <v>1416</v>
      </c>
      <c r="B459" t="s">
        <v>1417</v>
      </c>
      <c r="C459" t="s">
        <v>1418</v>
      </c>
      <c r="D459" s="1">
        <v>42729</v>
      </c>
      <c r="E459" s="1">
        <v>44087</v>
      </c>
      <c r="F459" s="1">
        <v>44092</v>
      </c>
      <c r="G459">
        <v>5</v>
      </c>
      <c r="H459">
        <v>119.35</v>
      </c>
      <c r="I459">
        <v>1432.2</v>
      </c>
      <c r="J459">
        <v>5000</v>
      </c>
      <c r="K459" t="s">
        <v>27</v>
      </c>
      <c r="L459">
        <v>5000</v>
      </c>
      <c r="M459">
        <v>8.67</v>
      </c>
      <c r="N459" t="s">
        <v>28</v>
      </c>
      <c r="O459">
        <v>104</v>
      </c>
      <c r="P459">
        <v>34</v>
      </c>
      <c r="Q459">
        <v>1</v>
      </c>
      <c r="R459">
        <v>6</v>
      </c>
      <c r="S459" t="s">
        <v>29</v>
      </c>
      <c r="T459" t="s">
        <v>30</v>
      </c>
      <c r="U459" t="s">
        <v>31</v>
      </c>
      <c r="V459" t="s">
        <v>45</v>
      </c>
      <c r="W459">
        <v>1</v>
      </c>
      <c r="X459">
        <v>0</v>
      </c>
      <c r="Y459" s="2">
        <f>Table1[[#This Row],[premium_yearly]]*Table1[[#This Row],[tenure_years]]</f>
        <v>12417.174000000001</v>
      </c>
      <c r="Z459" s="2">
        <f>Table1[[#This Row],[total_collected_premiums]]*(1-$AD$2)</f>
        <v>9064.5370199999998</v>
      </c>
      <c r="AA459" s="2">
        <f>Table1[[#This Row],[retained_premium]]-Table1[[#This Row],[claim_amount_paid]]</f>
        <v>4064.5370199999998</v>
      </c>
    </row>
    <row r="460" spans="1:27" x14ac:dyDescent="0.35">
      <c r="A460" t="s">
        <v>1419</v>
      </c>
      <c r="B460" t="s">
        <v>1420</v>
      </c>
      <c r="C460" t="s">
        <v>1421</v>
      </c>
      <c r="D460" s="1">
        <v>42769</v>
      </c>
      <c r="E460" s="1">
        <v>44098</v>
      </c>
      <c r="F460" s="1">
        <v>44098</v>
      </c>
      <c r="G460">
        <v>0</v>
      </c>
      <c r="H460">
        <v>107.18</v>
      </c>
      <c r="I460">
        <v>1286.1600000000001</v>
      </c>
      <c r="J460">
        <v>8000</v>
      </c>
      <c r="K460" t="s">
        <v>27</v>
      </c>
      <c r="L460">
        <v>8000</v>
      </c>
      <c r="M460">
        <v>7.5</v>
      </c>
      <c r="N460" t="s">
        <v>36</v>
      </c>
      <c r="O460">
        <v>90</v>
      </c>
      <c r="P460">
        <v>50</v>
      </c>
      <c r="Q460">
        <v>0</v>
      </c>
      <c r="R460">
        <v>3</v>
      </c>
      <c r="S460" t="s">
        <v>65</v>
      </c>
      <c r="T460" t="s">
        <v>44</v>
      </c>
      <c r="U460" t="s">
        <v>66</v>
      </c>
      <c r="V460" t="s">
        <v>45</v>
      </c>
      <c r="W460">
        <v>1</v>
      </c>
      <c r="X460">
        <v>1</v>
      </c>
      <c r="Y460" s="2">
        <f>Table1[[#This Row],[premium_yearly]]*Table1[[#This Row],[tenure_years]]</f>
        <v>9646.2000000000007</v>
      </c>
      <c r="Z460" s="2">
        <f>Table1[[#This Row],[total_collected_premiums]]*(1-$AD$2)</f>
        <v>7041.7260000000006</v>
      </c>
      <c r="AA460" s="2">
        <f>Table1[[#This Row],[retained_premium]]-Table1[[#This Row],[claim_amount_paid]]</f>
        <v>-958.27399999999943</v>
      </c>
    </row>
    <row r="461" spans="1:27" x14ac:dyDescent="0.35">
      <c r="A461" t="s">
        <v>1422</v>
      </c>
      <c r="B461" t="s">
        <v>1423</v>
      </c>
      <c r="C461" t="s">
        <v>1424</v>
      </c>
      <c r="D461" s="1">
        <v>41678</v>
      </c>
      <c r="E461" s="1">
        <v>44090</v>
      </c>
      <c r="F461" s="1">
        <v>44095</v>
      </c>
      <c r="G461">
        <v>5</v>
      </c>
      <c r="H461">
        <v>122.34</v>
      </c>
      <c r="I461">
        <v>1468.08</v>
      </c>
      <c r="J461">
        <v>4000</v>
      </c>
      <c r="K461" t="s">
        <v>27</v>
      </c>
      <c r="L461">
        <v>4000</v>
      </c>
      <c r="M461">
        <v>9.17</v>
      </c>
      <c r="N461" t="s">
        <v>36</v>
      </c>
      <c r="O461">
        <v>110</v>
      </c>
      <c r="P461">
        <v>62</v>
      </c>
      <c r="Q461">
        <v>1</v>
      </c>
      <c r="R461">
        <v>3</v>
      </c>
      <c r="S461" t="s">
        <v>37</v>
      </c>
      <c r="T461" t="s">
        <v>30</v>
      </c>
      <c r="U461" t="s">
        <v>38</v>
      </c>
      <c r="V461" t="s">
        <v>32</v>
      </c>
      <c r="W461">
        <v>1</v>
      </c>
      <c r="X461">
        <v>1</v>
      </c>
      <c r="Y461" s="2">
        <f>Table1[[#This Row],[premium_yearly]]*Table1[[#This Row],[tenure_years]]</f>
        <v>13462.293599999999</v>
      </c>
      <c r="Z461" s="2">
        <f>Table1[[#This Row],[total_collected_premiums]]*(1-$AD$2)</f>
        <v>9827.4743279999984</v>
      </c>
      <c r="AA461" s="2">
        <f>Table1[[#This Row],[retained_premium]]-Table1[[#This Row],[claim_amount_paid]]</f>
        <v>5827.4743279999984</v>
      </c>
    </row>
    <row r="462" spans="1:27" x14ac:dyDescent="0.35">
      <c r="A462" t="s">
        <v>1425</v>
      </c>
      <c r="B462" t="s">
        <v>1426</v>
      </c>
      <c r="C462" t="s">
        <v>1427</v>
      </c>
      <c r="D462" s="1">
        <v>41364</v>
      </c>
      <c r="E462" s="1">
        <v>44100</v>
      </c>
      <c r="F462" s="1">
        <v>44100</v>
      </c>
      <c r="G462">
        <v>0</v>
      </c>
      <c r="H462">
        <v>132.26</v>
      </c>
      <c r="I462">
        <v>1587.12</v>
      </c>
      <c r="J462">
        <v>4000</v>
      </c>
      <c r="K462" t="s">
        <v>27</v>
      </c>
      <c r="L462">
        <v>4000</v>
      </c>
      <c r="M462">
        <v>2.92</v>
      </c>
      <c r="N462" t="s">
        <v>49</v>
      </c>
      <c r="O462">
        <v>35</v>
      </c>
      <c r="P462">
        <v>35</v>
      </c>
      <c r="Q462">
        <v>1</v>
      </c>
      <c r="R462">
        <v>4</v>
      </c>
      <c r="S462" t="s">
        <v>29</v>
      </c>
      <c r="T462" t="s">
        <v>30</v>
      </c>
      <c r="U462" t="s">
        <v>31</v>
      </c>
      <c r="V462" t="s">
        <v>32</v>
      </c>
      <c r="W462">
        <v>0</v>
      </c>
      <c r="X462">
        <v>1</v>
      </c>
      <c r="Y462" s="2">
        <f>Table1[[#This Row],[premium_yearly]]*Table1[[#This Row],[tenure_years]]</f>
        <v>4634.3903999999993</v>
      </c>
      <c r="Z462" s="2">
        <f>Table1[[#This Row],[total_collected_premiums]]*(1-$AD$2)</f>
        <v>3383.1049919999996</v>
      </c>
      <c r="AA462" s="2">
        <f>Table1[[#This Row],[retained_premium]]-Table1[[#This Row],[claim_amount_paid]]</f>
        <v>-616.89500800000042</v>
      </c>
    </row>
    <row r="463" spans="1:27" x14ac:dyDescent="0.35">
      <c r="A463" t="s">
        <v>1428</v>
      </c>
      <c r="B463" t="s">
        <v>1429</v>
      </c>
      <c r="C463" t="s">
        <v>1430</v>
      </c>
      <c r="D463" s="1">
        <v>41320</v>
      </c>
      <c r="E463" s="1">
        <v>44095</v>
      </c>
      <c r="F463" s="1">
        <v>44097</v>
      </c>
      <c r="G463">
        <v>2</v>
      </c>
      <c r="H463">
        <v>118.4</v>
      </c>
      <c r="I463">
        <v>1420.8</v>
      </c>
      <c r="J463">
        <v>1000</v>
      </c>
      <c r="K463" t="s">
        <v>27</v>
      </c>
      <c r="L463">
        <v>1000</v>
      </c>
      <c r="M463">
        <v>5.75</v>
      </c>
      <c r="N463" t="s">
        <v>28</v>
      </c>
      <c r="O463">
        <v>69</v>
      </c>
      <c r="P463">
        <v>54</v>
      </c>
      <c r="Q463">
        <v>0</v>
      </c>
      <c r="R463">
        <v>5</v>
      </c>
      <c r="S463" t="s">
        <v>65</v>
      </c>
      <c r="T463" t="s">
        <v>50</v>
      </c>
      <c r="U463" t="s">
        <v>107</v>
      </c>
      <c r="V463" t="s">
        <v>45</v>
      </c>
      <c r="W463">
        <v>1</v>
      </c>
      <c r="X463">
        <v>1</v>
      </c>
      <c r="Y463" s="2">
        <f>Table1[[#This Row],[premium_yearly]]*Table1[[#This Row],[tenure_years]]</f>
        <v>8169.5999999999995</v>
      </c>
      <c r="Z463" s="2">
        <f>Table1[[#This Row],[total_collected_premiums]]*(1-$AD$2)</f>
        <v>5963.8079999999991</v>
      </c>
      <c r="AA463" s="2">
        <f>Table1[[#This Row],[retained_premium]]-Table1[[#This Row],[claim_amount_paid]]</f>
        <v>4963.8079999999991</v>
      </c>
    </row>
    <row r="464" spans="1:27" x14ac:dyDescent="0.35">
      <c r="A464" t="s">
        <v>1431</v>
      </c>
      <c r="B464" t="s">
        <v>1432</v>
      </c>
      <c r="C464" t="s">
        <v>1433</v>
      </c>
      <c r="D464" s="1">
        <v>40339</v>
      </c>
      <c r="E464" s="1">
        <v>44085</v>
      </c>
      <c r="F464" s="1">
        <v>44090</v>
      </c>
      <c r="G464">
        <v>5</v>
      </c>
      <c r="H464">
        <v>134.96</v>
      </c>
      <c r="I464">
        <v>1619.52</v>
      </c>
      <c r="J464">
        <v>7000</v>
      </c>
      <c r="K464" t="s">
        <v>27</v>
      </c>
      <c r="L464">
        <v>7000</v>
      </c>
      <c r="M464">
        <v>0.67</v>
      </c>
      <c r="N464" t="s">
        <v>36</v>
      </c>
      <c r="O464">
        <v>8</v>
      </c>
      <c r="P464">
        <v>44</v>
      </c>
      <c r="Q464">
        <v>1</v>
      </c>
      <c r="R464">
        <v>4</v>
      </c>
      <c r="S464" t="s">
        <v>29</v>
      </c>
      <c r="T464" t="s">
        <v>30</v>
      </c>
      <c r="U464" t="s">
        <v>51</v>
      </c>
      <c r="V464" t="s">
        <v>45</v>
      </c>
      <c r="W464">
        <v>1</v>
      </c>
      <c r="X464">
        <v>1</v>
      </c>
      <c r="Y464" s="2">
        <f>Table1[[#This Row],[premium_yearly]]*Table1[[#This Row],[tenure_years]]</f>
        <v>1085.0784000000001</v>
      </c>
      <c r="Z464" s="2">
        <f>Table1[[#This Row],[total_collected_premiums]]*(1-$AD$2)</f>
        <v>792.10723200000007</v>
      </c>
      <c r="AA464" s="2">
        <f>Table1[[#This Row],[retained_premium]]-Table1[[#This Row],[claim_amount_paid]]</f>
        <v>-6207.8927679999997</v>
      </c>
    </row>
    <row r="465" spans="1:27" x14ac:dyDescent="0.35">
      <c r="A465" t="s">
        <v>1434</v>
      </c>
      <c r="B465" t="s">
        <v>1435</v>
      </c>
      <c r="C465" t="s">
        <v>1436</v>
      </c>
      <c r="D465" s="1">
        <v>41906</v>
      </c>
      <c r="E465" s="1">
        <v>44095</v>
      </c>
      <c r="F465" s="1">
        <v>44097</v>
      </c>
      <c r="G465">
        <v>2</v>
      </c>
      <c r="H465">
        <v>87.89</v>
      </c>
      <c r="I465">
        <v>1054.68</v>
      </c>
      <c r="J465">
        <v>3000</v>
      </c>
      <c r="K465" t="s">
        <v>27</v>
      </c>
      <c r="L465">
        <v>3000</v>
      </c>
      <c r="M465">
        <v>3.33</v>
      </c>
      <c r="N465" t="s">
        <v>36</v>
      </c>
      <c r="O465">
        <v>40</v>
      </c>
      <c r="P465">
        <v>47</v>
      </c>
      <c r="Q465">
        <v>1</v>
      </c>
      <c r="R465">
        <v>6</v>
      </c>
      <c r="S465" t="s">
        <v>65</v>
      </c>
      <c r="T465" t="s">
        <v>30</v>
      </c>
      <c r="U465" t="s">
        <v>58</v>
      </c>
      <c r="V465" t="s">
        <v>32</v>
      </c>
      <c r="W465">
        <v>1</v>
      </c>
      <c r="X465">
        <v>1</v>
      </c>
      <c r="Y465" s="2">
        <f>Table1[[#This Row],[premium_yearly]]*Table1[[#This Row],[tenure_years]]</f>
        <v>3512.0844000000002</v>
      </c>
      <c r="Z465" s="2">
        <f>Table1[[#This Row],[total_collected_premiums]]*(1-$AD$2)</f>
        <v>2563.8216120000002</v>
      </c>
      <c r="AA465" s="2">
        <f>Table1[[#This Row],[retained_premium]]-Table1[[#This Row],[claim_amount_paid]]</f>
        <v>-436.17838799999981</v>
      </c>
    </row>
    <row r="466" spans="1:27" x14ac:dyDescent="0.35">
      <c r="A466" t="s">
        <v>1437</v>
      </c>
      <c r="B466" t="s">
        <v>1438</v>
      </c>
      <c r="C466" t="s">
        <v>1439</v>
      </c>
      <c r="D466" s="1">
        <v>41016</v>
      </c>
      <c r="E466" s="1">
        <v>44095</v>
      </c>
      <c r="F466" s="1">
        <v>44097</v>
      </c>
      <c r="G466">
        <v>2</v>
      </c>
      <c r="H466">
        <v>83.05</v>
      </c>
      <c r="I466">
        <v>996.6</v>
      </c>
      <c r="J466">
        <v>8000</v>
      </c>
      <c r="K466" t="s">
        <v>27</v>
      </c>
      <c r="L466">
        <v>8000</v>
      </c>
      <c r="M466">
        <v>2</v>
      </c>
      <c r="N466" t="s">
        <v>28</v>
      </c>
      <c r="O466">
        <v>24</v>
      </c>
      <c r="P466">
        <v>49</v>
      </c>
      <c r="Q466">
        <v>1</v>
      </c>
      <c r="R466">
        <v>6</v>
      </c>
      <c r="S466" t="s">
        <v>29</v>
      </c>
      <c r="T466" t="s">
        <v>30</v>
      </c>
      <c r="U466" t="s">
        <v>38</v>
      </c>
      <c r="V466" t="s">
        <v>32</v>
      </c>
      <c r="W466">
        <v>1</v>
      </c>
      <c r="X466">
        <v>1</v>
      </c>
      <c r="Y466" s="2">
        <f>Table1[[#This Row],[premium_yearly]]*Table1[[#This Row],[tenure_years]]</f>
        <v>1993.2</v>
      </c>
      <c r="Z466" s="2">
        <f>Table1[[#This Row],[total_collected_premiums]]*(1-$AD$2)</f>
        <v>1455.0360000000001</v>
      </c>
      <c r="AA466" s="2">
        <f>Table1[[#This Row],[retained_premium]]-Table1[[#This Row],[claim_amount_paid]]</f>
        <v>-6544.9639999999999</v>
      </c>
    </row>
    <row r="467" spans="1:27" x14ac:dyDescent="0.35">
      <c r="A467" t="s">
        <v>1440</v>
      </c>
      <c r="B467" t="s">
        <v>1441</v>
      </c>
      <c r="C467" t="s">
        <v>1442</v>
      </c>
      <c r="D467" s="1">
        <v>40368</v>
      </c>
      <c r="E467" s="1">
        <v>44086</v>
      </c>
      <c r="F467" s="1">
        <v>44091</v>
      </c>
      <c r="G467">
        <v>5</v>
      </c>
      <c r="H467">
        <v>82.99</v>
      </c>
      <c r="I467">
        <v>995.88</v>
      </c>
      <c r="J467">
        <v>4000</v>
      </c>
      <c r="K467" t="s">
        <v>27</v>
      </c>
      <c r="L467">
        <v>4000</v>
      </c>
      <c r="M467">
        <v>3.25</v>
      </c>
      <c r="N467" t="s">
        <v>49</v>
      </c>
      <c r="O467">
        <v>39</v>
      </c>
      <c r="P467">
        <v>33</v>
      </c>
      <c r="Q467">
        <v>0</v>
      </c>
      <c r="R467">
        <v>3</v>
      </c>
      <c r="S467" t="s">
        <v>29</v>
      </c>
      <c r="T467" t="s">
        <v>30</v>
      </c>
      <c r="U467" t="s">
        <v>31</v>
      </c>
      <c r="V467" t="s">
        <v>39</v>
      </c>
      <c r="W467">
        <v>1</v>
      </c>
      <c r="X467">
        <v>0</v>
      </c>
      <c r="Y467" s="2">
        <f>Table1[[#This Row],[premium_yearly]]*Table1[[#This Row],[tenure_years]]</f>
        <v>3236.61</v>
      </c>
      <c r="Z467" s="2">
        <f>Table1[[#This Row],[total_collected_premiums]]*(1-$AD$2)</f>
        <v>2362.7253000000001</v>
      </c>
      <c r="AA467" s="2">
        <f>Table1[[#This Row],[retained_premium]]-Table1[[#This Row],[claim_amount_paid]]</f>
        <v>-1637.2746999999999</v>
      </c>
    </row>
    <row r="468" spans="1:27" x14ac:dyDescent="0.35">
      <c r="A468" t="s">
        <v>1443</v>
      </c>
      <c r="B468" t="s">
        <v>1444</v>
      </c>
      <c r="C468" t="s">
        <v>1445</v>
      </c>
      <c r="D468" s="1">
        <v>40357</v>
      </c>
      <c r="E468" s="1">
        <v>44097</v>
      </c>
      <c r="F468" s="1">
        <v>44098</v>
      </c>
      <c r="G468">
        <v>1</v>
      </c>
      <c r="H468">
        <v>122.88</v>
      </c>
      <c r="I468">
        <v>1474.56</v>
      </c>
      <c r="J468">
        <v>1000</v>
      </c>
      <c r="K468" t="s">
        <v>43</v>
      </c>
      <c r="L468">
        <v>0</v>
      </c>
      <c r="M468">
        <v>4</v>
      </c>
      <c r="N468" t="s">
        <v>36</v>
      </c>
      <c r="O468">
        <v>48</v>
      </c>
      <c r="P468">
        <v>44</v>
      </c>
      <c r="Q468">
        <v>1</v>
      </c>
      <c r="R468">
        <v>6</v>
      </c>
      <c r="S468" t="s">
        <v>65</v>
      </c>
      <c r="T468" t="s">
        <v>30</v>
      </c>
      <c r="U468" t="s">
        <v>66</v>
      </c>
      <c r="V468" t="s">
        <v>32</v>
      </c>
      <c r="W468">
        <v>0</v>
      </c>
      <c r="X468">
        <v>1</v>
      </c>
      <c r="Y468" s="2">
        <f>Table1[[#This Row],[premium_yearly]]*Table1[[#This Row],[tenure_years]]</f>
        <v>5898.24</v>
      </c>
      <c r="Z468" s="2">
        <f>Table1[[#This Row],[total_collected_premiums]]*(1-$AD$2)</f>
        <v>4305.7151999999996</v>
      </c>
      <c r="AA468" s="2">
        <f>Table1[[#This Row],[retained_premium]]-Table1[[#This Row],[claim_amount_paid]]</f>
        <v>4305.7151999999996</v>
      </c>
    </row>
    <row r="469" spans="1:27" x14ac:dyDescent="0.35">
      <c r="A469" t="s">
        <v>1446</v>
      </c>
      <c r="B469" t="s">
        <v>1447</v>
      </c>
      <c r="C469" t="s">
        <v>1448</v>
      </c>
      <c r="D469" s="1">
        <v>41381</v>
      </c>
      <c r="E469" s="1">
        <v>44101</v>
      </c>
      <c r="F469" s="1">
        <v>44101</v>
      </c>
      <c r="G469">
        <v>0</v>
      </c>
      <c r="H469">
        <v>96.33</v>
      </c>
      <c r="I469">
        <v>1155.96</v>
      </c>
      <c r="J469">
        <v>7000</v>
      </c>
      <c r="K469" t="s">
        <v>27</v>
      </c>
      <c r="L469">
        <v>7000</v>
      </c>
      <c r="M469">
        <v>0.57999999999999996</v>
      </c>
      <c r="N469" t="s">
        <v>28</v>
      </c>
      <c r="O469">
        <v>7</v>
      </c>
      <c r="P469">
        <v>38</v>
      </c>
      <c r="Q469">
        <v>1</v>
      </c>
      <c r="R469">
        <v>5</v>
      </c>
      <c r="S469" t="s">
        <v>65</v>
      </c>
      <c r="T469" t="s">
        <v>30</v>
      </c>
      <c r="U469" t="s">
        <v>38</v>
      </c>
      <c r="V469" t="s">
        <v>39</v>
      </c>
      <c r="W469">
        <v>1</v>
      </c>
      <c r="X469">
        <v>1</v>
      </c>
      <c r="Y469" s="2">
        <f>Table1[[#This Row],[premium_yearly]]*Table1[[#This Row],[tenure_years]]</f>
        <v>670.45679999999993</v>
      </c>
      <c r="Z469" s="2">
        <f>Table1[[#This Row],[total_collected_premiums]]*(1-$AD$2)</f>
        <v>489.43346399999996</v>
      </c>
      <c r="AA469" s="2">
        <f>Table1[[#This Row],[retained_premium]]-Table1[[#This Row],[claim_amount_paid]]</f>
        <v>-6510.5665360000003</v>
      </c>
    </row>
    <row r="470" spans="1:27" x14ac:dyDescent="0.35">
      <c r="A470" t="s">
        <v>1449</v>
      </c>
      <c r="B470" t="s">
        <v>1450</v>
      </c>
      <c r="C470" t="s">
        <v>1451</v>
      </c>
      <c r="D470" s="1">
        <v>41992</v>
      </c>
      <c r="E470" s="1">
        <v>44098</v>
      </c>
      <c r="F470" s="1">
        <v>44099</v>
      </c>
      <c r="G470">
        <v>1</v>
      </c>
      <c r="H470">
        <v>109.97</v>
      </c>
      <c r="I470">
        <v>1319.64</v>
      </c>
      <c r="J470">
        <v>3000</v>
      </c>
      <c r="K470" t="s">
        <v>27</v>
      </c>
      <c r="L470">
        <v>3000</v>
      </c>
      <c r="M470">
        <v>4.92</v>
      </c>
      <c r="N470" t="s">
        <v>36</v>
      </c>
      <c r="O470">
        <v>59</v>
      </c>
      <c r="P470">
        <v>48</v>
      </c>
      <c r="Q470">
        <v>1</v>
      </c>
      <c r="R470">
        <v>7</v>
      </c>
      <c r="S470" t="s">
        <v>29</v>
      </c>
      <c r="T470" t="s">
        <v>50</v>
      </c>
      <c r="U470" t="s">
        <v>38</v>
      </c>
      <c r="V470" t="s">
        <v>39</v>
      </c>
      <c r="W470">
        <v>1</v>
      </c>
      <c r="X470">
        <v>1</v>
      </c>
      <c r="Y470" s="2">
        <f>Table1[[#This Row],[premium_yearly]]*Table1[[#This Row],[tenure_years]]</f>
        <v>6492.6288000000004</v>
      </c>
      <c r="Z470" s="2">
        <f>Table1[[#This Row],[total_collected_premiums]]*(1-$AD$2)</f>
        <v>4739.6190240000005</v>
      </c>
      <c r="AA470" s="2">
        <f>Table1[[#This Row],[retained_premium]]-Table1[[#This Row],[claim_amount_paid]]</f>
        <v>1739.6190240000005</v>
      </c>
    </row>
    <row r="471" spans="1:27" x14ac:dyDescent="0.35">
      <c r="A471" t="s">
        <v>1452</v>
      </c>
      <c r="B471" t="s">
        <v>1453</v>
      </c>
      <c r="C471" t="s">
        <v>1454</v>
      </c>
      <c r="D471" s="1">
        <v>43574</v>
      </c>
      <c r="E471" s="1">
        <v>44102</v>
      </c>
      <c r="F471" s="1">
        <v>44102</v>
      </c>
      <c r="G471">
        <v>0</v>
      </c>
      <c r="H471">
        <v>71.319999999999993</v>
      </c>
      <c r="I471">
        <v>855.84</v>
      </c>
      <c r="J471">
        <v>8000</v>
      </c>
      <c r="K471" t="s">
        <v>27</v>
      </c>
      <c r="L471">
        <v>8000</v>
      </c>
      <c r="M471">
        <v>2.92</v>
      </c>
      <c r="N471" t="s">
        <v>36</v>
      </c>
      <c r="O471">
        <v>35</v>
      </c>
      <c r="P471">
        <v>57</v>
      </c>
      <c r="Q471">
        <v>0</v>
      </c>
      <c r="R471">
        <v>4</v>
      </c>
      <c r="S471" t="s">
        <v>29</v>
      </c>
      <c r="T471" t="s">
        <v>30</v>
      </c>
      <c r="U471" t="s">
        <v>51</v>
      </c>
      <c r="V471" t="s">
        <v>32</v>
      </c>
      <c r="W471">
        <v>1</v>
      </c>
      <c r="X471">
        <v>0</v>
      </c>
      <c r="Y471" s="2">
        <f>Table1[[#This Row],[premium_yearly]]*Table1[[#This Row],[tenure_years]]</f>
        <v>2499.0527999999999</v>
      </c>
      <c r="Z471" s="2">
        <f>Table1[[#This Row],[total_collected_premiums]]*(1-$AD$2)</f>
        <v>1824.308544</v>
      </c>
      <c r="AA471" s="2">
        <f>Table1[[#This Row],[retained_premium]]-Table1[[#This Row],[claim_amount_paid]]</f>
        <v>-6175.6914560000005</v>
      </c>
    </row>
    <row r="472" spans="1:27" x14ac:dyDescent="0.35">
      <c r="A472" t="s">
        <v>1455</v>
      </c>
      <c r="B472" t="s">
        <v>1456</v>
      </c>
      <c r="C472" t="s">
        <v>1457</v>
      </c>
      <c r="D472" s="1">
        <v>41359</v>
      </c>
      <c r="E472" s="1">
        <v>44086</v>
      </c>
      <c r="F472" s="1">
        <v>44091</v>
      </c>
      <c r="G472">
        <v>5</v>
      </c>
      <c r="H472">
        <v>84.77</v>
      </c>
      <c r="I472">
        <v>1017.24</v>
      </c>
      <c r="J472">
        <v>4000</v>
      </c>
      <c r="K472" t="s">
        <v>27</v>
      </c>
      <c r="L472">
        <v>4000</v>
      </c>
      <c r="M472">
        <v>8</v>
      </c>
      <c r="N472" t="s">
        <v>49</v>
      </c>
      <c r="O472">
        <v>96</v>
      </c>
      <c r="P472">
        <v>56</v>
      </c>
      <c r="Q472">
        <v>1</v>
      </c>
      <c r="R472">
        <v>6</v>
      </c>
      <c r="S472" t="s">
        <v>65</v>
      </c>
      <c r="T472" t="s">
        <v>30</v>
      </c>
      <c r="U472" t="s">
        <v>38</v>
      </c>
      <c r="V472" t="s">
        <v>45</v>
      </c>
      <c r="W472">
        <v>1</v>
      </c>
      <c r="X472">
        <v>1</v>
      </c>
      <c r="Y472" s="2">
        <f>Table1[[#This Row],[premium_yearly]]*Table1[[#This Row],[tenure_years]]</f>
        <v>8137.92</v>
      </c>
      <c r="Z472" s="2">
        <f>Table1[[#This Row],[total_collected_premiums]]*(1-$AD$2)</f>
        <v>5940.6815999999999</v>
      </c>
      <c r="AA472" s="2">
        <f>Table1[[#This Row],[retained_premium]]-Table1[[#This Row],[claim_amount_paid]]</f>
        <v>1940.6815999999999</v>
      </c>
    </row>
    <row r="473" spans="1:27" x14ac:dyDescent="0.35">
      <c r="A473" t="s">
        <v>1458</v>
      </c>
      <c r="B473" t="s">
        <v>1459</v>
      </c>
      <c r="C473" t="s">
        <v>1460</v>
      </c>
      <c r="D473" s="1">
        <v>42006</v>
      </c>
      <c r="E473" s="1">
        <v>44102</v>
      </c>
      <c r="F473" s="1">
        <v>44102</v>
      </c>
      <c r="G473">
        <v>0</v>
      </c>
      <c r="H473">
        <v>78.97</v>
      </c>
      <c r="I473">
        <v>947.64</v>
      </c>
      <c r="J473">
        <v>1000</v>
      </c>
      <c r="K473" t="s">
        <v>27</v>
      </c>
      <c r="L473">
        <v>1000</v>
      </c>
      <c r="M473">
        <v>6.5</v>
      </c>
      <c r="N473" t="s">
        <v>28</v>
      </c>
      <c r="O473">
        <v>78</v>
      </c>
      <c r="P473">
        <v>26</v>
      </c>
      <c r="Q473">
        <v>1</v>
      </c>
      <c r="R473">
        <v>2</v>
      </c>
      <c r="S473" t="s">
        <v>29</v>
      </c>
      <c r="T473" t="s">
        <v>44</v>
      </c>
      <c r="U473" t="s">
        <v>38</v>
      </c>
      <c r="V473" t="s">
        <v>39</v>
      </c>
      <c r="W473">
        <v>1</v>
      </c>
      <c r="X473">
        <v>0</v>
      </c>
      <c r="Y473" s="2">
        <f>Table1[[#This Row],[premium_yearly]]*Table1[[#This Row],[tenure_years]]</f>
        <v>6159.66</v>
      </c>
      <c r="Z473" s="2">
        <f>Table1[[#This Row],[total_collected_premiums]]*(1-$AD$2)</f>
        <v>4496.5518000000002</v>
      </c>
      <c r="AA473" s="2">
        <f>Table1[[#This Row],[retained_premium]]-Table1[[#This Row],[claim_amount_paid]]</f>
        <v>3496.5518000000002</v>
      </c>
    </row>
    <row r="474" spans="1:27" x14ac:dyDescent="0.35">
      <c r="A474" t="s">
        <v>1461</v>
      </c>
      <c r="B474" t="s">
        <v>1462</v>
      </c>
      <c r="C474" t="s">
        <v>1463</v>
      </c>
      <c r="D474" s="1">
        <v>40482</v>
      </c>
      <c r="E474" s="1">
        <v>44102</v>
      </c>
      <c r="F474" s="1">
        <v>44102</v>
      </c>
      <c r="G474">
        <v>0</v>
      </c>
      <c r="H474">
        <v>138.21</v>
      </c>
      <c r="I474">
        <v>1658.52</v>
      </c>
      <c r="J474">
        <v>3000</v>
      </c>
      <c r="K474" t="s">
        <v>27</v>
      </c>
      <c r="L474">
        <v>3000</v>
      </c>
      <c r="M474">
        <v>9.92</v>
      </c>
      <c r="N474" t="s">
        <v>28</v>
      </c>
      <c r="O474">
        <v>119</v>
      </c>
      <c r="P474">
        <v>59</v>
      </c>
      <c r="Q474">
        <v>1</v>
      </c>
      <c r="R474">
        <v>5</v>
      </c>
      <c r="S474" t="s">
        <v>29</v>
      </c>
      <c r="T474" t="s">
        <v>30</v>
      </c>
      <c r="U474" t="s">
        <v>66</v>
      </c>
      <c r="V474" t="s">
        <v>32</v>
      </c>
      <c r="W474">
        <v>1</v>
      </c>
      <c r="X474">
        <v>0</v>
      </c>
      <c r="Y474" s="2">
        <f>Table1[[#This Row],[premium_yearly]]*Table1[[#This Row],[tenure_years]]</f>
        <v>16452.518400000001</v>
      </c>
      <c r="Z474" s="2">
        <f>Table1[[#This Row],[total_collected_premiums]]*(1-$AD$2)</f>
        <v>12010.338432</v>
      </c>
      <c r="AA474" s="2">
        <f>Table1[[#This Row],[retained_premium]]-Table1[[#This Row],[claim_amount_paid]]</f>
        <v>9010.3384320000005</v>
      </c>
    </row>
    <row r="475" spans="1:27" x14ac:dyDescent="0.35">
      <c r="A475" t="s">
        <v>1464</v>
      </c>
      <c r="B475" t="s">
        <v>1465</v>
      </c>
      <c r="C475" t="s">
        <v>1466</v>
      </c>
      <c r="D475" s="1">
        <v>42151</v>
      </c>
      <c r="E475" s="1">
        <v>44097</v>
      </c>
      <c r="F475" s="1">
        <v>44099</v>
      </c>
      <c r="G475">
        <v>2</v>
      </c>
      <c r="H475">
        <v>93.44</v>
      </c>
      <c r="I475">
        <v>1121.28</v>
      </c>
      <c r="J475">
        <v>5000</v>
      </c>
      <c r="K475" t="s">
        <v>27</v>
      </c>
      <c r="L475">
        <v>5000</v>
      </c>
      <c r="M475">
        <v>7.17</v>
      </c>
      <c r="N475" t="s">
        <v>36</v>
      </c>
      <c r="O475">
        <v>86</v>
      </c>
      <c r="P475">
        <v>55</v>
      </c>
      <c r="Q475">
        <v>1</v>
      </c>
      <c r="R475">
        <v>5</v>
      </c>
      <c r="S475" t="s">
        <v>29</v>
      </c>
      <c r="T475" t="s">
        <v>30</v>
      </c>
      <c r="U475" t="s">
        <v>58</v>
      </c>
      <c r="V475" t="s">
        <v>32</v>
      </c>
      <c r="W475">
        <v>1</v>
      </c>
      <c r="X475">
        <v>0</v>
      </c>
      <c r="Y475" s="2">
        <f>Table1[[#This Row],[premium_yearly]]*Table1[[#This Row],[tenure_years]]</f>
        <v>8039.5775999999996</v>
      </c>
      <c r="Z475" s="2">
        <f>Table1[[#This Row],[total_collected_premiums]]*(1-$AD$2)</f>
        <v>5868.8916479999998</v>
      </c>
      <c r="AA475" s="2">
        <f>Table1[[#This Row],[retained_premium]]-Table1[[#This Row],[claim_amount_paid]]</f>
        <v>868.8916479999998</v>
      </c>
    </row>
    <row r="476" spans="1:27" x14ac:dyDescent="0.35">
      <c r="A476" t="s">
        <v>1467</v>
      </c>
      <c r="B476" t="s">
        <v>1468</v>
      </c>
      <c r="C476" t="s">
        <v>1469</v>
      </c>
      <c r="D476" s="1">
        <v>42643</v>
      </c>
      <c r="E476" s="1">
        <v>44090</v>
      </c>
      <c r="F476" s="1">
        <v>44095</v>
      </c>
      <c r="G476">
        <v>5</v>
      </c>
      <c r="H476">
        <v>130.11000000000001</v>
      </c>
      <c r="I476">
        <v>1561.32</v>
      </c>
      <c r="J476">
        <v>6000</v>
      </c>
      <c r="K476" t="s">
        <v>27</v>
      </c>
      <c r="L476">
        <v>6000</v>
      </c>
      <c r="M476">
        <v>8.83</v>
      </c>
      <c r="N476" t="s">
        <v>36</v>
      </c>
      <c r="O476">
        <v>106</v>
      </c>
      <c r="P476">
        <v>30</v>
      </c>
      <c r="Q476">
        <v>1</v>
      </c>
      <c r="R476">
        <v>7</v>
      </c>
      <c r="S476" t="s">
        <v>29</v>
      </c>
      <c r="T476" t="s">
        <v>30</v>
      </c>
      <c r="U476" t="s">
        <v>88</v>
      </c>
      <c r="V476" t="s">
        <v>32</v>
      </c>
      <c r="W476">
        <v>1</v>
      </c>
      <c r="X476">
        <v>0</v>
      </c>
      <c r="Y476" s="2">
        <f>Table1[[#This Row],[premium_yearly]]*Table1[[#This Row],[tenure_years]]</f>
        <v>13786.455599999999</v>
      </c>
      <c r="Z476" s="2">
        <f>Table1[[#This Row],[total_collected_premiums]]*(1-$AD$2)</f>
        <v>10064.112588</v>
      </c>
      <c r="AA476" s="2">
        <f>Table1[[#This Row],[retained_premium]]-Table1[[#This Row],[claim_amount_paid]]</f>
        <v>4064.112588</v>
      </c>
    </row>
    <row r="477" spans="1:27" x14ac:dyDescent="0.35">
      <c r="A477" t="s">
        <v>1470</v>
      </c>
      <c r="B477" t="s">
        <v>1471</v>
      </c>
      <c r="C477" t="s">
        <v>1472</v>
      </c>
      <c r="D477" s="1">
        <v>42281</v>
      </c>
      <c r="E477" s="1">
        <v>44089</v>
      </c>
      <c r="F477" s="1">
        <v>44094</v>
      </c>
      <c r="G477">
        <v>5</v>
      </c>
      <c r="H477">
        <v>112.26</v>
      </c>
      <c r="I477">
        <v>1347.12</v>
      </c>
      <c r="J477">
        <v>8000</v>
      </c>
      <c r="K477" t="s">
        <v>27</v>
      </c>
      <c r="L477">
        <v>8000</v>
      </c>
      <c r="M477">
        <v>8.75</v>
      </c>
      <c r="N477" t="s">
        <v>36</v>
      </c>
      <c r="O477">
        <v>105</v>
      </c>
      <c r="P477">
        <v>53</v>
      </c>
      <c r="Q477">
        <v>1</v>
      </c>
      <c r="R477">
        <v>4</v>
      </c>
      <c r="S477" t="s">
        <v>29</v>
      </c>
      <c r="T477" t="s">
        <v>44</v>
      </c>
      <c r="U477" t="s">
        <v>31</v>
      </c>
      <c r="V477" t="s">
        <v>39</v>
      </c>
      <c r="W477">
        <v>0</v>
      </c>
      <c r="X477">
        <v>1</v>
      </c>
      <c r="Y477" s="2">
        <f>Table1[[#This Row],[premium_yearly]]*Table1[[#This Row],[tenure_years]]</f>
        <v>11787.3</v>
      </c>
      <c r="Z477" s="2">
        <f>Table1[[#This Row],[total_collected_premiums]]*(1-$AD$2)</f>
        <v>8604.7289999999994</v>
      </c>
      <c r="AA477" s="2">
        <f>Table1[[#This Row],[retained_premium]]-Table1[[#This Row],[claim_amount_paid]]</f>
        <v>604.72899999999936</v>
      </c>
    </row>
    <row r="478" spans="1:27" x14ac:dyDescent="0.35">
      <c r="A478" t="s">
        <v>1473</v>
      </c>
      <c r="B478" t="s">
        <v>1474</v>
      </c>
      <c r="C478" t="s">
        <v>1475</v>
      </c>
      <c r="D478" s="1">
        <v>42833</v>
      </c>
      <c r="E478" s="1">
        <v>44094</v>
      </c>
      <c r="F478" s="1">
        <v>44099</v>
      </c>
      <c r="G478">
        <v>5</v>
      </c>
      <c r="H478">
        <v>116.83</v>
      </c>
      <c r="I478">
        <v>1401.96</v>
      </c>
      <c r="J478">
        <v>10000</v>
      </c>
      <c r="K478" t="s">
        <v>27</v>
      </c>
      <c r="L478">
        <v>10000</v>
      </c>
      <c r="M478">
        <v>5.75</v>
      </c>
      <c r="N478" t="s">
        <v>36</v>
      </c>
      <c r="O478">
        <v>69</v>
      </c>
      <c r="P478">
        <v>45</v>
      </c>
      <c r="Q478">
        <v>1</v>
      </c>
      <c r="R478">
        <v>3</v>
      </c>
      <c r="S478" t="s">
        <v>37</v>
      </c>
      <c r="T478" t="s">
        <v>44</v>
      </c>
      <c r="U478" t="s">
        <v>51</v>
      </c>
      <c r="V478" t="s">
        <v>32</v>
      </c>
      <c r="W478">
        <v>0</v>
      </c>
      <c r="X478">
        <v>0</v>
      </c>
      <c r="Y478" s="2">
        <f>Table1[[#This Row],[premium_yearly]]*Table1[[#This Row],[tenure_years]]</f>
        <v>8061.27</v>
      </c>
      <c r="Z478" s="2">
        <f>Table1[[#This Row],[total_collected_premiums]]*(1-$AD$2)</f>
        <v>5884.7271000000001</v>
      </c>
      <c r="AA478" s="2">
        <f>Table1[[#This Row],[retained_premium]]-Table1[[#This Row],[claim_amount_paid]]</f>
        <v>-4115.2728999999999</v>
      </c>
    </row>
    <row r="479" spans="1:27" x14ac:dyDescent="0.35">
      <c r="A479" t="s">
        <v>1476</v>
      </c>
      <c r="B479" t="s">
        <v>1477</v>
      </c>
      <c r="C479" t="s">
        <v>1478</v>
      </c>
      <c r="D479" s="1">
        <v>43564</v>
      </c>
      <c r="E479" s="1">
        <v>44094</v>
      </c>
      <c r="F479" s="1">
        <v>44099</v>
      </c>
      <c r="G479">
        <v>5</v>
      </c>
      <c r="H479">
        <v>101.29</v>
      </c>
      <c r="I479">
        <v>1215.48</v>
      </c>
      <c r="J479">
        <v>1000</v>
      </c>
      <c r="K479" t="s">
        <v>27</v>
      </c>
      <c r="L479">
        <v>1000</v>
      </c>
      <c r="M479">
        <v>8</v>
      </c>
      <c r="N479" t="s">
        <v>49</v>
      </c>
      <c r="O479">
        <v>96</v>
      </c>
      <c r="P479">
        <v>64</v>
      </c>
      <c r="Q479">
        <v>1</v>
      </c>
      <c r="R479">
        <v>5</v>
      </c>
      <c r="S479" t="s">
        <v>29</v>
      </c>
      <c r="T479" t="s">
        <v>30</v>
      </c>
      <c r="U479" t="s">
        <v>38</v>
      </c>
      <c r="V479" t="s">
        <v>39</v>
      </c>
      <c r="W479">
        <v>1</v>
      </c>
      <c r="X479">
        <v>1</v>
      </c>
      <c r="Y479" s="2">
        <f>Table1[[#This Row],[premium_yearly]]*Table1[[#This Row],[tenure_years]]</f>
        <v>9723.84</v>
      </c>
      <c r="Z479" s="2">
        <f>Table1[[#This Row],[total_collected_premiums]]*(1-$AD$2)</f>
        <v>7098.4031999999997</v>
      </c>
      <c r="AA479" s="2">
        <f>Table1[[#This Row],[retained_premium]]-Table1[[#This Row],[claim_amount_paid]]</f>
        <v>6098.4031999999997</v>
      </c>
    </row>
    <row r="480" spans="1:27" x14ac:dyDescent="0.35">
      <c r="A480" t="s">
        <v>1479</v>
      </c>
      <c r="B480" t="s">
        <v>1480</v>
      </c>
      <c r="C480" t="s">
        <v>1481</v>
      </c>
      <c r="D480" s="1">
        <v>40550</v>
      </c>
      <c r="E480" s="1">
        <v>44086</v>
      </c>
      <c r="F480" s="1">
        <v>44091</v>
      </c>
      <c r="G480">
        <v>5</v>
      </c>
      <c r="H480">
        <v>107.09</v>
      </c>
      <c r="I480">
        <v>1285.08</v>
      </c>
      <c r="J480">
        <v>10000</v>
      </c>
      <c r="K480" t="s">
        <v>27</v>
      </c>
      <c r="L480">
        <v>10000</v>
      </c>
      <c r="M480">
        <v>7.33</v>
      </c>
      <c r="N480" t="s">
        <v>36</v>
      </c>
      <c r="O480">
        <v>88</v>
      </c>
      <c r="P480">
        <v>25</v>
      </c>
      <c r="Q480">
        <v>0</v>
      </c>
      <c r="R480">
        <v>2</v>
      </c>
      <c r="S480" t="s">
        <v>37</v>
      </c>
      <c r="T480" t="s">
        <v>30</v>
      </c>
      <c r="U480" t="s">
        <v>38</v>
      </c>
      <c r="V480" t="s">
        <v>45</v>
      </c>
      <c r="W480">
        <v>1</v>
      </c>
      <c r="X480">
        <v>1</v>
      </c>
      <c r="Y480" s="2">
        <f>Table1[[#This Row],[premium_yearly]]*Table1[[#This Row],[tenure_years]]</f>
        <v>9419.6363999999994</v>
      </c>
      <c r="Z480" s="2">
        <f>Table1[[#This Row],[total_collected_premiums]]*(1-$AD$2)</f>
        <v>6876.3345719999998</v>
      </c>
      <c r="AA480" s="2">
        <f>Table1[[#This Row],[retained_premium]]-Table1[[#This Row],[claim_amount_paid]]</f>
        <v>-3123.6654280000002</v>
      </c>
    </row>
    <row r="481" spans="1:27" x14ac:dyDescent="0.35">
      <c r="A481" t="s">
        <v>1482</v>
      </c>
      <c r="B481" t="s">
        <v>1483</v>
      </c>
      <c r="C481" t="s">
        <v>1484</v>
      </c>
      <c r="D481" s="1">
        <v>42594</v>
      </c>
      <c r="E481" s="1">
        <v>44089</v>
      </c>
      <c r="F481" s="1">
        <v>44094</v>
      </c>
      <c r="G481">
        <v>5</v>
      </c>
      <c r="H481">
        <v>97.92</v>
      </c>
      <c r="I481">
        <v>1175.04</v>
      </c>
      <c r="J481">
        <v>1000</v>
      </c>
      <c r="K481" t="s">
        <v>27</v>
      </c>
      <c r="L481">
        <v>1000</v>
      </c>
      <c r="M481">
        <v>5</v>
      </c>
      <c r="N481" t="s">
        <v>36</v>
      </c>
      <c r="O481">
        <v>60</v>
      </c>
      <c r="P481">
        <v>49</v>
      </c>
      <c r="Q481">
        <v>1</v>
      </c>
      <c r="R481">
        <v>6</v>
      </c>
      <c r="S481" t="s">
        <v>29</v>
      </c>
      <c r="T481" t="s">
        <v>44</v>
      </c>
      <c r="U481" t="s">
        <v>88</v>
      </c>
      <c r="V481" t="s">
        <v>39</v>
      </c>
      <c r="W481">
        <v>1</v>
      </c>
      <c r="X481">
        <v>1</v>
      </c>
      <c r="Y481" s="2">
        <f>Table1[[#This Row],[premium_yearly]]*Table1[[#This Row],[tenure_years]]</f>
        <v>5875.2</v>
      </c>
      <c r="Z481" s="2">
        <f>Table1[[#This Row],[total_collected_premiums]]*(1-$AD$2)</f>
        <v>4288.8959999999997</v>
      </c>
      <c r="AA481" s="2">
        <f>Table1[[#This Row],[retained_premium]]-Table1[[#This Row],[claim_amount_paid]]</f>
        <v>3288.8959999999997</v>
      </c>
    </row>
    <row r="482" spans="1:27" x14ac:dyDescent="0.35">
      <c r="A482" t="s">
        <v>1485</v>
      </c>
      <c r="B482" t="s">
        <v>1486</v>
      </c>
      <c r="C482" t="s">
        <v>1487</v>
      </c>
      <c r="D482" s="1">
        <v>43759</v>
      </c>
      <c r="E482" s="1">
        <v>44103</v>
      </c>
      <c r="F482" s="1">
        <v>44104</v>
      </c>
      <c r="G482">
        <v>1</v>
      </c>
      <c r="H482">
        <v>118.21</v>
      </c>
      <c r="I482">
        <v>1418.52</v>
      </c>
      <c r="J482">
        <v>3000</v>
      </c>
      <c r="K482" t="s">
        <v>27</v>
      </c>
      <c r="L482">
        <v>3000</v>
      </c>
      <c r="M482">
        <v>0.75</v>
      </c>
      <c r="N482" t="s">
        <v>36</v>
      </c>
      <c r="O482">
        <v>9</v>
      </c>
      <c r="P482">
        <v>25</v>
      </c>
      <c r="Q482">
        <v>1</v>
      </c>
      <c r="R482">
        <v>2</v>
      </c>
      <c r="S482" t="s">
        <v>65</v>
      </c>
      <c r="T482" t="s">
        <v>50</v>
      </c>
      <c r="U482" t="s">
        <v>38</v>
      </c>
      <c r="V482" t="s">
        <v>39</v>
      </c>
      <c r="W482">
        <v>1</v>
      </c>
      <c r="X482">
        <v>0</v>
      </c>
      <c r="Y482" s="2">
        <f>Table1[[#This Row],[premium_yearly]]*Table1[[#This Row],[tenure_years]]</f>
        <v>1063.8899999999999</v>
      </c>
      <c r="Z482" s="2">
        <f>Table1[[#This Row],[total_collected_premiums]]*(1-$AD$2)</f>
        <v>776.63969999999983</v>
      </c>
      <c r="AA482" s="2">
        <f>Table1[[#This Row],[retained_premium]]-Table1[[#This Row],[claim_amount_paid]]</f>
        <v>-2223.3603000000003</v>
      </c>
    </row>
    <row r="483" spans="1:27" x14ac:dyDescent="0.35">
      <c r="A483" t="s">
        <v>1488</v>
      </c>
      <c r="B483" t="s">
        <v>1489</v>
      </c>
      <c r="C483" t="s">
        <v>1490</v>
      </c>
      <c r="D483" s="1">
        <v>42777</v>
      </c>
      <c r="E483" s="1">
        <v>44101</v>
      </c>
      <c r="F483" s="1">
        <v>44103</v>
      </c>
      <c r="G483">
        <v>2</v>
      </c>
      <c r="H483">
        <v>98.63</v>
      </c>
      <c r="I483">
        <v>1183.56</v>
      </c>
      <c r="J483">
        <v>3000</v>
      </c>
      <c r="K483" t="s">
        <v>43</v>
      </c>
      <c r="L483">
        <v>0</v>
      </c>
      <c r="M483">
        <v>1.08</v>
      </c>
      <c r="N483" t="s">
        <v>36</v>
      </c>
      <c r="O483">
        <v>13</v>
      </c>
      <c r="P483">
        <v>33</v>
      </c>
      <c r="Q483">
        <v>0</v>
      </c>
      <c r="R483">
        <v>7</v>
      </c>
      <c r="S483" t="s">
        <v>65</v>
      </c>
      <c r="T483" t="s">
        <v>44</v>
      </c>
      <c r="U483" t="s">
        <v>31</v>
      </c>
      <c r="V483" t="s">
        <v>32</v>
      </c>
      <c r="W483">
        <v>1</v>
      </c>
      <c r="X483">
        <v>1</v>
      </c>
      <c r="Y483" s="2">
        <f>Table1[[#This Row],[premium_yearly]]*Table1[[#This Row],[tenure_years]]</f>
        <v>1278.2447999999999</v>
      </c>
      <c r="Z483" s="2">
        <f>Table1[[#This Row],[total_collected_premiums]]*(1-$AD$2)</f>
        <v>933.11870399999998</v>
      </c>
      <c r="AA483" s="2">
        <f>Table1[[#This Row],[retained_premium]]-Table1[[#This Row],[claim_amount_paid]]</f>
        <v>933.11870399999998</v>
      </c>
    </row>
    <row r="484" spans="1:27" x14ac:dyDescent="0.35">
      <c r="A484" t="s">
        <v>1491</v>
      </c>
      <c r="B484" t="s">
        <v>1492</v>
      </c>
      <c r="C484" t="s">
        <v>1493</v>
      </c>
      <c r="D484" s="1">
        <v>43254</v>
      </c>
      <c r="E484" s="1">
        <v>44102</v>
      </c>
      <c r="F484" s="1">
        <v>44104</v>
      </c>
      <c r="G484">
        <v>2</v>
      </c>
      <c r="H484">
        <v>92.58</v>
      </c>
      <c r="I484">
        <v>1110.96</v>
      </c>
      <c r="J484">
        <v>1000</v>
      </c>
      <c r="K484" t="s">
        <v>27</v>
      </c>
      <c r="L484">
        <v>1000</v>
      </c>
      <c r="M484">
        <v>8.33</v>
      </c>
      <c r="N484" t="s">
        <v>49</v>
      </c>
      <c r="O484">
        <v>100</v>
      </c>
      <c r="P484">
        <v>58</v>
      </c>
      <c r="Q484">
        <v>1</v>
      </c>
      <c r="R484">
        <v>6</v>
      </c>
      <c r="S484" t="s">
        <v>65</v>
      </c>
      <c r="T484" t="s">
        <v>50</v>
      </c>
      <c r="U484" t="s">
        <v>58</v>
      </c>
      <c r="V484" t="s">
        <v>32</v>
      </c>
      <c r="W484">
        <v>1</v>
      </c>
      <c r="X484">
        <v>0</v>
      </c>
      <c r="Y484" s="2">
        <f>Table1[[#This Row],[premium_yearly]]*Table1[[#This Row],[tenure_years]]</f>
        <v>9254.2968000000001</v>
      </c>
      <c r="Z484" s="2">
        <f>Table1[[#This Row],[total_collected_premiums]]*(1-$AD$2)</f>
        <v>6755.6366639999997</v>
      </c>
      <c r="AA484" s="2">
        <f>Table1[[#This Row],[retained_premium]]-Table1[[#This Row],[claim_amount_paid]]</f>
        <v>5755.6366639999997</v>
      </c>
    </row>
    <row r="485" spans="1:27" x14ac:dyDescent="0.35">
      <c r="A485" t="s">
        <v>1494</v>
      </c>
      <c r="B485" t="s">
        <v>1495</v>
      </c>
      <c r="C485" t="s">
        <v>1496</v>
      </c>
      <c r="D485" s="1">
        <v>42256</v>
      </c>
      <c r="E485" s="1">
        <v>44089</v>
      </c>
      <c r="F485" s="1">
        <v>44094</v>
      </c>
      <c r="G485">
        <v>5</v>
      </c>
      <c r="H485">
        <v>100.27</v>
      </c>
      <c r="I485">
        <v>1203.24</v>
      </c>
      <c r="J485">
        <v>4000</v>
      </c>
      <c r="K485" t="s">
        <v>27</v>
      </c>
      <c r="L485">
        <v>4000</v>
      </c>
      <c r="M485">
        <v>6.58</v>
      </c>
      <c r="N485" t="s">
        <v>49</v>
      </c>
      <c r="O485">
        <v>79</v>
      </c>
      <c r="P485">
        <v>44</v>
      </c>
      <c r="Q485">
        <v>1</v>
      </c>
      <c r="R485">
        <v>4</v>
      </c>
      <c r="S485" t="s">
        <v>65</v>
      </c>
      <c r="T485" t="s">
        <v>44</v>
      </c>
      <c r="U485" t="s">
        <v>38</v>
      </c>
      <c r="V485" t="s">
        <v>39</v>
      </c>
      <c r="W485">
        <v>1</v>
      </c>
      <c r="X485">
        <v>0</v>
      </c>
      <c r="Y485" s="2">
        <f>Table1[[#This Row],[premium_yearly]]*Table1[[#This Row],[tenure_years]]</f>
        <v>7917.3191999999999</v>
      </c>
      <c r="Z485" s="2">
        <f>Table1[[#This Row],[total_collected_premiums]]*(1-$AD$2)</f>
        <v>5779.643016</v>
      </c>
      <c r="AA485" s="2">
        <f>Table1[[#This Row],[retained_premium]]-Table1[[#This Row],[claim_amount_paid]]</f>
        <v>1779.643016</v>
      </c>
    </row>
    <row r="486" spans="1:27" x14ac:dyDescent="0.35">
      <c r="A486" t="s">
        <v>1497</v>
      </c>
      <c r="B486" t="s">
        <v>1498</v>
      </c>
      <c r="C486" t="s">
        <v>1499</v>
      </c>
      <c r="D486" s="1">
        <v>42380</v>
      </c>
      <c r="E486" s="1">
        <v>44089</v>
      </c>
      <c r="F486" s="1">
        <v>44094</v>
      </c>
      <c r="G486">
        <v>5</v>
      </c>
      <c r="H486">
        <v>79.16</v>
      </c>
      <c r="I486">
        <v>949.92</v>
      </c>
      <c r="J486">
        <v>7000</v>
      </c>
      <c r="K486" t="s">
        <v>27</v>
      </c>
      <c r="L486">
        <v>7000</v>
      </c>
      <c r="M486">
        <v>9.58</v>
      </c>
      <c r="N486" t="s">
        <v>36</v>
      </c>
      <c r="O486">
        <v>115</v>
      </c>
      <c r="P486">
        <v>27</v>
      </c>
      <c r="Q486">
        <v>1</v>
      </c>
      <c r="R486">
        <v>4</v>
      </c>
      <c r="S486" t="s">
        <v>37</v>
      </c>
      <c r="T486" t="s">
        <v>30</v>
      </c>
      <c r="U486" t="s">
        <v>31</v>
      </c>
      <c r="V486" t="s">
        <v>45</v>
      </c>
      <c r="W486">
        <v>1</v>
      </c>
      <c r="X486">
        <v>1</v>
      </c>
      <c r="Y486" s="2">
        <f>Table1[[#This Row],[premium_yearly]]*Table1[[#This Row],[tenure_years]]</f>
        <v>9100.2335999999996</v>
      </c>
      <c r="Z486" s="2">
        <f>Table1[[#This Row],[total_collected_premiums]]*(1-$AD$2)</f>
        <v>6643.1705279999996</v>
      </c>
      <c r="AA486" s="2">
        <f>Table1[[#This Row],[retained_premium]]-Table1[[#This Row],[claim_amount_paid]]</f>
        <v>-356.82947200000035</v>
      </c>
    </row>
    <row r="487" spans="1:27" x14ac:dyDescent="0.35">
      <c r="A487" t="s">
        <v>1500</v>
      </c>
      <c r="B487" t="s">
        <v>1501</v>
      </c>
      <c r="C487" t="s">
        <v>1502</v>
      </c>
      <c r="D487" s="1">
        <v>42749</v>
      </c>
      <c r="E487" s="1">
        <v>44096</v>
      </c>
      <c r="F487" s="1">
        <v>44101</v>
      </c>
      <c r="G487">
        <v>5</v>
      </c>
      <c r="H487">
        <v>120.64</v>
      </c>
      <c r="I487">
        <v>1447.68</v>
      </c>
      <c r="J487">
        <v>6000</v>
      </c>
      <c r="K487" t="s">
        <v>27</v>
      </c>
      <c r="L487">
        <v>6000</v>
      </c>
      <c r="M487">
        <v>8.83</v>
      </c>
      <c r="N487" t="s">
        <v>36</v>
      </c>
      <c r="O487">
        <v>106</v>
      </c>
      <c r="P487">
        <v>28</v>
      </c>
      <c r="Q487">
        <v>1</v>
      </c>
      <c r="R487">
        <v>4</v>
      </c>
      <c r="S487" t="s">
        <v>65</v>
      </c>
      <c r="T487" t="s">
        <v>50</v>
      </c>
      <c r="U487" t="s">
        <v>38</v>
      </c>
      <c r="V487" t="s">
        <v>45</v>
      </c>
      <c r="W487">
        <v>1</v>
      </c>
      <c r="X487">
        <v>1</v>
      </c>
      <c r="Y487" s="2">
        <f>Table1[[#This Row],[premium_yearly]]*Table1[[#This Row],[tenure_years]]</f>
        <v>12783.0144</v>
      </c>
      <c r="Z487" s="2">
        <f>Table1[[#This Row],[total_collected_premiums]]*(1-$AD$2)</f>
        <v>9331.6005119999991</v>
      </c>
      <c r="AA487" s="2">
        <f>Table1[[#This Row],[retained_premium]]-Table1[[#This Row],[claim_amount_paid]]</f>
        <v>3331.6005119999991</v>
      </c>
    </row>
    <row r="488" spans="1:27" x14ac:dyDescent="0.35">
      <c r="A488" t="s">
        <v>1503</v>
      </c>
      <c r="B488" t="s">
        <v>1504</v>
      </c>
      <c r="C488" t="s">
        <v>1505</v>
      </c>
      <c r="D488" s="1">
        <v>41312</v>
      </c>
      <c r="E488" s="1">
        <v>44105</v>
      </c>
      <c r="F488" s="1">
        <v>44105</v>
      </c>
      <c r="G488">
        <v>0</v>
      </c>
      <c r="H488">
        <v>112.17</v>
      </c>
      <c r="I488">
        <v>1346.04</v>
      </c>
      <c r="J488">
        <v>9000</v>
      </c>
      <c r="K488" t="s">
        <v>27</v>
      </c>
      <c r="L488">
        <v>9000</v>
      </c>
      <c r="M488">
        <v>8.08</v>
      </c>
      <c r="N488" t="s">
        <v>36</v>
      </c>
      <c r="O488">
        <v>97</v>
      </c>
      <c r="P488">
        <v>50</v>
      </c>
      <c r="Q488">
        <v>0</v>
      </c>
      <c r="R488">
        <v>7</v>
      </c>
      <c r="S488" t="s">
        <v>65</v>
      </c>
      <c r="T488" t="s">
        <v>44</v>
      </c>
      <c r="U488" t="s">
        <v>31</v>
      </c>
      <c r="V488" t="s">
        <v>32</v>
      </c>
      <c r="W488">
        <v>1</v>
      </c>
      <c r="X488">
        <v>0</v>
      </c>
      <c r="Y488" s="2">
        <f>Table1[[#This Row],[premium_yearly]]*Table1[[#This Row],[tenure_years]]</f>
        <v>10876.003199999999</v>
      </c>
      <c r="Z488" s="2">
        <f>Table1[[#This Row],[total_collected_premiums]]*(1-$AD$2)</f>
        <v>7939.4823359999991</v>
      </c>
      <c r="AA488" s="2">
        <f>Table1[[#This Row],[retained_premium]]-Table1[[#This Row],[claim_amount_paid]]</f>
        <v>-1060.5176640000009</v>
      </c>
    </row>
    <row r="489" spans="1:27" x14ac:dyDescent="0.35">
      <c r="A489" t="s">
        <v>1506</v>
      </c>
      <c r="B489" t="s">
        <v>1507</v>
      </c>
      <c r="C489" t="s">
        <v>1508</v>
      </c>
      <c r="D489" s="1">
        <v>41976</v>
      </c>
      <c r="E489" s="1">
        <v>44104</v>
      </c>
      <c r="F489" s="1">
        <v>44105</v>
      </c>
      <c r="G489">
        <v>1</v>
      </c>
      <c r="H489">
        <v>90.52</v>
      </c>
      <c r="I489">
        <v>1086.24</v>
      </c>
      <c r="J489">
        <v>7000</v>
      </c>
      <c r="K489" t="s">
        <v>27</v>
      </c>
      <c r="L489">
        <v>7000</v>
      </c>
      <c r="M489">
        <v>8.75</v>
      </c>
      <c r="N489" t="s">
        <v>49</v>
      </c>
      <c r="O489">
        <v>105</v>
      </c>
      <c r="P489">
        <v>54</v>
      </c>
      <c r="Q489">
        <v>1</v>
      </c>
      <c r="R489">
        <v>6</v>
      </c>
      <c r="S489" t="s">
        <v>29</v>
      </c>
      <c r="T489" t="s">
        <v>30</v>
      </c>
      <c r="U489" t="s">
        <v>88</v>
      </c>
      <c r="V489" t="s">
        <v>45</v>
      </c>
      <c r="W489">
        <v>1</v>
      </c>
      <c r="X489">
        <v>0</v>
      </c>
      <c r="Y489" s="2">
        <f>Table1[[#This Row],[premium_yearly]]*Table1[[#This Row],[tenure_years]]</f>
        <v>9504.6</v>
      </c>
      <c r="Z489" s="2">
        <f>Table1[[#This Row],[total_collected_premiums]]*(1-$AD$2)</f>
        <v>6938.3580000000002</v>
      </c>
      <c r="AA489" s="2">
        <f>Table1[[#This Row],[retained_premium]]-Table1[[#This Row],[claim_amount_paid]]</f>
        <v>-61.641999999999825</v>
      </c>
    </row>
    <row r="490" spans="1:27" x14ac:dyDescent="0.35">
      <c r="A490" t="s">
        <v>1509</v>
      </c>
      <c r="B490" t="s">
        <v>1510</v>
      </c>
      <c r="C490" t="s">
        <v>1511</v>
      </c>
      <c r="D490" s="1">
        <v>41330</v>
      </c>
      <c r="E490" s="1">
        <v>44099</v>
      </c>
      <c r="F490" s="1">
        <v>44102</v>
      </c>
      <c r="G490">
        <v>3</v>
      </c>
      <c r="H490">
        <v>139.93</v>
      </c>
      <c r="I490">
        <v>1679.16</v>
      </c>
      <c r="J490">
        <v>7000</v>
      </c>
      <c r="K490" t="s">
        <v>27</v>
      </c>
      <c r="L490">
        <v>7000</v>
      </c>
      <c r="M490">
        <v>6.33</v>
      </c>
      <c r="N490" t="s">
        <v>36</v>
      </c>
      <c r="O490">
        <v>76</v>
      </c>
      <c r="P490">
        <v>52</v>
      </c>
      <c r="Q490">
        <v>1</v>
      </c>
      <c r="R490">
        <v>6</v>
      </c>
      <c r="S490" t="s">
        <v>37</v>
      </c>
      <c r="T490" t="s">
        <v>50</v>
      </c>
      <c r="U490" t="s">
        <v>38</v>
      </c>
      <c r="V490" t="s">
        <v>39</v>
      </c>
      <c r="W490">
        <v>0</v>
      </c>
      <c r="X490">
        <v>1</v>
      </c>
      <c r="Y490" s="2">
        <f>Table1[[#This Row],[premium_yearly]]*Table1[[#This Row],[tenure_years]]</f>
        <v>10629.0828</v>
      </c>
      <c r="Z490" s="2">
        <f>Table1[[#This Row],[total_collected_premiums]]*(1-$AD$2)</f>
        <v>7759.2304439999998</v>
      </c>
      <c r="AA490" s="2">
        <f>Table1[[#This Row],[retained_premium]]-Table1[[#This Row],[claim_amount_paid]]</f>
        <v>759.23044399999981</v>
      </c>
    </row>
    <row r="491" spans="1:27" x14ac:dyDescent="0.35">
      <c r="A491" t="s">
        <v>1512</v>
      </c>
      <c r="B491" t="s">
        <v>1513</v>
      </c>
      <c r="C491" t="s">
        <v>1514</v>
      </c>
      <c r="D491" s="1">
        <v>42037</v>
      </c>
      <c r="E491" s="1">
        <v>44099</v>
      </c>
      <c r="F491" s="1">
        <v>44102</v>
      </c>
      <c r="G491">
        <v>3</v>
      </c>
      <c r="H491">
        <v>132.30000000000001</v>
      </c>
      <c r="I491">
        <v>1587.6</v>
      </c>
      <c r="J491">
        <v>3000</v>
      </c>
      <c r="K491" t="s">
        <v>27</v>
      </c>
      <c r="L491">
        <v>3000</v>
      </c>
      <c r="M491">
        <v>6.08</v>
      </c>
      <c r="N491" t="s">
        <v>36</v>
      </c>
      <c r="O491">
        <v>73</v>
      </c>
      <c r="P491">
        <v>41</v>
      </c>
      <c r="Q491">
        <v>0</v>
      </c>
      <c r="R491">
        <v>5</v>
      </c>
      <c r="S491" t="s">
        <v>29</v>
      </c>
      <c r="T491" t="s">
        <v>44</v>
      </c>
      <c r="U491" t="s">
        <v>66</v>
      </c>
      <c r="V491" t="s">
        <v>32</v>
      </c>
      <c r="W491">
        <v>1</v>
      </c>
      <c r="X491">
        <v>1</v>
      </c>
      <c r="Y491" s="2">
        <f>Table1[[#This Row],[premium_yearly]]*Table1[[#This Row],[tenure_years]]</f>
        <v>9652.6080000000002</v>
      </c>
      <c r="Z491" s="2">
        <f>Table1[[#This Row],[total_collected_premiums]]*(1-$AD$2)</f>
        <v>7046.4038399999999</v>
      </c>
      <c r="AA491" s="2">
        <f>Table1[[#This Row],[retained_premium]]-Table1[[#This Row],[claim_amount_paid]]</f>
        <v>4046.4038399999999</v>
      </c>
    </row>
    <row r="492" spans="1:27" x14ac:dyDescent="0.35">
      <c r="A492" t="s">
        <v>1515</v>
      </c>
      <c r="B492" t="s">
        <v>1516</v>
      </c>
      <c r="C492" t="s">
        <v>1517</v>
      </c>
      <c r="D492" s="1">
        <v>43581</v>
      </c>
      <c r="E492" s="1">
        <v>44098</v>
      </c>
      <c r="F492" s="1">
        <v>44103</v>
      </c>
      <c r="G492">
        <v>5</v>
      </c>
      <c r="H492">
        <v>76.349999999999994</v>
      </c>
      <c r="I492">
        <v>916.2</v>
      </c>
      <c r="J492">
        <v>7000</v>
      </c>
      <c r="K492" t="s">
        <v>27</v>
      </c>
      <c r="L492">
        <v>7000</v>
      </c>
      <c r="M492">
        <v>2.5</v>
      </c>
      <c r="N492" t="s">
        <v>49</v>
      </c>
      <c r="O492">
        <v>30</v>
      </c>
      <c r="P492">
        <v>60</v>
      </c>
      <c r="Q492">
        <v>0</v>
      </c>
      <c r="R492">
        <v>6</v>
      </c>
      <c r="S492" t="s">
        <v>65</v>
      </c>
      <c r="T492" t="s">
        <v>50</v>
      </c>
      <c r="U492" t="s">
        <v>31</v>
      </c>
      <c r="V492" t="s">
        <v>39</v>
      </c>
      <c r="W492">
        <v>0</v>
      </c>
      <c r="X492">
        <v>0</v>
      </c>
      <c r="Y492" s="2">
        <f>Table1[[#This Row],[premium_yearly]]*Table1[[#This Row],[tenure_years]]</f>
        <v>2290.5</v>
      </c>
      <c r="Z492" s="2">
        <f>Table1[[#This Row],[total_collected_premiums]]*(1-$AD$2)</f>
        <v>1672.0650000000001</v>
      </c>
      <c r="AA492" s="2">
        <f>Table1[[#This Row],[retained_premium]]-Table1[[#This Row],[claim_amount_paid]]</f>
        <v>-5327.9349999999995</v>
      </c>
    </row>
    <row r="493" spans="1:27" x14ac:dyDescent="0.35">
      <c r="A493" t="s">
        <v>1518</v>
      </c>
      <c r="B493" t="s">
        <v>1519</v>
      </c>
      <c r="C493" t="s">
        <v>1520</v>
      </c>
      <c r="D493" s="1">
        <v>42458</v>
      </c>
      <c r="E493" s="1">
        <v>44104</v>
      </c>
      <c r="F493" s="1">
        <v>44105</v>
      </c>
      <c r="G493">
        <v>1</v>
      </c>
      <c r="H493">
        <v>133.82</v>
      </c>
      <c r="I493">
        <v>1605.84</v>
      </c>
      <c r="J493">
        <v>6000</v>
      </c>
      <c r="K493" t="s">
        <v>27</v>
      </c>
      <c r="L493">
        <v>6000</v>
      </c>
      <c r="M493">
        <v>8.75</v>
      </c>
      <c r="N493" t="s">
        <v>49</v>
      </c>
      <c r="O493">
        <v>105</v>
      </c>
      <c r="P493">
        <v>49</v>
      </c>
      <c r="Q493">
        <v>0</v>
      </c>
      <c r="R493">
        <v>4</v>
      </c>
      <c r="S493" t="s">
        <v>29</v>
      </c>
      <c r="T493" t="s">
        <v>30</v>
      </c>
      <c r="U493" t="s">
        <v>66</v>
      </c>
      <c r="V493" t="s">
        <v>39</v>
      </c>
      <c r="W493">
        <v>0</v>
      </c>
      <c r="X493">
        <v>1</v>
      </c>
      <c r="Y493" s="2">
        <f>Table1[[#This Row],[premium_yearly]]*Table1[[#This Row],[tenure_years]]</f>
        <v>14051.099999999999</v>
      </c>
      <c r="Z493" s="2">
        <f>Table1[[#This Row],[total_collected_premiums]]*(1-$AD$2)</f>
        <v>10257.302999999998</v>
      </c>
      <c r="AA493" s="2">
        <f>Table1[[#This Row],[retained_premium]]-Table1[[#This Row],[claim_amount_paid]]</f>
        <v>4257.3029999999981</v>
      </c>
    </row>
    <row r="494" spans="1:27" x14ac:dyDescent="0.35">
      <c r="A494" t="s">
        <v>1521</v>
      </c>
      <c r="B494" t="s">
        <v>1522</v>
      </c>
      <c r="C494" t="s">
        <v>1523</v>
      </c>
      <c r="D494" s="1">
        <v>43415</v>
      </c>
      <c r="E494" s="1">
        <v>44098</v>
      </c>
      <c r="F494" s="1">
        <v>44103</v>
      </c>
      <c r="G494">
        <v>5</v>
      </c>
      <c r="H494">
        <v>96.18</v>
      </c>
      <c r="I494">
        <v>1154.1600000000001</v>
      </c>
      <c r="J494">
        <v>6000</v>
      </c>
      <c r="K494" t="s">
        <v>27</v>
      </c>
      <c r="L494">
        <v>6000</v>
      </c>
      <c r="M494">
        <v>7</v>
      </c>
      <c r="N494" t="s">
        <v>36</v>
      </c>
      <c r="O494">
        <v>84</v>
      </c>
      <c r="P494">
        <v>62</v>
      </c>
      <c r="Q494">
        <v>0</v>
      </c>
      <c r="R494">
        <v>3</v>
      </c>
      <c r="S494" t="s">
        <v>65</v>
      </c>
      <c r="T494" t="s">
        <v>50</v>
      </c>
      <c r="U494" t="s">
        <v>66</v>
      </c>
      <c r="V494" t="s">
        <v>39</v>
      </c>
      <c r="W494">
        <v>1</v>
      </c>
      <c r="X494">
        <v>1</v>
      </c>
      <c r="Y494" s="2">
        <f>Table1[[#This Row],[premium_yearly]]*Table1[[#This Row],[tenure_years]]</f>
        <v>8079.1200000000008</v>
      </c>
      <c r="Z494" s="2">
        <f>Table1[[#This Row],[total_collected_premiums]]*(1-$AD$2)</f>
        <v>5897.7576000000008</v>
      </c>
      <c r="AA494" s="2">
        <f>Table1[[#This Row],[retained_premium]]-Table1[[#This Row],[claim_amount_paid]]</f>
        <v>-102.24239999999918</v>
      </c>
    </row>
    <row r="495" spans="1:27" x14ac:dyDescent="0.35">
      <c r="A495" t="s">
        <v>1524</v>
      </c>
      <c r="B495" t="s">
        <v>1525</v>
      </c>
      <c r="C495" t="s">
        <v>1526</v>
      </c>
      <c r="D495" s="1">
        <v>42486</v>
      </c>
      <c r="E495" s="1">
        <v>44095</v>
      </c>
      <c r="F495" s="1">
        <v>44100</v>
      </c>
      <c r="G495">
        <v>5</v>
      </c>
      <c r="H495">
        <v>89.19</v>
      </c>
      <c r="I495">
        <v>1070.28</v>
      </c>
      <c r="J495">
        <v>8000</v>
      </c>
      <c r="K495" t="s">
        <v>27</v>
      </c>
      <c r="L495">
        <v>8000</v>
      </c>
      <c r="M495">
        <v>6.83</v>
      </c>
      <c r="N495" t="s">
        <v>36</v>
      </c>
      <c r="O495">
        <v>82</v>
      </c>
      <c r="P495">
        <v>33</v>
      </c>
      <c r="Q495">
        <v>1</v>
      </c>
      <c r="R495">
        <v>7</v>
      </c>
      <c r="S495" t="s">
        <v>65</v>
      </c>
      <c r="T495" t="s">
        <v>30</v>
      </c>
      <c r="U495" t="s">
        <v>31</v>
      </c>
      <c r="V495" t="s">
        <v>39</v>
      </c>
      <c r="W495">
        <v>0</v>
      </c>
      <c r="X495">
        <v>1</v>
      </c>
      <c r="Y495" s="2">
        <f>Table1[[#This Row],[premium_yearly]]*Table1[[#This Row],[tenure_years]]</f>
        <v>7310.0123999999996</v>
      </c>
      <c r="Z495" s="2">
        <f>Table1[[#This Row],[total_collected_premiums]]*(1-$AD$2)</f>
        <v>5336.3090519999996</v>
      </c>
      <c r="AA495" s="2">
        <f>Table1[[#This Row],[retained_premium]]-Table1[[#This Row],[claim_amount_paid]]</f>
        <v>-2663.6909480000004</v>
      </c>
    </row>
    <row r="496" spans="1:27" x14ac:dyDescent="0.35">
      <c r="A496" t="s">
        <v>1527</v>
      </c>
      <c r="B496" t="s">
        <v>1528</v>
      </c>
      <c r="C496" t="s">
        <v>1529</v>
      </c>
      <c r="D496" s="1">
        <v>40711</v>
      </c>
      <c r="E496" s="1">
        <v>44093</v>
      </c>
      <c r="F496" s="1">
        <v>44098</v>
      </c>
      <c r="G496">
        <v>5</v>
      </c>
      <c r="H496">
        <v>133.76</v>
      </c>
      <c r="I496">
        <v>1605.12</v>
      </c>
      <c r="J496">
        <v>4000</v>
      </c>
      <c r="K496" t="s">
        <v>27</v>
      </c>
      <c r="L496">
        <v>4000</v>
      </c>
      <c r="M496">
        <v>2.42</v>
      </c>
      <c r="N496" t="s">
        <v>36</v>
      </c>
      <c r="O496">
        <v>29</v>
      </c>
      <c r="P496">
        <v>30</v>
      </c>
      <c r="Q496">
        <v>1</v>
      </c>
      <c r="R496">
        <v>6</v>
      </c>
      <c r="S496" t="s">
        <v>65</v>
      </c>
      <c r="T496" t="s">
        <v>44</v>
      </c>
      <c r="U496" t="s">
        <v>38</v>
      </c>
      <c r="V496" t="s">
        <v>39</v>
      </c>
      <c r="W496">
        <v>1</v>
      </c>
      <c r="X496">
        <v>0</v>
      </c>
      <c r="Y496" s="2">
        <f>Table1[[#This Row],[premium_yearly]]*Table1[[#This Row],[tenure_years]]</f>
        <v>3884.3903999999998</v>
      </c>
      <c r="Z496" s="2">
        <f>Table1[[#This Row],[total_collected_premiums]]*(1-$AD$2)</f>
        <v>2835.6049919999996</v>
      </c>
      <c r="AA496" s="2">
        <f>Table1[[#This Row],[retained_premium]]-Table1[[#This Row],[claim_amount_paid]]</f>
        <v>-1164.3950080000004</v>
      </c>
    </row>
    <row r="497" spans="1:27" x14ac:dyDescent="0.35">
      <c r="A497" t="s">
        <v>1530</v>
      </c>
      <c r="B497" t="s">
        <v>1531</v>
      </c>
      <c r="C497" t="s">
        <v>1532</v>
      </c>
      <c r="D497" s="1">
        <v>41935</v>
      </c>
      <c r="E497" s="1">
        <v>44094</v>
      </c>
      <c r="F497" s="1">
        <v>44099</v>
      </c>
      <c r="G497">
        <v>5</v>
      </c>
      <c r="H497">
        <v>75</v>
      </c>
      <c r="I497">
        <v>900</v>
      </c>
      <c r="J497">
        <v>4000</v>
      </c>
      <c r="K497" t="s">
        <v>27</v>
      </c>
      <c r="L497">
        <v>4000</v>
      </c>
      <c r="M497">
        <v>4.08</v>
      </c>
      <c r="N497" t="s">
        <v>49</v>
      </c>
      <c r="O497">
        <v>49</v>
      </c>
      <c r="P497">
        <v>60</v>
      </c>
      <c r="Q497">
        <v>1</v>
      </c>
      <c r="R497">
        <v>7</v>
      </c>
      <c r="S497" t="s">
        <v>29</v>
      </c>
      <c r="T497" t="s">
        <v>50</v>
      </c>
      <c r="U497" t="s">
        <v>31</v>
      </c>
      <c r="V497" t="s">
        <v>45</v>
      </c>
      <c r="W497">
        <v>1</v>
      </c>
      <c r="X497">
        <v>0</v>
      </c>
      <c r="Y497" s="2">
        <f>Table1[[#This Row],[premium_yearly]]*Table1[[#This Row],[tenure_years]]</f>
        <v>3672</v>
      </c>
      <c r="Z497" s="2">
        <f>Table1[[#This Row],[total_collected_premiums]]*(1-$AD$2)</f>
        <v>2680.56</v>
      </c>
      <c r="AA497" s="2">
        <f>Table1[[#This Row],[retained_premium]]-Table1[[#This Row],[claim_amount_paid]]</f>
        <v>-1319.44</v>
      </c>
    </row>
    <row r="498" spans="1:27" x14ac:dyDescent="0.35">
      <c r="A498" t="s">
        <v>1533</v>
      </c>
      <c r="B498" t="s">
        <v>1534</v>
      </c>
      <c r="C498" t="s">
        <v>1535</v>
      </c>
      <c r="D498" s="1">
        <v>41297</v>
      </c>
      <c r="E498" s="1">
        <v>44097</v>
      </c>
      <c r="F498" s="1">
        <v>44102</v>
      </c>
      <c r="G498">
        <v>5</v>
      </c>
      <c r="H498">
        <v>72.45</v>
      </c>
      <c r="I498">
        <v>869.4</v>
      </c>
      <c r="J498">
        <v>7000</v>
      </c>
      <c r="K498" t="s">
        <v>27</v>
      </c>
      <c r="L498">
        <v>7000</v>
      </c>
      <c r="M498">
        <v>5.58</v>
      </c>
      <c r="N498" t="s">
        <v>36</v>
      </c>
      <c r="O498">
        <v>67</v>
      </c>
      <c r="P498">
        <v>39</v>
      </c>
      <c r="Q498">
        <v>1</v>
      </c>
      <c r="R498">
        <v>6</v>
      </c>
      <c r="S498" t="s">
        <v>37</v>
      </c>
      <c r="T498" t="s">
        <v>30</v>
      </c>
      <c r="U498" t="s">
        <v>58</v>
      </c>
      <c r="V498" t="s">
        <v>39</v>
      </c>
      <c r="W498">
        <v>1</v>
      </c>
      <c r="X498">
        <v>1</v>
      </c>
      <c r="Y498" s="2">
        <f>Table1[[#This Row],[premium_yearly]]*Table1[[#This Row],[tenure_years]]</f>
        <v>4851.2519999999995</v>
      </c>
      <c r="Z498" s="2">
        <f>Table1[[#This Row],[total_collected_premiums]]*(1-$AD$2)</f>
        <v>3541.4139599999994</v>
      </c>
      <c r="AA498" s="2">
        <f>Table1[[#This Row],[retained_premium]]-Table1[[#This Row],[claim_amount_paid]]</f>
        <v>-3458.5860400000006</v>
      </c>
    </row>
    <row r="499" spans="1:27" x14ac:dyDescent="0.35">
      <c r="A499" t="s">
        <v>1536</v>
      </c>
      <c r="B499" t="s">
        <v>1537</v>
      </c>
      <c r="C499" t="s">
        <v>1538</v>
      </c>
      <c r="D499" s="1">
        <v>43287</v>
      </c>
      <c r="E499" s="1">
        <v>44103</v>
      </c>
      <c r="F499" s="1">
        <v>44105</v>
      </c>
      <c r="G499">
        <v>2</v>
      </c>
      <c r="H499">
        <v>120.94</v>
      </c>
      <c r="I499">
        <v>1451.28</v>
      </c>
      <c r="J499">
        <v>2000</v>
      </c>
      <c r="K499" t="s">
        <v>27</v>
      </c>
      <c r="L499">
        <v>2000</v>
      </c>
      <c r="M499">
        <v>8.17</v>
      </c>
      <c r="N499" t="s">
        <v>28</v>
      </c>
      <c r="O499">
        <v>98</v>
      </c>
      <c r="P499">
        <v>60</v>
      </c>
      <c r="Q499">
        <v>1</v>
      </c>
      <c r="R499">
        <v>5</v>
      </c>
      <c r="S499" t="s">
        <v>29</v>
      </c>
      <c r="T499" t="s">
        <v>50</v>
      </c>
      <c r="U499" t="s">
        <v>31</v>
      </c>
      <c r="V499" t="s">
        <v>39</v>
      </c>
      <c r="W499">
        <v>0</v>
      </c>
      <c r="X499">
        <v>1</v>
      </c>
      <c r="Y499" s="2">
        <f>Table1[[#This Row],[premium_yearly]]*Table1[[#This Row],[tenure_years]]</f>
        <v>11856.9576</v>
      </c>
      <c r="Z499" s="2">
        <f>Table1[[#This Row],[total_collected_premiums]]*(1-$AD$2)</f>
        <v>8655.5790479999996</v>
      </c>
      <c r="AA499" s="2">
        <f>Table1[[#This Row],[retained_premium]]-Table1[[#This Row],[claim_amount_paid]]</f>
        <v>6655.5790479999996</v>
      </c>
    </row>
    <row r="500" spans="1:27" x14ac:dyDescent="0.35">
      <c r="A500" t="s">
        <v>1539</v>
      </c>
      <c r="B500" t="s">
        <v>1540</v>
      </c>
      <c r="C500" t="s">
        <v>1541</v>
      </c>
      <c r="D500" s="1">
        <v>42590</v>
      </c>
      <c r="E500" s="1">
        <v>44099</v>
      </c>
      <c r="F500" s="1">
        <v>44104</v>
      </c>
      <c r="G500">
        <v>5</v>
      </c>
      <c r="H500">
        <v>129.26</v>
      </c>
      <c r="I500">
        <v>1551.12</v>
      </c>
      <c r="J500">
        <v>5000</v>
      </c>
      <c r="K500" t="s">
        <v>27</v>
      </c>
      <c r="L500">
        <v>5000</v>
      </c>
      <c r="M500">
        <v>6.17</v>
      </c>
      <c r="N500" t="s">
        <v>49</v>
      </c>
      <c r="O500">
        <v>74</v>
      </c>
      <c r="P500">
        <v>31</v>
      </c>
      <c r="Q500">
        <v>0</v>
      </c>
      <c r="R500">
        <v>4</v>
      </c>
      <c r="S500" t="s">
        <v>37</v>
      </c>
      <c r="T500" t="s">
        <v>30</v>
      </c>
      <c r="U500" t="s">
        <v>31</v>
      </c>
      <c r="V500" t="s">
        <v>32</v>
      </c>
      <c r="W500">
        <v>1</v>
      </c>
      <c r="X500">
        <v>0</v>
      </c>
      <c r="Y500" s="2">
        <f>Table1[[#This Row],[premium_yearly]]*Table1[[#This Row],[tenure_years]]</f>
        <v>9570.4103999999988</v>
      </c>
      <c r="Z500" s="2">
        <f>Table1[[#This Row],[total_collected_premiums]]*(1-$AD$2)</f>
        <v>6986.3995919999988</v>
      </c>
      <c r="AA500" s="2">
        <f>Table1[[#This Row],[retained_premium]]-Table1[[#This Row],[claim_amount_paid]]</f>
        <v>1986.3995919999988</v>
      </c>
    </row>
    <row r="501" spans="1:27" x14ac:dyDescent="0.35">
      <c r="A501" t="s">
        <v>1542</v>
      </c>
      <c r="B501" t="s">
        <v>1543</v>
      </c>
      <c r="C501" t="s">
        <v>1544</v>
      </c>
      <c r="D501" s="1">
        <v>41578</v>
      </c>
      <c r="E501" s="1">
        <v>44097</v>
      </c>
      <c r="F501" s="1">
        <v>44102</v>
      </c>
      <c r="G501">
        <v>5</v>
      </c>
      <c r="H501">
        <v>100.63</v>
      </c>
      <c r="I501">
        <v>1207.56</v>
      </c>
      <c r="J501">
        <v>3000</v>
      </c>
      <c r="K501" t="s">
        <v>27</v>
      </c>
      <c r="L501">
        <v>3000</v>
      </c>
      <c r="M501">
        <v>3.08</v>
      </c>
      <c r="N501" t="s">
        <v>28</v>
      </c>
      <c r="O501">
        <v>37</v>
      </c>
      <c r="P501">
        <v>29</v>
      </c>
      <c r="Q501">
        <v>1</v>
      </c>
      <c r="R501">
        <v>4</v>
      </c>
      <c r="S501" t="s">
        <v>65</v>
      </c>
      <c r="T501" t="s">
        <v>50</v>
      </c>
      <c r="U501" t="s">
        <v>31</v>
      </c>
      <c r="V501" t="s">
        <v>39</v>
      </c>
      <c r="W501">
        <v>1</v>
      </c>
      <c r="X501">
        <v>1</v>
      </c>
      <c r="Y501" s="2">
        <f>Table1[[#This Row],[premium_yearly]]*Table1[[#This Row],[tenure_years]]</f>
        <v>3719.2847999999999</v>
      </c>
      <c r="Z501" s="2">
        <f>Table1[[#This Row],[total_collected_premiums]]*(1-$AD$2)</f>
        <v>2715.0779039999998</v>
      </c>
      <c r="AA501" s="2">
        <f>Table1[[#This Row],[retained_premium]]-Table1[[#This Row],[claim_amount_paid]]</f>
        <v>-284.92209600000024</v>
      </c>
    </row>
    <row r="502" spans="1:27" x14ac:dyDescent="0.35">
      <c r="A502" t="s">
        <v>1545</v>
      </c>
      <c r="B502" t="s">
        <v>1546</v>
      </c>
      <c r="C502" t="s">
        <v>1547</v>
      </c>
      <c r="D502" s="1">
        <v>41195</v>
      </c>
      <c r="E502" s="1">
        <v>44098</v>
      </c>
      <c r="F502" s="1">
        <v>44103</v>
      </c>
      <c r="G502">
        <v>5</v>
      </c>
      <c r="H502">
        <v>112.69</v>
      </c>
      <c r="I502">
        <v>1352.28</v>
      </c>
      <c r="J502">
        <v>1000</v>
      </c>
      <c r="K502" t="s">
        <v>27</v>
      </c>
      <c r="L502">
        <v>1000</v>
      </c>
      <c r="M502">
        <v>7.83</v>
      </c>
      <c r="N502" t="s">
        <v>36</v>
      </c>
      <c r="O502">
        <v>94</v>
      </c>
      <c r="P502">
        <v>52</v>
      </c>
      <c r="Q502">
        <v>1</v>
      </c>
      <c r="R502">
        <v>3</v>
      </c>
      <c r="S502" t="s">
        <v>65</v>
      </c>
      <c r="T502" t="s">
        <v>30</v>
      </c>
      <c r="U502" t="s">
        <v>31</v>
      </c>
      <c r="V502" t="s">
        <v>39</v>
      </c>
      <c r="W502">
        <v>1</v>
      </c>
      <c r="X502">
        <v>1</v>
      </c>
      <c r="Y502" s="2">
        <f>Table1[[#This Row],[premium_yearly]]*Table1[[#This Row],[tenure_years]]</f>
        <v>10588.3524</v>
      </c>
      <c r="Z502" s="2">
        <f>Table1[[#This Row],[total_collected_premiums]]*(1-$AD$2)</f>
        <v>7729.4972519999992</v>
      </c>
      <c r="AA502" s="2">
        <f>Table1[[#This Row],[retained_premium]]-Table1[[#This Row],[claim_amount_paid]]</f>
        <v>6729.4972519999992</v>
      </c>
    </row>
    <row r="503" spans="1:27" x14ac:dyDescent="0.35">
      <c r="A503" t="s">
        <v>1548</v>
      </c>
      <c r="B503" t="s">
        <v>1549</v>
      </c>
      <c r="C503" t="s">
        <v>1550</v>
      </c>
      <c r="D503" s="1">
        <v>40518</v>
      </c>
      <c r="E503" s="1">
        <v>44104</v>
      </c>
      <c r="F503" s="1">
        <v>44106</v>
      </c>
      <c r="G503">
        <v>2</v>
      </c>
      <c r="H503">
        <v>124.71</v>
      </c>
      <c r="I503">
        <v>1496.52</v>
      </c>
      <c r="J503">
        <v>6000</v>
      </c>
      <c r="K503" t="s">
        <v>27</v>
      </c>
      <c r="L503">
        <v>6000</v>
      </c>
      <c r="M503">
        <v>6.92</v>
      </c>
      <c r="N503" t="s">
        <v>49</v>
      </c>
      <c r="O503">
        <v>83</v>
      </c>
      <c r="P503">
        <v>52</v>
      </c>
      <c r="Q503">
        <v>1</v>
      </c>
      <c r="R503">
        <v>3</v>
      </c>
      <c r="S503" t="s">
        <v>65</v>
      </c>
      <c r="T503" t="s">
        <v>30</v>
      </c>
      <c r="U503" t="s">
        <v>38</v>
      </c>
      <c r="V503" t="s">
        <v>39</v>
      </c>
      <c r="W503">
        <v>1</v>
      </c>
      <c r="X503">
        <v>1</v>
      </c>
      <c r="Y503" s="2">
        <f>Table1[[#This Row],[premium_yearly]]*Table1[[#This Row],[tenure_years]]</f>
        <v>10355.9184</v>
      </c>
      <c r="Z503" s="2">
        <f>Table1[[#This Row],[total_collected_premiums]]*(1-$AD$2)</f>
        <v>7559.8204320000004</v>
      </c>
      <c r="AA503" s="2">
        <f>Table1[[#This Row],[retained_premium]]-Table1[[#This Row],[claim_amount_paid]]</f>
        <v>1559.8204320000004</v>
      </c>
    </row>
    <row r="504" spans="1:27" x14ac:dyDescent="0.35">
      <c r="A504" t="s">
        <v>1551</v>
      </c>
      <c r="B504" t="s">
        <v>1552</v>
      </c>
      <c r="C504" t="s">
        <v>1553</v>
      </c>
      <c r="D504" s="1">
        <v>43243</v>
      </c>
      <c r="E504" s="1">
        <v>44105</v>
      </c>
      <c r="F504" s="1">
        <v>44107</v>
      </c>
      <c r="G504">
        <v>2</v>
      </c>
      <c r="H504">
        <v>133.41999999999999</v>
      </c>
      <c r="I504">
        <v>1601.04</v>
      </c>
      <c r="J504">
        <v>9000</v>
      </c>
      <c r="K504" t="s">
        <v>27</v>
      </c>
      <c r="L504">
        <v>9000</v>
      </c>
      <c r="M504">
        <v>7</v>
      </c>
      <c r="N504" t="s">
        <v>49</v>
      </c>
      <c r="O504">
        <v>84</v>
      </c>
      <c r="P504">
        <v>57</v>
      </c>
      <c r="Q504">
        <v>1</v>
      </c>
      <c r="R504">
        <v>4</v>
      </c>
      <c r="S504" t="s">
        <v>65</v>
      </c>
      <c r="T504" t="s">
        <v>30</v>
      </c>
      <c r="U504" t="s">
        <v>31</v>
      </c>
      <c r="V504" t="s">
        <v>39</v>
      </c>
      <c r="W504">
        <v>1</v>
      </c>
      <c r="X504">
        <v>1</v>
      </c>
      <c r="Y504" s="2">
        <f>Table1[[#This Row],[premium_yearly]]*Table1[[#This Row],[tenure_years]]</f>
        <v>11207.279999999999</v>
      </c>
      <c r="Z504" s="2">
        <f>Table1[[#This Row],[total_collected_premiums]]*(1-$AD$2)</f>
        <v>8181.3143999999993</v>
      </c>
      <c r="AA504" s="2">
        <f>Table1[[#This Row],[retained_premium]]-Table1[[#This Row],[claim_amount_paid]]</f>
        <v>-818.6856000000007</v>
      </c>
    </row>
    <row r="505" spans="1:27" x14ac:dyDescent="0.35">
      <c r="A505" t="s">
        <v>1554</v>
      </c>
      <c r="B505" t="s">
        <v>1555</v>
      </c>
      <c r="C505" t="s">
        <v>1556</v>
      </c>
      <c r="D505" s="1">
        <v>40595</v>
      </c>
      <c r="E505" s="1">
        <v>44092</v>
      </c>
      <c r="F505" s="1">
        <v>44097</v>
      </c>
      <c r="G505">
        <v>5</v>
      </c>
      <c r="H505">
        <v>127.43</v>
      </c>
      <c r="I505">
        <v>1529.16</v>
      </c>
      <c r="J505">
        <v>5000</v>
      </c>
      <c r="K505" t="s">
        <v>27</v>
      </c>
      <c r="L505">
        <v>5000</v>
      </c>
      <c r="M505">
        <v>6.5</v>
      </c>
      <c r="N505" t="s">
        <v>36</v>
      </c>
      <c r="O505">
        <v>78</v>
      </c>
      <c r="P505">
        <v>42</v>
      </c>
      <c r="Q505">
        <v>0</v>
      </c>
      <c r="R505">
        <v>3</v>
      </c>
      <c r="S505" t="s">
        <v>29</v>
      </c>
      <c r="T505" t="s">
        <v>30</v>
      </c>
      <c r="U505" t="s">
        <v>107</v>
      </c>
      <c r="V505" t="s">
        <v>32</v>
      </c>
      <c r="W505">
        <v>1</v>
      </c>
      <c r="X505">
        <v>0</v>
      </c>
      <c r="Y505" s="2">
        <f>Table1[[#This Row],[premium_yearly]]*Table1[[#This Row],[tenure_years]]</f>
        <v>9939.5400000000009</v>
      </c>
      <c r="Z505" s="2">
        <f>Table1[[#This Row],[total_collected_premiums]]*(1-$AD$2)</f>
        <v>7255.8642000000009</v>
      </c>
      <c r="AA505" s="2">
        <f>Table1[[#This Row],[retained_premium]]-Table1[[#This Row],[claim_amount_paid]]</f>
        <v>2255.8642000000009</v>
      </c>
    </row>
    <row r="506" spans="1:27" x14ac:dyDescent="0.35">
      <c r="A506" t="s">
        <v>1557</v>
      </c>
      <c r="B506" t="s">
        <v>1558</v>
      </c>
      <c r="C506" t="s">
        <v>1559</v>
      </c>
      <c r="D506" s="1">
        <v>41536</v>
      </c>
      <c r="E506" s="1">
        <v>44109</v>
      </c>
      <c r="F506" s="1">
        <v>44109</v>
      </c>
      <c r="G506">
        <v>0</v>
      </c>
      <c r="H506">
        <v>94.53</v>
      </c>
      <c r="I506">
        <v>1134.3599999999999</v>
      </c>
      <c r="J506">
        <v>5000</v>
      </c>
      <c r="K506" t="s">
        <v>27</v>
      </c>
      <c r="L506">
        <v>5000</v>
      </c>
      <c r="M506">
        <v>9</v>
      </c>
      <c r="N506" t="s">
        <v>36</v>
      </c>
      <c r="O506">
        <v>108</v>
      </c>
      <c r="P506">
        <v>38</v>
      </c>
      <c r="Q506">
        <v>0</v>
      </c>
      <c r="R506">
        <v>3</v>
      </c>
      <c r="S506" t="s">
        <v>37</v>
      </c>
      <c r="T506" t="s">
        <v>44</v>
      </c>
      <c r="U506" t="s">
        <v>38</v>
      </c>
      <c r="V506" t="s">
        <v>45</v>
      </c>
      <c r="W506">
        <v>1</v>
      </c>
      <c r="X506">
        <v>0</v>
      </c>
      <c r="Y506" s="2">
        <f>Table1[[#This Row],[premium_yearly]]*Table1[[#This Row],[tenure_years]]</f>
        <v>10209.24</v>
      </c>
      <c r="Z506" s="2">
        <f>Table1[[#This Row],[total_collected_premiums]]*(1-$AD$2)</f>
        <v>7452.7451999999994</v>
      </c>
      <c r="AA506" s="2">
        <f>Table1[[#This Row],[retained_premium]]-Table1[[#This Row],[claim_amount_paid]]</f>
        <v>2452.7451999999994</v>
      </c>
    </row>
    <row r="507" spans="1:27" x14ac:dyDescent="0.35">
      <c r="A507" t="s">
        <v>1560</v>
      </c>
      <c r="B507" t="s">
        <v>1561</v>
      </c>
      <c r="C507" t="s">
        <v>1562</v>
      </c>
      <c r="D507" s="1">
        <v>42149</v>
      </c>
      <c r="E507" s="1">
        <v>44109</v>
      </c>
      <c r="F507" s="1">
        <v>44109</v>
      </c>
      <c r="G507">
        <v>0</v>
      </c>
      <c r="H507">
        <v>81.77</v>
      </c>
      <c r="I507">
        <v>981.24</v>
      </c>
      <c r="J507">
        <v>2000</v>
      </c>
      <c r="K507" t="s">
        <v>27</v>
      </c>
      <c r="L507">
        <v>2000</v>
      </c>
      <c r="M507">
        <v>3.08</v>
      </c>
      <c r="N507" t="s">
        <v>36</v>
      </c>
      <c r="O507">
        <v>37</v>
      </c>
      <c r="P507">
        <v>64</v>
      </c>
      <c r="Q507">
        <v>1</v>
      </c>
      <c r="R507">
        <v>5</v>
      </c>
      <c r="S507" t="s">
        <v>29</v>
      </c>
      <c r="T507" t="s">
        <v>30</v>
      </c>
      <c r="U507" t="s">
        <v>38</v>
      </c>
      <c r="V507" t="s">
        <v>45</v>
      </c>
      <c r="W507">
        <v>1</v>
      </c>
      <c r="X507">
        <v>1</v>
      </c>
      <c r="Y507" s="2">
        <f>Table1[[#This Row],[premium_yearly]]*Table1[[#This Row],[tenure_years]]</f>
        <v>3022.2192</v>
      </c>
      <c r="Z507" s="2">
        <f>Table1[[#This Row],[total_collected_premiums]]*(1-$AD$2)</f>
        <v>2206.2200159999998</v>
      </c>
      <c r="AA507" s="2">
        <f>Table1[[#This Row],[retained_premium]]-Table1[[#This Row],[claim_amount_paid]]</f>
        <v>206.22001599999976</v>
      </c>
    </row>
    <row r="508" spans="1:27" x14ac:dyDescent="0.35">
      <c r="A508" t="s">
        <v>1563</v>
      </c>
      <c r="B508" t="s">
        <v>1564</v>
      </c>
      <c r="C508" t="s">
        <v>1565</v>
      </c>
      <c r="D508" s="1">
        <v>42577</v>
      </c>
      <c r="E508" s="1">
        <v>44111</v>
      </c>
      <c r="F508" s="1">
        <v>44111</v>
      </c>
      <c r="G508">
        <v>0</v>
      </c>
      <c r="H508">
        <v>100.99</v>
      </c>
      <c r="I508">
        <v>1211.8800000000001</v>
      </c>
      <c r="J508">
        <v>9000</v>
      </c>
      <c r="K508" t="s">
        <v>27</v>
      </c>
      <c r="L508">
        <v>9000</v>
      </c>
      <c r="M508">
        <v>4.83</v>
      </c>
      <c r="N508" t="s">
        <v>28</v>
      </c>
      <c r="O508">
        <v>58</v>
      </c>
      <c r="P508">
        <v>32</v>
      </c>
      <c r="Q508">
        <v>1</v>
      </c>
      <c r="R508">
        <v>3</v>
      </c>
      <c r="S508" t="s">
        <v>65</v>
      </c>
      <c r="T508" t="s">
        <v>44</v>
      </c>
      <c r="U508" t="s">
        <v>58</v>
      </c>
      <c r="V508" t="s">
        <v>39</v>
      </c>
      <c r="W508">
        <v>1</v>
      </c>
      <c r="X508">
        <v>1</v>
      </c>
      <c r="Y508" s="2">
        <f>Table1[[#This Row],[premium_yearly]]*Table1[[#This Row],[tenure_years]]</f>
        <v>5853.3804000000009</v>
      </c>
      <c r="Z508" s="2">
        <f>Table1[[#This Row],[total_collected_premiums]]*(1-$AD$2)</f>
        <v>4272.9676920000002</v>
      </c>
      <c r="AA508" s="2">
        <f>Table1[[#This Row],[retained_premium]]-Table1[[#This Row],[claim_amount_paid]]</f>
        <v>-4727.0323079999998</v>
      </c>
    </row>
    <row r="509" spans="1:27" x14ac:dyDescent="0.35">
      <c r="A509" t="s">
        <v>1566</v>
      </c>
      <c r="B509" t="s">
        <v>1567</v>
      </c>
      <c r="C509" t="s">
        <v>1568</v>
      </c>
      <c r="D509" s="1">
        <v>43382</v>
      </c>
      <c r="E509" s="1">
        <v>44094</v>
      </c>
      <c r="F509" s="1">
        <v>44099</v>
      </c>
      <c r="G509">
        <v>5</v>
      </c>
      <c r="H509">
        <v>121.72</v>
      </c>
      <c r="I509">
        <v>1460.64</v>
      </c>
      <c r="J509">
        <v>5000</v>
      </c>
      <c r="K509" t="s">
        <v>27</v>
      </c>
      <c r="L509">
        <v>5000</v>
      </c>
      <c r="M509">
        <v>6.83</v>
      </c>
      <c r="N509" t="s">
        <v>28</v>
      </c>
      <c r="O509">
        <v>82</v>
      </c>
      <c r="P509">
        <v>63</v>
      </c>
      <c r="Q509">
        <v>1</v>
      </c>
      <c r="R509">
        <v>7</v>
      </c>
      <c r="S509" t="s">
        <v>65</v>
      </c>
      <c r="T509" t="s">
        <v>50</v>
      </c>
      <c r="U509" t="s">
        <v>88</v>
      </c>
      <c r="V509" t="s">
        <v>45</v>
      </c>
      <c r="W509">
        <v>1</v>
      </c>
      <c r="X509">
        <v>1</v>
      </c>
      <c r="Y509" s="2">
        <f>Table1[[#This Row],[premium_yearly]]*Table1[[#This Row],[tenure_years]]</f>
        <v>9976.1712000000007</v>
      </c>
      <c r="Z509" s="2">
        <f>Table1[[#This Row],[total_collected_premiums]]*(1-$AD$2)</f>
        <v>7282.6049760000005</v>
      </c>
      <c r="AA509" s="2">
        <f>Table1[[#This Row],[retained_premium]]-Table1[[#This Row],[claim_amount_paid]]</f>
        <v>2282.6049760000005</v>
      </c>
    </row>
    <row r="510" spans="1:27" x14ac:dyDescent="0.35">
      <c r="A510" t="s">
        <v>1569</v>
      </c>
      <c r="B510" t="s">
        <v>1570</v>
      </c>
      <c r="C510" t="s">
        <v>1571</v>
      </c>
      <c r="D510" s="1">
        <v>41312</v>
      </c>
      <c r="E510" s="1">
        <v>44102</v>
      </c>
      <c r="F510" s="1">
        <v>44105</v>
      </c>
      <c r="G510">
        <v>3</v>
      </c>
      <c r="H510">
        <v>85.6</v>
      </c>
      <c r="I510">
        <v>1027.2</v>
      </c>
      <c r="J510">
        <v>6000</v>
      </c>
      <c r="K510" t="s">
        <v>43</v>
      </c>
      <c r="L510">
        <v>0</v>
      </c>
      <c r="M510">
        <v>6.67</v>
      </c>
      <c r="N510" t="s">
        <v>28</v>
      </c>
      <c r="O510">
        <v>80</v>
      </c>
      <c r="P510">
        <v>61</v>
      </c>
      <c r="Q510">
        <v>1</v>
      </c>
      <c r="R510">
        <v>5</v>
      </c>
      <c r="S510" t="s">
        <v>29</v>
      </c>
      <c r="T510" t="s">
        <v>44</v>
      </c>
      <c r="U510" t="s">
        <v>66</v>
      </c>
      <c r="V510" t="s">
        <v>45</v>
      </c>
      <c r="W510">
        <v>1</v>
      </c>
      <c r="X510">
        <v>1</v>
      </c>
      <c r="Y510" s="2">
        <f>Table1[[#This Row],[premium_yearly]]*Table1[[#This Row],[tenure_years]]</f>
        <v>6851.424</v>
      </c>
      <c r="Z510" s="2">
        <f>Table1[[#This Row],[total_collected_premiums]]*(1-$AD$2)</f>
        <v>5001.5395200000003</v>
      </c>
      <c r="AA510" s="2">
        <f>Table1[[#This Row],[retained_premium]]-Table1[[#This Row],[claim_amount_paid]]</f>
        <v>5001.5395200000003</v>
      </c>
    </row>
    <row r="511" spans="1:27" x14ac:dyDescent="0.35">
      <c r="A511" t="s">
        <v>1572</v>
      </c>
      <c r="B511" t="s">
        <v>1573</v>
      </c>
      <c r="C511" t="s">
        <v>1574</v>
      </c>
      <c r="D511" s="1">
        <v>40803</v>
      </c>
      <c r="E511" s="1">
        <v>44101</v>
      </c>
      <c r="F511" s="1">
        <v>44106</v>
      </c>
      <c r="G511">
        <v>5</v>
      </c>
      <c r="H511">
        <v>86.02</v>
      </c>
      <c r="I511">
        <v>1032.24</v>
      </c>
      <c r="J511">
        <v>8000</v>
      </c>
      <c r="K511" t="s">
        <v>27</v>
      </c>
      <c r="L511">
        <v>8000</v>
      </c>
      <c r="M511">
        <v>6.42</v>
      </c>
      <c r="N511" t="s">
        <v>28</v>
      </c>
      <c r="O511">
        <v>77</v>
      </c>
      <c r="P511">
        <v>57</v>
      </c>
      <c r="Q511">
        <v>1</v>
      </c>
      <c r="R511">
        <v>4</v>
      </c>
      <c r="S511" t="s">
        <v>29</v>
      </c>
      <c r="T511" t="s">
        <v>44</v>
      </c>
      <c r="U511" t="s">
        <v>31</v>
      </c>
      <c r="V511" t="s">
        <v>45</v>
      </c>
      <c r="W511">
        <v>1</v>
      </c>
      <c r="X511">
        <v>0</v>
      </c>
      <c r="Y511" s="2">
        <f>Table1[[#This Row],[premium_yearly]]*Table1[[#This Row],[tenure_years]]</f>
        <v>6626.9808000000003</v>
      </c>
      <c r="Z511" s="2">
        <f>Table1[[#This Row],[total_collected_premiums]]*(1-$AD$2)</f>
        <v>4837.695984</v>
      </c>
      <c r="AA511" s="2">
        <f>Table1[[#This Row],[retained_premium]]-Table1[[#This Row],[claim_amount_paid]]</f>
        <v>-3162.304016</v>
      </c>
    </row>
    <row r="512" spans="1:27" x14ac:dyDescent="0.35">
      <c r="A512" t="s">
        <v>1575</v>
      </c>
      <c r="B512" t="s">
        <v>1576</v>
      </c>
      <c r="C512" t="s">
        <v>1577</v>
      </c>
      <c r="D512" s="1">
        <v>41065</v>
      </c>
      <c r="E512" s="1">
        <v>44102</v>
      </c>
      <c r="F512" s="1">
        <v>44105</v>
      </c>
      <c r="G512">
        <v>3</v>
      </c>
      <c r="H512">
        <v>122.58</v>
      </c>
      <c r="I512">
        <v>1470.96</v>
      </c>
      <c r="J512">
        <v>1000</v>
      </c>
      <c r="K512" t="s">
        <v>27</v>
      </c>
      <c r="L512">
        <v>1000</v>
      </c>
      <c r="M512">
        <v>4.83</v>
      </c>
      <c r="N512" t="s">
        <v>28</v>
      </c>
      <c r="O512">
        <v>58</v>
      </c>
      <c r="P512">
        <v>53</v>
      </c>
      <c r="Q512">
        <v>1</v>
      </c>
      <c r="R512">
        <v>6</v>
      </c>
      <c r="S512" t="s">
        <v>29</v>
      </c>
      <c r="T512" t="s">
        <v>30</v>
      </c>
      <c r="U512" t="s">
        <v>38</v>
      </c>
      <c r="V512" t="s">
        <v>32</v>
      </c>
      <c r="W512">
        <v>1</v>
      </c>
      <c r="X512">
        <v>1</v>
      </c>
      <c r="Y512" s="2">
        <f>Table1[[#This Row],[premium_yearly]]*Table1[[#This Row],[tenure_years]]</f>
        <v>7104.7368000000006</v>
      </c>
      <c r="Z512" s="2">
        <f>Table1[[#This Row],[total_collected_premiums]]*(1-$AD$2)</f>
        <v>5186.457864</v>
      </c>
      <c r="AA512" s="2">
        <f>Table1[[#This Row],[retained_premium]]-Table1[[#This Row],[claim_amount_paid]]</f>
        <v>4186.457864</v>
      </c>
    </row>
    <row r="513" spans="1:27" x14ac:dyDescent="0.35">
      <c r="A513" t="s">
        <v>1578</v>
      </c>
      <c r="B513" t="s">
        <v>1579</v>
      </c>
      <c r="C513" t="s">
        <v>1580</v>
      </c>
      <c r="D513" s="1">
        <v>42667</v>
      </c>
      <c r="E513" s="1">
        <v>44098</v>
      </c>
      <c r="F513" s="1">
        <v>44103</v>
      </c>
      <c r="G513">
        <v>5</v>
      </c>
      <c r="H513">
        <v>91.99</v>
      </c>
      <c r="I513">
        <v>1103.8800000000001</v>
      </c>
      <c r="J513">
        <v>9000</v>
      </c>
      <c r="K513" t="s">
        <v>27</v>
      </c>
      <c r="L513">
        <v>9000</v>
      </c>
      <c r="M513">
        <v>1.42</v>
      </c>
      <c r="N513" t="s">
        <v>28</v>
      </c>
      <c r="O513">
        <v>17</v>
      </c>
      <c r="P513">
        <v>55</v>
      </c>
      <c r="Q513">
        <v>1</v>
      </c>
      <c r="R513">
        <v>6</v>
      </c>
      <c r="S513" t="s">
        <v>29</v>
      </c>
      <c r="T513" t="s">
        <v>30</v>
      </c>
      <c r="U513" t="s">
        <v>66</v>
      </c>
      <c r="V513" t="s">
        <v>39</v>
      </c>
      <c r="W513">
        <v>0</v>
      </c>
      <c r="X513">
        <v>0</v>
      </c>
      <c r="Y513" s="2">
        <f>Table1[[#This Row],[premium_yearly]]*Table1[[#This Row],[tenure_years]]</f>
        <v>1567.5096000000001</v>
      </c>
      <c r="Z513" s="2">
        <f>Table1[[#This Row],[total_collected_premiums]]*(1-$AD$2)</f>
        <v>1144.2820080000001</v>
      </c>
      <c r="AA513" s="2">
        <f>Table1[[#This Row],[retained_premium]]-Table1[[#This Row],[claim_amount_paid]]</f>
        <v>-7855.7179919999999</v>
      </c>
    </row>
    <row r="514" spans="1:27" x14ac:dyDescent="0.35">
      <c r="A514" t="s">
        <v>1581</v>
      </c>
      <c r="B514" t="s">
        <v>1582</v>
      </c>
      <c r="C514" t="s">
        <v>1583</v>
      </c>
      <c r="D514" s="1">
        <v>41428</v>
      </c>
      <c r="E514" s="1">
        <v>44101</v>
      </c>
      <c r="F514" s="1">
        <v>44106</v>
      </c>
      <c r="G514">
        <v>5</v>
      </c>
      <c r="H514">
        <v>129.85</v>
      </c>
      <c r="I514">
        <v>1558.2</v>
      </c>
      <c r="J514">
        <v>2000</v>
      </c>
      <c r="K514" t="s">
        <v>27</v>
      </c>
      <c r="L514">
        <v>2000</v>
      </c>
      <c r="M514">
        <v>8.58</v>
      </c>
      <c r="N514" t="s">
        <v>28</v>
      </c>
      <c r="O514">
        <v>103</v>
      </c>
      <c r="P514">
        <v>48</v>
      </c>
      <c r="Q514">
        <v>1</v>
      </c>
      <c r="R514">
        <v>7</v>
      </c>
      <c r="S514" t="s">
        <v>29</v>
      </c>
      <c r="T514" t="s">
        <v>44</v>
      </c>
      <c r="U514" t="s">
        <v>38</v>
      </c>
      <c r="V514" t="s">
        <v>32</v>
      </c>
      <c r="W514">
        <v>0</v>
      </c>
      <c r="X514">
        <v>1</v>
      </c>
      <c r="Y514" s="2">
        <f>Table1[[#This Row],[premium_yearly]]*Table1[[#This Row],[tenure_years]]</f>
        <v>13369.356</v>
      </c>
      <c r="Z514" s="2">
        <f>Table1[[#This Row],[total_collected_premiums]]*(1-$AD$2)</f>
        <v>9759.6298800000004</v>
      </c>
      <c r="AA514" s="2">
        <f>Table1[[#This Row],[retained_premium]]-Table1[[#This Row],[claim_amount_paid]]</f>
        <v>7759.6298800000004</v>
      </c>
    </row>
    <row r="515" spans="1:27" x14ac:dyDescent="0.35">
      <c r="A515" t="s">
        <v>1584</v>
      </c>
      <c r="B515" t="s">
        <v>1585</v>
      </c>
      <c r="C515" t="s">
        <v>1586</v>
      </c>
      <c r="D515" s="1">
        <v>41875</v>
      </c>
      <c r="E515" s="1">
        <v>44104</v>
      </c>
      <c r="F515" s="1">
        <v>44107</v>
      </c>
      <c r="G515">
        <v>3</v>
      </c>
      <c r="H515">
        <v>121.95</v>
      </c>
      <c r="I515">
        <v>1463.4</v>
      </c>
      <c r="J515">
        <v>5000</v>
      </c>
      <c r="K515" t="s">
        <v>27</v>
      </c>
      <c r="L515">
        <v>5000</v>
      </c>
      <c r="M515">
        <v>7</v>
      </c>
      <c r="N515" t="s">
        <v>36</v>
      </c>
      <c r="O515">
        <v>84</v>
      </c>
      <c r="P515">
        <v>45</v>
      </c>
      <c r="Q515">
        <v>0</v>
      </c>
      <c r="R515">
        <v>4</v>
      </c>
      <c r="S515" t="s">
        <v>37</v>
      </c>
      <c r="T515" t="s">
        <v>50</v>
      </c>
      <c r="U515" t="s">
        <v>66</v>
      </c>
      <c r="V515" t="s">
        <v>32</v>
      </c>
      <c r="W515">
        <v>1</v>
      </c>
      <c r="X515">
        <v>1</v>
      </c>
      <c r="Y515" s="2">
        <f>Table1[[#This Row],[premium_yearly]]*Table1[[#This Row],[tenure_years]]</f>
        <v>10243.800000000001</v>
      </c>
      <c r="Z515" s="2">
        <f>Table1[[#This Row],[total_collected_premiums]]*(1-$AD$2)</f>
        <v>7477.9740000000002</v>
      </c>
      <c r="AA515" s="2">
        <f>Table1[[#This Row],[retained_premium]]-Table1[[#This Row],[claim_amount_paid]]</f>
        <v>2477.9740000000002</v>
      </c>
    </row>
    <row r="516" spans="1:27" x14ac:dyDescent="0.35">
      <c r="A516" t="s">
        <v>1587</v>
      </c>
      <c r="B516" t="s">
        <v>1588</v>
      </c>
      <c r="C516" t="s">
        <v>1589</v>
      </c>
      <c r="D516" s="1">
        <v>41004</v>
      </c>
      <c r="E516" s="1">
        <v>44102</v>
      </c>
      <c r="F516" s="1">
        <v>44107</v>
      </c>
      <c r="G516">
        <v>5</v>
      </c>
      <c r="H516">
        <v>83.65</v>
      </c>
      <c r="I516">
        <v>1003.8</v>
      </c>
      <c r="J516">
        <v>8000</v>
      </c>
      <c r="K516" t="s">
        <v>27</v>
      </c>
      <c r="L516">
        <v>8000</v>
      </c>
      <c r="M516">
        <v>6.42</v>
      </c>
      <c r="N516" t="s">
        <v>36</v>
      </c>
      <c r="O516">
        <v>77</v>
      </c>
      <c r="P516">
        <v>50</v>
      </c>
      <c r="Q516">
        <v>1</v>
      </c>
      <c r="R516">
        <v>7</v>
      </c>
      <c r="S516" t="s">
        <v>65</v>
      </c>
      <c r="T516" t="s">
        <v>30</v>
      </c>
      <c r="U516" t="s">
        <v>38</v>
      </c>
      <c r="V516" t="s">
        <v>39</v>
      </c>
      <c r="W516">
        <v>1</v>
      </c>
      <c r="X516">
        <v>0</v>
      </c>
      <c r="Y516" s="2">
        <f>Table1[[#This Row],[premium_yearly]]*Table1[[#This Row],[tenure_years]]</f>
        <v>6444.3959999999997</v>
      </c>
      <c r="Z516" s="2">
        <f>Table1[[#This Row],[total_collected_premiums]]*(1-$AD$2)</f>
        <v>4704.4090799999994</v>
      </c>
      <c r="AA516" s="2">
        <f>Table1[[#This Row],[retained_premium]]-Table1[[#This Row],[claim_amount_paid]]</f>
        <v>-3295.5909200000006</v>
      </c>
    </row>
    <row r="517" spans="1:27" x14ac:dyDescent="0.35">
      <c r="A517" t="s">
        <v>1590</v>
      </c>
      <c r="B517" t="s">
        <v>1591</v>
      </c>
      <c r="C517" t="s">
        <v>1592</v>
      </c>
      <c r="D517" s="1">
        <v>42429</v>
      </c>
      <c r="E517" s="1">
        <v>44105</v>
      </c>
      <c r="F517" s="1">
        <v>44108</v>
      </c>
      <c r="G517">
        <v>3</v>
      </c>
      <c r="H517">
        <v>125.96</v>
      </c>
      <c r="I517">
        <v>1511.52</v>
      </c>
      <c r="J517">
        <v>9000</v>
      </c>
      <c r="K517" t="s">
        <v>27</v>
      </c>
      <c r="L517">
        <v>9000</v>
      </c>
      <c r="M517">
        <v>2.75</v>
      </c>
      <c r="N517" t="s">
        <v>36</v>
      </c>
      <c r="O517">
        <v>33</v>
      </c>
      <c r="P517">
        <v>37</v>
      </c>
      <c r="Q517">
        <v>1</v>
      </c>
      <c r="R517">
        <v>6</v>
      </c>
      <c r="S517" t="s">
        <v>65</v>
      </c>
      <c r="T517" t="s">
        <v>30</v>
      </c>
      <c r="U517" t="s">
        <v>31</v>
      </c>
      <c r="V517" t="s">
        <v>39</v>
      </c>
      <c r="W517">
        <v>1</v>
      </c>
      <c r="X517">
        <v>1</v>
      </c>
      <c r="Y517" s="2">
        <f>Table1[[#This Row],[premium_yearly]]*Table1[[#This Row],[tenure_years]]</f>
        <v>4156.68</v>
      </c>
      <c r="Z517" s="2">
        <f>Table1[[#This Row],[total_collected_premiums]]*(1-$AD$2)</f>
        <v>3034.3764000000001</v>
      </c>
      <c r="AA517" s="2">
        <f>Table1[[#This Row],[retained_premium]]-Table1[[#This Row],[claim_amount_paid]]</f>
        <v>-5965.6235999999999</v>
      </c>
    </row>
    <row r="518" spans="1:27" x14ac:dyDescent="0.35">
      <c r="A518" t="s">
        <v>1593</v>
      </c>
      <c r="B518" t="s">
        <v>1594</v>
      </c>
      <c r="C518" t="s">
        <v>1595</v>
      </c>
      <c r="D518" s="1">
        <v>41556</v>
      </c>
      <c r="E518" s="1">
        <v>44104</v>
      </c>
      <c r="F518" s="1">
        <v>44107</v>
      </c>
      <c r="G518">
        <v>3</v>
      </c>
      <c r="H518">
        <v>127.06</v>
      </c>
      <c r="I518">
        <v>1524.72</v>
      </c>
      <c r="J518">
        <v>5000</v>
      </c>
      <c r="K518" t="s">
        <v>27</v>
      </c>
      <c r="L518">
        <v>5000</v>
      </c>
      <c r="M518">
        <v>3.08</v>
      </c>
      <c r="N518" t="s">
        <v>36</v>
      </c>
      <c r="O518">
        <v>37</v>
      </c>
      <c r="P518">
        <v>27</v>
      </c>
      <c r="Q518">
        <v>1</v>
      </c>
      <c r="R518">
        <v>3</v>
      </c>
      <c r="S518" t="s">
        <v>29</v>
      </c>
      <c r="T518" t="s">
        <v>50</v>
      </c>
      <c r="U518" t="s">
        <v>38</v>
      </c>
      <c r="V518" t="s">
        <v>32</v>
      </c>
      <c r="W518">
        <v>0</v>
      </c>
      <c r="X518">
        <v>0</v>
      </c>
      <c r="Y518" s="2">
        <f>Table1[[#This Row],[premium_yearly]]*Table1[[#This Row],[tenure_years]]</f>
        <v>4696.1376</v>
      </c>
      <c r="Z518" s="2">
        <f>Table1[[#This Row],[total_collected_premiums]]*(1-$AD$2)</f>
        <v>3428.1804480000001</v>
      </c>
      <c r="AA518" s="2">
        <f>Table1[[#This Row],[retained_premium]]-Table1[[#This Row],[claim_amount_paid]]</f>
        <v>-1571.8195519999999</v>
      </c>
    </row>
    <row r="519" spans="1:27" x14ac:dyDescent="0.35">
      <c r="A519" t="s">
        <v>1596</v>
      </c>
      <c r="B519" t="s">
        <v>1597</v>
      </c>
      <c r="C519" t="s">
        <v>1598</v>
      </c>
      <c r="D519" s="1">
        <v>41062</v>
      </c>
      <c r="E519" s="1">
        <v>44101</v>
      </c>
      <c r="F519" s="1">
        <v>44106</v>
      </c>
      <c r="G519">
        <v>5</v>
      </c>
      <c r="H519">
        <v>71.19</v>
      </c>
      <c r="I519">
        <v>854.28</v>
      </c>
      <c r="J519">
        <v>8000</v>
      </c>
      <c r="K519" t="s">
        <v>27</v>
      </c>
      <c r="L519">
        <v>8000</v>
      </c>
      <c r="M519">
        <v>3.33</v>
      </c>
      <c r="N519" t="s">
        <v>36</v>
      </c>
      <c r="O519">
        <v>40</v>
      </c>
      <c r="P519">
        <v>43</v>
      </c>
      <c r="Q519">
        <v>1</v>
      </c>
      <c r="R519">
        <v>6</v>
      </c>
      <c r="S519" t="s">
        <v>37</v>
      </c>
      <c r="T519" t="s">
        <v>44</v>
      </c>
      <c r="U519" t="s">
        <v>38</v>
      </c>
      <c r="V519" t="s">
        <v>45</v>
      </c>
      <c r="W519">
        <v>1</v>
      </c>
      <c r="X519">
        <v>1</v>
      </c>
      <c r="Y519" s="2">
        <f>Table1[[#This Row],[premium_yearly]]*Table1[[#This Row],[tenure_years]]</f>
        <v>2844.7523999999999</v>
      </c>
      <c r="Z519" s="2">
        <f>Table1[[#This Row],[total_collected_premiums]]*(1-$AD$2)</f>
        <v>2076.6692519999997</v>
      </c>
      <c r="AA519" s="2">
        <f>Table1[[#This Row],[retained_premium]]-Table1[[#This Row],[claim_amount_paid]]</f>
        <v>-5923.3307480000003</v>
      </c>
    </row>
    <row r="520" spans="1:27" x14ac:dyDescent="0.35">
      <c r="A520" t="s">
        <v>1599</v>
      </c>
      <c r="B520" t="s">
        <v>1600</v>
      </c>
      <c r="C520" t="s">
        <v>1601</v>
      </c>
      <c r="D520" s="1">
        <v>42713</v>
      </c>
      <c r="E520" s="1">
        <v>44105</v>
      </c>
      <c r="F520" s="1">
        <v>44108</v>
      </c>
      <c r="G520">
        <v>3</v>
      </c>
      <c r="H520">
        <v>73.05</v>
      </c>
      <c r="I520">
        <v>876.6</v>
      </c>
      <c r="J520">
        <v>10000</v>
      </c>
      <c r="K520" t="s">
        <v>27</v>
      </c>
      <c r="L520">
        <v>10000</v>
      </c>
      <c r="M520">
        <v>9.83</v>
      </c>
      <c r="N520" t="s">
        <v>49</v>
      </c>
      <c r="O520">
        <v>118</v>
      </c>
      <c r="P520">
        <v>42</v>
      </c>
      <c r="Q520">
        <v>1</v>
      </c>
      <c r="R520">
        <v>2</v>
      </c>
      <c r="S520" t="s">
        <v>29</v>
      </c>
      <c r="T520" t="s">
        <v>44</v>
      </c>
      <c r="U520" t="s">
        <v>38</v>
      </c>
      <c r="V520" t="s">
        <v>45</v>
      </c>
      <c r="W520">
        <v>1</v>
      </c>
      <c r="X520">
        <v>1</v>
      </c>
      <c r="Y520" s="2">
        <f>Table1[[#This Row],[premium_yearly]]*Table1[[#This Row],[tenure_years]]</f>
        <v>8616.978000000001</v>
      </c>
      <c r="Z520" s="2">
        <f>Table1[[#This Row],[total_collected_premiums]]*(1-$AD$2)</f>
        <v>6290.3939400000008</v>
      </c>
      <c r="AA520" s="2">
        <f>Table1[[#This Row],[retained_premium]]-Table1[[#This Row],[claim_amount_paid]]</f>
        <v>-3709.6060599999992</v>
      </c>
    </row>
    <row r="521" spans="1:27" x14ac:dyDescent="0.35">
      <c r="A521" t="s">
        <v>1602</v>
      </c>
      <c r="B521" t="s">
        <v>1603</v>
      </c>
      <c r="C521" t="s">
        <v>1604</v>
      </c>
      <c r="D521" s="1">
        <v>42535</v>
      </c>
      <c r="E521" s="1">
        <v>44098</v>
      </c>
      <c r="F521" s="1">
        <v>44103</v>
      </c>
      <c r="G521">
        <v>5</v>
      </c>
      <c r="H521">
        <v>116.91</v>
      </c>
      <c r="I521">
        <v>1402.92</v>
      </c>
      <c r="J521">
        <v>9000</v>
      </c>
      <c r="K521" t="s">
        <v>27</v>
      </c>
      <c r="L521">
        <v>9000</v>
      </c>
      <c r="M521">
        <v>3.25</v>
      </c>
      <c r="N521" t="s">
        <v>49</v>
      </c>
      <c r="O521">
        <v>39</v>
      </c>
      <c r="P521">
        <v>51</v>
      </c>
      <c r="Q521">
        <v>0</v>
      </c>
      <c r="R521">
        <v>5</v>
      </c>
      <c r="S521" t="s">
        <v>37</v>
      </c>
      <c r="T521" t="s">
        <v>30</v>
      </c>
      <c r="U521" t="s">
        <v>58</v>
      </c>
      <c r="V521" t="s">
        <v>39</v>
      </c>
      <c r="W521">
        <v>1</v>
      </c>
      <c r="X521">
        <v>1</v>
      </c>
      <c r="Y521" s="2">
        <f>Table1[[#This Row],[premium_yearly]]*Table1[[#This Row],[tenure_years]]</f>
        <v>4559.49</v>
      </c>
      <c r="Z521" s="2">
        <f>Table1[[#This Row],[total_collected_premiums]]*(1-$AD$2)</f>
        <v>3328.4276999999997</v>
      </c>
      <c r="AA521" s="2">
        <f>Table1[[#This Row],[retained_premium]]-Table1[[#This Row],[claim_amount_paid]]</f>
        <v>-5671.5722999999998</v>
      </c>
    </row>
    <row r="522" spans="1:27" x14ac:dyDescent="0.35">
      <c r="A522" t="s">
        <v>1605</v>
      </c>
      <c r="B522" t="s">
        <v>1606</v>
      </c>
      <c r="C522" t="s">
        <v>1607</v>
      </c>
      <c r="D522" s="1">
        <v>41953</v>
      </c>
      <c r="E522" s="1">
        <v>44097</v>
      </c>
      <c r="F522" s="1">
        <v>44102</v>
      </c>
      <c r="G522">
        <v>5</v>
      </c>
      <c r="H522">
        <v>70.19</v>
      </c>
      <c r="I522">
        <v>842.28</v>
      </c>
      <c r="J522">
        <v>5000</v>
      </c>
      <c r="K522" t="s">
        <v>27</v>
      </c>
      <c r="L522">
        <v>5000</v>
      </c>
      <c r="M522">
        <v>2.92</v>
      </c>
      <c r="N522" t="s">
        <v>28</v>
      </c>
      <c r="O522">
        <v>35</v>
      </c>
      <c r="P522">
        <v>58</v>
      </c>
      <c r="Q522">
        <v>0</v>
      </c>
      <c r="R522">
        <v>4</v>
      </c>
      <c r="S522" t="s">
        <v>65</v>
      </c>
      <c r="T522" t="s">
        <v>30</v>
      </c>
      <c r="U522" t="s">
        <v>38</v>
      </c>
      <c r="V522" t="s">
        <v>32</v>
      </c>
      <c r="W522">
        <v>1</v>
      </c>
      <c r="X522">
        <v>1</v>
      </c>
      <c r="Y522" s="2">
        <f>Table1[[#This Row],[premium_yearly]]*Table1[[#This Row],[tenure_years]]</f>
        <v>2459.4575999999997</v>
      </c>
      <c r="Z522" s="2">
        <f>Table1[[#This Row],[total_collected_premiums]]*(1-$AD$2)</f>
        <v>1795.4040479999996</v>
      </c>
      <c r="AA522" s="2">
        <f>Table1[[#This Row],[retained_premium]]-Table1[[#This Row],[claim_amount_paid]]</f>
        <v>-3204.5959520000006</v>
      </c>
    </row>
    <row r="523" spans="1:27" x14ac:dyDescent="0.35">
      <c r="A523" t="s">
        <v>1608</v>
      </c>
      <c r="B523" t="s">
        <v>1609</v>
      </c>
      <c r="C523" t="s">
        <v>1610</v>
      </c>
      <c r="D523" s="1">
        <v>43474</v>
      </c>
      <c r="E523" s="1">
        <v>44103</v>
      </c>
      <c r="F523" s="1">
        <v>44108</v>
      </c>
      <c r="G523">
        <v>5</v>
      </c>
      <c r="H523">
        <v>95.53</v>
      </c>
      <c r="I523">
        <v>1146.3599999999999</v>
      </c>
      <c r="J523">
        <v>6000</v>
      </c>
      <c r="K523" t="s">
        <v>27</v>
      </c>
      <c r="L523">
        <v>6000</v>
      </c>
      <c r="M523">
        <v>4.67</v>
      </c>
      <c r="N523" t="s">
        <v>28</v>
      </c>
      <c r="O523">
        <v>56</v>
      </c>
      <c r="P523">
        <v>53</v>
      </c>
      <c r="Q523">
        <v>1</v>
      </c>
      <c r="R523">
        <v>6</v>
      </c>
      <c r="S523" t="s">
        <v>65</v>
      </c>
      <c r="T523" t="s">
        <v>30</v>
      </c>
      <c r="U523" t="s">
        <v>38</v>
      </c>
      <c r="V523" t="s">
        <v>32</v>
      </c>
      <c r="W523">
        <v>1</v>
      </c>
      <c r="X523">
        <v>1</v>
      </c>
      <c r="Y523" s="2">
        <f>Table1[[#This Row],[premium_yearly]]*Table1[[#This Row],[tenure_years]]</f>
        <v>5353.5011999999997</v>
      </c>
      <c r="Z523" s="2">
        <f>Table1[[#This Row],[total_collected_premiums]]*(1-$AD$2)</f>
        <v>3908.0558759999999</v>
      </c>
      <c r="AA523" s="2">
        <f>Table1[[#This Row],[retained_premium]]-Table1[[#This Row],[claim_amount_paid]]</f>
        <v>-2091.9441240000001</v>
      </c>
    </row>
    <row r="524" spans="1:27" x14ac:dyDescent="0.35">
      <c r="A524" t="s">
        <v>1611</v>
      </c>
      <c r="B524" t="s">
        <v>1612</v>
      </c>
      <c r="C524" t="s">
        <v>1613</v>
      </c>
      <c r="D524" s="1">
        <v>43522</v>
      </c>
      <c r="E524" s="1">
        <v>44098</v>
      </c>
      <c r="F524" s="1">
        <v>44103</v>
      </c>
      <c r="G524">
        <v>5</v>
      </c>
      <c r="H524">
        <v>109.8</v>
      </c>
      <c r="I524">
        <v>1317.6</v>
      </c>
      <c r="J524">
        <v>7000</v>
      </c>
      <c r="K524" t="s">
        <v>27</v>
      </c>
      <c r="L524">
        <v>7000</v>
      </c>
      <c r="M524">
        <v>5.33</v>
      </c>
      <c r="N524" t="s">
        <v>49</v>
      </c>
      <c r="O524">
        <v>64</v>
      </c>
      <c r="P524">
        <v>48</v>
      </c>
      <c r="Q524">
        <v>1</v>
      </c>
      <c r="R524">
        <v>4</v>
      </c>
      <c r="S524" t="s">
        <v>65</v>
      </c>
      <c r="T524" t="s">
        <v>50</v>
      </c>
      <c r="U524" t="s">
        <v>51</v>
      </c>
      <c r="V524" t="s">
        <v>32</v>
      </c>
      <c r="W524">
        <v>1</v>
      </c>
      <c r="X524">
        <v>0</v>
      </c>
      <c r="Y524" s="2">
        <f>Table1[[#This Row],[premium_yearly]]*Table1[[#This Row],[tenure_years]]</f>
        <v>7022.808</v>
      </c>
      <c r="Z524" s="2">
        <f>Table1[[#This Row],[total_collected_premiums]]*(1-$AD$2)</f>
        <v>5126.64984</v>
      </c>
      <c r="AA524" s="2">
        <f>Table1[[#This Row],[retained_premium]]-Table1[[#This Row],[claim_amount_paid]]</f>
        <v>-1873.35016</v>
      </c>
    </row>
    <row r="525" spans="1:27" x14ac:dyDescent="0.35">
      <c r="A525" t="s">
        <v>1614</v>
      </c>
      <c r="B525" t="s">
        <v>1615</v>
      </c>
      <c r="C525" t="s">
        <v>1616</v>
      </c>
      <c r="D525" s="1">
        <v>43705</v>
      </c>
      <c r="E525" s="1">
        <v>44113</v>
      </c>
      <c r="F525" s="1">
        <v>44113</v>
      </c>
      <c r="G525">
        <v>0</v>
      </c>
      <c r="H525">
        <v>123.79</v>
      </c>
      <c r="I525">
        <v>1485.48</v>
      </c>
      <c r="J525">
        <v>7000</v>
      </c>
      <c r="K525" t="s">
        <v>27</v>
      </c>
      <c r="L525">
        <v>7000</v>
      </c>
      <c r="M525">
        <v>8.92</v>
      </c>
      <c r="N525" t="s">
        <v>28</v>
      </c>
      <c r="O525">
        <v>107</v>
      </c>
      <c r="P525">
        <v>42</v>
      </c>
      <c r="Q525">
        <v>1</v>
      </c>
      <c r="R525">
        <v>5</v>
      </c>
      <c r="S525" t="s">
        <v>29</v>
      </c>
      <c r="T525" t="s">
        <v>50</v>
      </c>
      <c r="U525" t="s">
        <v>38</v>
      </c>
      <c r="V525" t="s">
        <v>45</v>
      </c>
      <c r="W525">
        <v>1</v>
      </c>
      <c r="X525">
        <v>1</v>
      </c>
      <c r="Y525" s="2">
        <f>Table1[[#This Row],[premium_yearly]]*Table1[[#This Row],[tenure_years]]</f>
        <v>13250.481599999999</v>
      </c>
      <c r="Z525" s="2">
        <f>Table1[[#This Row],[total_collected_premiums]]*(1-$AD$2)</f>
        <v>9672.851568</v>
      </c>
      <c r="AA525" s="2">
        <f>Table1[[#This Row],[retained_premium]]-Table1[[#This Row],[claim_amount_paid]]</f>
        <v>2672.851568</v>
      </c>
    </row>
    <row r="526" spans="1:27" x14ac:dyDescent="0.35">
      <c r="A526" t="s">
        <v>1617</v>
      </c>
      <c r="B526" t="s">
        <v>1618</v>
      </c>
      <c r="C526" t="s">
        <v>1619</v>
      </c>
      <c r="D526" s="1">
        <v>40632</v>
      </c>
      <c r="E526" s="1">
        <v>44111</v>
      </c>
      <c r="F526" s="1">
        <v>44112</v>
      </c>
      <c r="G526">
        <v>1</v>
      </c>
      <c r="H526">
        <v>120.39</v>
      </c>
      <c r="I526">
        <v>1444.68</v>
      </c>
      <c r="J526">
        <v>4000</v>
      </c>
      <c r="K526" t="s">
        <v>27</v>
      </c>
      <c r="L526">
        <v>4000</v>
      </c>
      <c r="M526">
        <v>9.92</v>
      </c>
      <c r="N526" t="s">
        <v>28</v>
      </c>
      <c r="O526">
        <v>119</v>
      </c>
      <c r="P526">
        <v>45</v>
      </c>
      <c r="Q526">
        <v>1</v>
      </c>
      <c r="R526">
        <v>2</v>
      </c>
      <c r="S526" t="s">
        <v>29</v>
      </c>
      <c r="T526" t="s">
        <v>44</v>
      </c>
      <c r="U526" t="s">
        <v>38</v>
      </c>
      <c r="V526" t="s">
        <v>32</v>
      </c>
      <c r="W526">
        <v>1</v>
      </c>
      <c r="X526">
        <v>0</v>
      </c>
      <c r="Y526" s="2">
        <f>Table1[[#This Row],[premium_yearly]]*Table1[[#This Row],[tenure_years]]</f>
        <v>14331.2256</v>
      </c>
      <c r="Z526" s="2">
        <f>Table1[[#This Row],[total_collected_premiums]]*(1-$AD$2)</f>
        <v>10461.794688</v>
      </c>
      <c r="AA526" s="2">
        <f>Table1[[#This Row],[retained_premium]]-Table1[[#This Row],[claim_amount_paid]]</f>
        <v>6461.794688</v>
      </c>
    </row>
    <row r="527" spans="1:27" x14ac:dyDescent="0.35">
      <c r="A527" t="s">
        <v>1620</v>
      </c>
      <c r="B527" t="s">
        <v>1621</v>
      </c>
      <c r="C527" t="s">
        <v>1622</v>
      </c>
      <c r="D527" s="1">
        <v>40516</v>
      </c>
      <c r="E527" s="1">
        <v>44098</v>
      </c>
      <c r="F527" s="1">
        <v>44103</v>
      </c>
      <c r="G527">
        <v>5</v>
      </c>
      <c r="H527">
        <v>116.15</v>
      </c>
      <c r="I527">
        <v>1393.8</v>
      </c>
      <c r="J527">
        <v>2000</v>
      </c>
      <c r="K527" t="s">
        <v>43</v>
      </c>
      <c r="L527">
        <v>0</v>
      </c>
      <c r="M527">
        <v>8.17</v>
      </c>
      <c r="N527" t="s">
        <v>49</v>
      </c>
      <c r="O527">
        <v>98</v>
      </c>
      <c r="P527">
        <v>55</v>
      </c>
      <c r="Q527">
        <v>1</v>
      </c>
      <c r="R527">
        <v>4</v>
      </c>
      <c r="S527" t="s">
        <v>65</v>
      </c>
      <c r="T527" t="s">
        <v>44</v>
      </c>
      <c r="U527" t="s">
        <v>66</v>
      </c>
      <c r="V527" t="s">
        <v>39</v>
      </c>
      <c r="W527">
        <v>1</v>
      </c>
      <c r="X527">
        <v>0</v>
      </c>
      <c r="Y527" s="2">
        <f>Table1[[#This Row],[premium_yearly]]*Table1[[#This Row],[tenure_years]]</f>
        <v>11387.346</v>
      </c>
      <c r="Z527" s="2">
        <f>Table1[[#This Row],[total_collected_premiums]]*(1-$AD$2)</f>
        <v>8312.7625799999987</v>
      </c>
      <c r="AA527" s="2">
        <f>Table1[[#This Row],[retained_premium]]-Table1[[#This Row],[claim_amount_paid]]</f>
        <v>8312.7625799999987</v>
      </c>
    </row>
    <row r="528" spans="1:27" x14ac:dyDescent="0.35">
      <c r="A528" t="s">
        <v>1623</v>
      </c>
      <c r="B528" t="s">
        <v>1624</v>
      </c>
      <c r="C528" t="s">
        <v>1625</v>
      </c>
      <c r="D528" s="1">
        <v>43017</v>
      </c>
      <c r="E528" s="1">
        <v>44106</v>
      </c>
      <c r="F528" s="1">
        <v>44109</v>
      </c>
      <c r="G528">
        <v>3</v>
      </c>
      <c r="H528">
        <v>70.87</v>
      </c>
      <c r="I528">
        <v>850.44</v>
      </c>
      <c r="J528">
        <v>3000</v>
      </c>
      <c r="K528" t="s">
        <v>27</v>
      </c>
      <c r="L528">
        <v>3000</v>
      </c>
      <c r="M528">
        <v>6.08</v>
      </c>
      <c r="N528" t="s">
        <v>36</v>
      </c>
      <c r="O528">
        <v>73</v>
      </c>
      <c r="P528">
        <v>27</v>
      </c>
      <c r="Q528">
        <v>1</v>
      </c>
      <c r="R528">
        <v>5</v>
      </c>
      <c r="S528" t="s">
        <v>65</v>
      </c>
      <c r="T528" t="s">
        <v>30</v>
      </c>
      <c r="U528" t="s">
        <v>31</v>
      </c>
      <c r="V528" t="s">
        <v>39</v>
      </c>
      <c r="W528">
        <v>1</v>
      </c>
      <c r="X528">
        <v>1</v>
      </c>
      <c r="Y528" s="2">
        <f>Table1[[#This Row],[premium_yearly]]*Table1[[#This Row],[tenure_years]]</f>
        <v>5170.6752000000006</v>
      </c>
      <c r="Z528" s="2">
        <f>Table1[[#This Row],[total_collected_premiums]]*(1-$AD$2)</f>
        <v>3774.5928960000001</v>
      </c>
      <c r="AA528" s="2">
        <f>Table1[[#This Row],[retained_premium]]-Table1[[#This Row],[claim_amount_paid]]</f>
        <v>774.59289600000011</v>
      </c>
    </row>
    <row r="529" spans="1:27" x14ac:dyDescent="0.35">
      <c r="A529" t="s">
        <v>1626</v>
      </c>
      <c r="B529" t="s">
        <v>1627</v>
      </c>
      <c r="C529" t="s">
        <v>1628</v>
      </c>
      <c r="D529" s="1">
        <v>41044</v>
      </c>
      <c r="E529" s="1">
        <v>44099</v>
      </c>
      <c r="F529" s="1">
        <v>44104</v>
      </c>
      <c r="G529">
        <v>5</v>
      </c>
      <c r="H529">
        <v>126.55</v>
      </c>
      <c r="I529">
        <v>1518.6</v>
      </c>
      <c r="J529">
        <v>2000</v>
      </c>
      <c r="K529" t="s">
        <v>27</v>
      </c>
      <c r="L529">
        <v>2000</v>
      </c>
      <c r="M529">
        <v>4.75</v>
      </c>
      <c r="N529" t="s">
        <v>28</v>
      </c>
      <c r="O529">
        <v>57</v>
      </c>
      <c r="P529">
        <v>37</v>
      </c>
      <c r="Q529">
        <v>0</v>
      </c>
      <c r="R529">
        <v>2</v>
      </c>
      <c r="S529" t="s">
        <v>65</v>
      </c>
      <c r="T529" t="s">
        <v>30</v>
      </c>
      <c r="U529" t="s">
        <v>66</v>
      </c>
      <c r="V529" t="s">
        <v>32</v>
      </c>
      <c r="W529">
        <v>0</v>
      </c>
      <c r="X529">
        <v>0</v>
      </c>
      <c r="Y529" s="2">
        <f>Table1[[#This Row],[premium_yearly]]*Table1[[#This Row],[tenure_years]]</f>
        <v>7213.3499999999995</v>
      </c>
      <c r="Z529" s="2">
        <f>Table1[[#This Row],[total_collected_premiums]]*(1-$AD$2)</f>
        <v>5265.7454999999991</v>
      </c>
      <c r="AA529" s="2">
        <f>Table1[[#This Row],[retained_premium]]-Table1[[#This Row],[claim_amount_paid]]</f>
        <v>3265.7454999999991</v>
      </c>
    </row>
    <row r="530" spans="1:27" x14ac:dyDescent="0.35">
      <c r="A530" t="s">
        <v>1629</v>
      </c>
      <c r="B530" t="s">
        <v>1630</v>
      </c>
      <c r="C530" t="s">
        <v>1631</v>
      </c>
      <c r="D530" s="1">
        <v>40755</v>
      </c>
      <c r="E530" s="1">
        <v>44109</v>
      </c>
      <c r="F530" s="1">
        <v>44111</v>
      </c>
      <c r="G530">
        <v>2</v>
      </c>
      <c r="H530">
        <v>70.97</v>
      </c>
      <c r="I530">
        <v>851.64</v>
      </c>
      <c r="J530">
        <v>4000</v>
      </c>
      <c r="K530" t="s">
        <v>27</v>
      </c>
      <c r="L530">
        <v>4000</v>
      </c>
      <c r="M530">
        <v>3.17</v>
      </c>
      <c r="N530" t="s">
        <v>49</v>
      </c>
      <c r="O530">
        <v>38</v>
      </c>
      <c r="P530">
        <v>45</v>
      </c>
      <c r="Q530">
        <v>0</v>
      </c>
      <c r="R530">
        <v>2</v>
      </c>
      <c r="S530" t="s">
        <v>65</v>
      </c>
      <c r="T530" t="s">
        <v>30</v>
      </c>
      <c r="U530" t="s">
        <v>88</v>
      </c>
      <c r="V530" t="s">
        <v>32</v>
      </c>
      <c r="W530">
        <v>1</v>
      </c>
      <c r="X530">
        <v>1</v>
      </c>
      <c r="Y530" s="2">
        <f>Table1[[#This Row],[premium_yearly]]*Table1[[#This Row],[tenure_years]]</f>
        <v>2699.6988000000001</v>
      </c>
      <c r="Z530" s="2">
        <f>Table1[[#This Row],[total_collected_premiums]]*(1-$AD$2)</f>
        <v>1970.7801240000001</v>
      </c>
      <c r="AA530" s="2">
        <f>Table1[[#This Row],[retained_premium]]-Table1[[#This Row],[claim_amount_paid]]</f>
        <v>-2029.2198759999999</v>
      </c>
    </row>
    <row r="531" spans="1:27" x14ac:dyDescent="0.35">
      <c r="A531" t="s">
        <v>1632</v>
      </c>
      <c r="B531" t="s">
        <v>1633</v>
      </c>
      <c r="C531" t="s">
        <v>1634</v>
      </c>
      <c r="D531" s="1">
        <v>42359</v>
      </c>
      <c r="E531" s="1">
        <v>44099</v>
      </c>
      <c r="F531" s="1">
        <v>44104</v>
      </c>
      <c r="G531">
        <v>5</v>
      </c>
      <c r="H531">
        <v>95.43</v>
      </c>
      <c r="I531">
        <v>1145.1600000000001</v>
      </c>
      <c r="J531">
        <v>1000</v>
      </c>
      <c r="K531" t="s">
        <v>27</v>
      </c>
      <c r="L531">
        <v>1000</v>
      </c>
      <c r="M531">
        <v>7.58</v>
      </c>
      <c r="N531" t="s">
        <v>36</v>
      </c>
      <c r="O531">
        <v>91</v>
      </c>
      <c r="P531">
        <v>41</v>
      </c>
      <c r="Q531">
        <v>1</v>
      </c>
      <c r="R531">
        <v>6</v>
      </c>
      <c r="S531" t="s">
        <v>65</v>
      </c>
      <c r="T531" t="s">
        <v>30</v>
      </c>
      <c r="U531" t="s">
        <v>58</v>
      </c>
      <c r="V531" t="s">
        <v>32</v>
      </c>
      <c r="W531">
        <v>1</v>
      </c>
      <c r="X531">
        <v>0</v>
      </c>
      <c r="Y531" s="2">
        <f>Table1[[#This Row],[premium_yearly]]*Table1[[#This Row],[tenure_years]]</f>
        <v>8680.3128000000015</v>
      </c>
      <c r="Z531" s="2">
        <f>Table1[[#This Row],[total_collected_premiums]]*(1-$AD$2)</f>
        <v>6336.6283440000007</v>
      </c>
      <c r="AA531" s="2">
        <f>Table1[[#This Row],[retained_premium]]-Table1[[#This Row],[claim_amount_paid]]</f>
        <v>5336.6283440000007</v>
      </c>
    </row>
    <row r="532" spans="1:27" x14ac:dyDescent="0.35">
      <c r="A532" t="s">
        <v>1635</v>
      </c>
      <c r="B532" t="s">
        <v>1636</v>
      </c>
      <c r="C532" t="s">
        <v>1637</v>
      </c>
      <c r="D532" s="1">
        <v>42833</v>
      </c>
      <c r="E532" s="1">
        <v>44102</v>
      </c>
      <c r="F532" s="1">
        <v>44107</v>
      </c>
      <c r="G532">
        <v>5</v>
      </c>
      <c r="H532">
        <v>99.99</v>
      </c>
      <c r="I532">
        <v>1199.8800000000001</v>
      </c>
      <c r="J532">
        <v>3000</v>
      </c>
      <c r="K532" t="s">
        <v>27</v>
      </c>
      <c r="L532">
        <v>3000</v>
      </c>
      <c r="M532">
        <v>8.92</v>
      </c>
      <c r="N532" t="s">
        <v>36</v>
      </c>
      <c r="O532">
        <v>107</v>
      </c>
      <c r="P532">
        <v>50</v>
      </c>
      <c r="Q532">
        <v>1</v>
      </c>
      <c r="R532">
        <v>2</v>
      </c>
      <c r="S532" t="s">
        <v>37</v>
      </c>
      <c r="T532" t="s">
        <v>50</v>
      </c>
      <c r="U532" t="s">
        <v>38</v>
      </c>
      <c r="V532" t="s">
        <v>32</v>
      </c>
      <c r="W532">
        <v>1</v>
      </c>
      <c r="X532">
        <v>1</v>
      </c>
      <c r="Y532" s="2">
        <f>Table1[[#This Row],[premium_yearly]]*Table1[[#This Row],[tenure_years]]</f>
        <v>10702.929600000001</v>
      </c>
      <c r="Z532" s="2">
        <f>Table1[[#This Row],[total_collected_premiums]]*(1-$AD$2)</f>
        <v>7813.1386080000011</v>
      </c>
      <c r="AA532" s="2">
        <f>Table1[[#This Row],[retained_premium]]-Table1[[#This Row],[claim_amount_paid]]</f>
        <v>4813.1386080000011</v>
      </c>
    </row>
    <row r="533" spans="1:27" x14ac:dyDescent="0.35">
      <c r="A533" t="s">
        <v>1638</v>
      </c>
      <c r="B533" t="s">
        <v>1639</v>
      </c>
      <c r="C533" t="s">
        <v>1640</v>
      </c>
      <c r="D533" s="1">
        <v>42455</v>
      </c>
      <c r="E533" s="1">
        <v>44109</v>
      </c>
      <c r="F533" s="1">
        <v>44112</v>
      </c>
      <c r="G533">
        <v>3</v>
      </c>
      <c r="H533">
        <v>72.36</v>
      </c>
      <c r="I533">
        <v>868.32</v>
      </c>
      <c r="J533">
        <v>3000</v>
      </c>
      <c r="K533" t="s">
        <v>27</v>
      </c>
      <c r="L533">
        <v>3000</v>
      </c>
      <c r="M533">
        <v>5.33</v>
      </c>
      <c r="N533" t="s">
        <v>36</v>
      </c>
      <c r="O533">
        <v>64</v>
      </c>
      <c r="P533">
        <v>46</v>
      </c>
      <c r="Q533">
        <v>0</v>
      </c>
      <c r="R533">
        <v>7</v>
      </c>
      <c r="S533" t="s">
        <v>29</v>
      </c>
      <c r="T533" t="s">
        <v>30</v>
      </c>
      <c r="U533" t="s">
        <v>51</v>
      </c>
      <c r="V533" t="s">
        <v>39</v>
      </c>
      <c r="W533">
        <v>0</v>
      </c>
      <c r="X533">
        <v>1</v>
      </c>
      <c r="Y533" s="2">
        <f>Table1[[#This Row],[premium_yearly]]*Table1[[#This Row],[tenure_years]]</f>
        <v>4628.1456000000007</v>
      </c>
      <c r="Z533" s="2">
        <f>Table1[[#This Row],[total_collected_premiums]]*(1-$AD$2)</f>
        <v>3378.5462880000005</v>
      </c>
      <c r="AA533" s="2">
        <f>Table1[[#This Row],[retained_premium]]-Table1[[#This Row],[claim_amount_paid]]</f>
        <v>378.54628800000046</v>
      </c>
    </row>
    <row r="534" spans="1:27" x14ac:dyDescent="0.35">
      <c r="A534" t="s">
        <v>1641</v>
      </c>
      <c r="B534" t="s">
        <v>1642</v>
      </c>
      <c r="C534" t="s">
        <v>1643</v>
      </c>
      <c r="D534" s="1">
        <v>42106</v>
      </c>
      <c r="E534" s="1">
        <v>44101</v>
      </c>
      <c r="F534" s="1">
        <v>44106</v>
      </c>
      <c r="G534">
        <v>5</v>
      </c>
      <c r="H534">
        <v>126.03</v>
      </c>
      <c r="I534">
        <v>1512.36</v>
      </c>
      <c r="J534">
        <v>6000</v>
      </c>
      <c r="K534" t="s">
        <v>27</v>
      </c>
      <c r="L534">
        <v>6000</v>
      </c>
      <c r="M534">
        <v>5.33</v>
      </c>
      <c r="N534" t="s">
        <v>28</v>
      </c>
      <c r="O534">
        <v>64</v>
      </c>
      <c r="P534">
        <v>41</v>
      </c>
      <c r="Q534">
        <v>1</v>
      </c>
      <c r="R534">
        <v>4</v>
      </c>
      <c r="S534" t="s">
        <v>29</v>
      </c>
      <c r="T534" t="s">
        <v>44</v>
      </c>
      <c r="U534" t="s">
        <v>31</v>
      </c>
      <c r="V534" t="s">
        <v>39</v>
      </c>
      <c r="W534">
        <v>1</v>
      </c>
      <c r="X534">
        <v>1</v>
      </c>
      <c r="Y534" s="2">
        <f>Table1[[#This Row],[premium_yearly]]*Table1[[#This Row],[tenure_years]]</f>
        <v>8060.8787999999995</v>
      </c>
      <c r="Z534" s="2">
        <f>Table1[[#This Row],[total_collected_premiums]]*(1-$AD$2)</f>
        <v>5884.4415239999998</v>
      </c>
      <c r="AA534" s="2">
        <f>Table1[[#This Row],[retained_premium]]-Table1[[#This Row],[claim_amount_paid]]</f>
        <v>-115.55847600000016</v>
      </c>
    </row>
    <row r="535" spans="1:27" x14ac:dyDescent="0.35">
      <c r="A535" t="s">
        <v>1644</v>
      </c>
      <c r="B535" t="s">
        <v>1645</v>
      </c>
      <c r="C535" t="s">
        <v>1646</v>
      </c>
      <c r="D535" s="1">
        <v>43803</v>
      </c>
      <c r="E535" s="1">
        <v>44116</v>
      </c>
      <c r="F535" s="1">
        <v>44116</v>
      </c>
      <c r="G535">
        <v>0</v>
      </c>
      <c r="H535">
        <v>80.87</v>
      </c>
      <c r="I535">
        <v>970.44</v>
      </c>
      <c r="J535">
        <v>10000</v>
      </c>
      <c r="K535" t="s">
        <v>43</v>
      </c>
      <c r="L535">
        <v>0</v>
      </c>
      <c r="M535">
        <v>2</v>
      </c>
      <c r="N535" t="s">
        <v>28</v>
      </c>
      <c r="O535">
        <v>24</v>
      </c>
      <c r="P535">
        <v>56</v>
      </c>
      <c r="Q535">
        <v>1</v>
      </c>
      <c r="R535">
        <v>3</v>
      </c>
      <c r="S535" t="s">
        <v>65</v>
      </c>
      <c r="T535" t="s">
        <v>44</v>
      </c>
      <c r="U535" t="s">
        <v>66</v>
      </c>
      <c r="V535" t="s">
        <v>39</v>
      </c>
      <c r="W535">
        <v>1</v>
      </c>
      <c r="X535">
        <v>0</v>
      </c>
      <c r="Y535" s="2">
        <f>Table1[[#This Row],[premium_yearly]]*Table1[[#This Row],[tenure_years]]</f>
        <v>1940.88</v>
      </c>
      <c r="Z535" s="2">
        <f>Table1[[#This Row],[total_collected_premiums]]*(1-$AD$2)</f>
        <v>1416.8424</v>
      </c>
      <c r="AA535" s="2">
        <f>Table1[[#This Row],[retained_premium]]-Table1[[#This Row],[claim_amount_paid]]</f>
        <v>1416.8424</v>
      </c>
    </row>
    <row r="536" spans="1:27" x14ac:dyDescent="0.35">
      <c r="A536" t="s">
        <v>1647</v>
      </c>
      <c r="B536" t="s">
        <v>1648</v>
      </c>
      <c r="C536" t="s">
        <v>1649</v>
      </c>
      <c r="D536" s="1">
        <v>41374</v>
      </c>
      <c r="E536" s="1">
        <v>44112</v>
      </c>
      <c r="F536" s="1">
        <v>44114</v>
      </c>
      <c r="G536">
        <v>2</v>
      </c>
      <c r="H536">
        <v>128.91</v>
      </c>
      <c r="I536">
        <v>1546.92</v>
      </c>
      <c r="J536">
        <v>3000</v>
      </c>
      <c r="K536" t="s">
        <v>27</v>
      </c>
      <c r="L536">
        <v>3000</v>
      </c>
      <c r="M536">
        <v>7.83</v>
      </c>
      <c r="N536" t="s">
        <v>49</v>
      </c>
      <c r="O536">
        <v>94</v>
      </c>
      <c r="P536">
        <v>55</v>
      </c>
      <c r="Q536">
        <v>0</v>
      </c>
      <c r="R536">
        <v>6</v>
      </c>
      <c r="S536" t="s">
        <v>65</v>
      </c>
      <c r="T536" t="s">
        <v>50</v>
      </c>
      <c r="U536" t="s">
        <v>66</v>
      </c>
      <c r="V536" t="s">
        <v>45</v>
      </c>
      <c r="W536">
        <v>0</v>
      </c>
      <c r="X536">
        <v>1</v>
      </c>
      <c r="Y536" s="2">
        <f>Table1[[#This Row],[premium_yearly]]*Table1[[#This Row],[tenure_years]]</f>
        <v>12112.383600000001</v>
      </c>
      <c r="Z536" s="2">
        <f>Table1[[#This Row],[total_collected_premiums]]*(1-$AD$2)</f>
        <v>8842.0400280000013</v>
      </c>
      <c r="AA536" s="2">
        <f>Table1[[#This Row],[retained_premium]]-Table1[[#This Row],[claim_amount_paid]]</f>
        <v>5842.0400280000013</v>
      </c>
    </row>
    <row r="537" spans="1:27" x14ac:dyDescent="0.35">
      <c r="A537" t="s">
        <v>1650</v>
      </c>
      <c r="B537" t="s">
        <v>1651</v>
      </c>
      <c r="C537" t="s">
        <v>1652</v>
      </c>
      <c r="D537" s="1">
        <v>43844</v>
      </c>
      <c r="E537" s="1">
        <v>44101</v>
      </c>
      <c r="F537" s="1">
        <v>44106</v>
      </c>
      <c r="G537">
        <v>5</v>
      </c>
      <c r="H537">
        <v>121.27</v>
      </c>
      <c r="I537">
        <v>1455.24</v>
      </c>
      <c r="J537">
        <v>5000</v>
      </c>
      <c r="K537" t="s">
        <v>43</v>
      </c>
      <c r="L537">
        <v>0</v>
      </c>
      <c r="M537">
        <v>1.5</v>
      </c>
      <c r="N537" t="s">
        <v>28</v>
      </c>
      <c r="O537">
        <v>18</v>
      </c>
      <c r="P537">
        <v>53</v>
      </c>
      <c r="Q537">
        <v>1</v>
      </c>
      <c r="R537">
        <v>3</v>
      </c>
      <c r="S537" t="s">
        <v>65</v>
      </c>
      <c r="T537" t="s">
        <v>50</v>
      </c>
      <c r="U537" t="s">
        <v>38</v>
      </c>
      <c r="V537" t="s">
        <v>32</v>
      </c>
      <c r="W537">
        <v>0</v>
      </c>
      <c r="X537">
        <v>1</v>
      </c>
      <c r="Y537" s="2">
        <f>Table1[[#This Row],[premium_yearly]]*Table1[[#This Row],[tenure_years]]</f>
        <v>2182.86</v>
      </c>
      <c r="Z537" s="2">
        <f>Table1[[#This Row],[total_collected_premiums]]*(1-$AD$2)</f>
        <v>1593.4878000000001</v>
      </c>
      <c r="AA537" s="2">
        <f>Table1[[#This Row],[retained_premium]]-Table1[[#This Row],[claim_amount_paid]]</f>
        <v>1593.4878000000001</v>
      </c>
    </row>
    <row r="538" spans="1:27" x14ac:dyDescent="0.35">
      <c r="A538" t="s">
        <v>1653</v>
      </c>
      <c r="B538" t="s">
        <v>1654</v>
      </c>
      <c r="C538" t="s">
        <v>1655</v>
      </c>
      <c r="D538" s="1">
        <v>41714</v>
      </c>
      <c r="E538" s="1">
        <v>44103</v>
      </c>
      <c r="F538" s="1">
        <v>44108</v>
      </c>
      <c r="G538">
        <v>5</v>
      </c>
      <c r="H538">
        <v>117.82</v>
      </c>
      <c r="I538">
        <v>1413.84</v>
      </c>
      <c r="J538">
        <v>1000</v>
      </c>
      <c r="K538" t="s">
        <v>27</v>
      </c>
      <c r="L538">
        <v>1000</v>
      </c>
      <c r="M538">
        <v>2.75</v>
      </c>
      <c r="N538" t="s">
        <v>49</v>
      </c>
      <c r="O538">
        <v>33</v>
      </c>
      <c r="P538">
        <v>29</v>
      </c>
      <c r="Q538">
        <v>1</v>
      </c>
      <c r="R538">
        <v>2</v>
      </c>
      <c r="S538" t="s">
        <v>29</v>
      </c>
      <c r="T538" t="s">
        <v>44</v>
      </c>
      <c r="U538" t="s">
        <v>88</v>
      </c>
      <c r="V538" t="s">
        <v>39</v>
      </c>
      <c r="W538">
        <v>1</v>
      </c>
      <c r="X538">
        <v>1</v>
      </c>
      <c r="Y538" s="2">
        <f>Table1[[#This Row],[premium_yearly]]*Table1[[#This Row],[tenure_years]]</f>
        <v>3888.06</v>
      </c>
      <c r="Z538" s="2">
        <f>Table1[[#This Row],[total_collected_premiums]]*(1-$AD$2)</f>
        <v>2838.2837999999997</v>
      </c>
      <c r="AA538" s="2">
        <f>Table1[[#This Row],[retained_premium]]-Table1[[#This Row],[claim_amount_paid]]</f>
        <v>1838.2837999999997</v>
      </c>
    </row>
    <row r="539" spans="1:27" x14ac:dyDescent="0.35">
      <c r="A539" t="s">
        <v>1656</v>
      </c>
      <c r="B539" t="s">
        <v>1657</v>
      </c>
      <c r="C539" t="s">
        <v>1658</v>
      </c>
      <c r="D539" s="1">
        <v>40657</v>
      </c>
      <c r="E539" s="1">
        <v>44107</v>
      </c>
      <c r="F539" s="1">
        <v>44112</v>
      </c>
      <c r="G539">
        <v>5</v>
      </c>
      <c r="H539">
        <v>89.2</v>
      </c>
      <c r="I539">
        <v>1070.4000000000001</v>
      </c>
      <c r="J539">
        <v>9000</v>
      </c>
      <c r="K539" t="s">
        <v>27</v>
      </c>
      <c r="L539">
        <v>9000</v>
      </c>
      <c r="M539">
        <v>5.75</v>
      </c>
      <c r="N539" t="s">
        <v>49</v>
      </c>
      <c r="O539">
        <v>69</v>
      </c>
      <c r="P539">
        <v>34</v>
      </c>
      <c r="Q539">
        <v>1</v>
      </c>
      <c r="R539">
        <v>2</v>
      </c>
      <c r="S539" t="s">
        <v>65</v>
      </c>
      <c r="T539" t="s">
        <v>30</v>
      </c>
      <c r="U539" t="s">
        <v>38</v>
      </c>
      <c r="V539" t="s">
        <v>39</v>
      </c>
      <c r="W539">
        <v>1</v>
      </c>
      <c r="X539">
        <v>1</v>
      </c>
      <c r="Y539" s="2">
        <f>Table1[[#This Row],[premium_yearly]]*Table1[[#This Row],[tenure_years]]</f>
        <v>6154.8</v>
      </c>
      <c r="Z539" s="2">
        <f>Table1[[#This Row],[total_collected_premiums]]*(1-$AD$2)</f>
        <v>4493.0039999999999</v>
      </c>
      <c r="AA539" s="2">
        <f>Table1[[#This Row],[retained_premium]]-Table1[[#This Row],[claim_amount_paid]]</f>
        <v>-4506.9960000000001</v>
      </c>
    </row>
    <row r="540" spans="1:27" x14ac:dyDescent="0.35">
      <c r="A540" t="s">
        <v>1659</v>
      </c>
      <c r="B540" t="s">
        <v>1660</v>
      </c>
      <c r="C540" t="s">
        <v>1661</v>
      </c>
      <c r="D540" s="1">
        <v>41434</v>
      </c>
      <c r="E540" s="1">
        <v>44117</v>
      </c>
      <c r="F540" s="1">
        <v>44117</v>
      </c>
      <c r="G540">
        <v>0</v>
      </c>
      <c r="H540">
        <v>87.21</v>
      </c>
      <c r="I540">
        <v>1046.52</v>
      </c>
      <c r="J540">
        <v>10000</v>
      </c>
      <c r="K540" t="s">
        <v>27</v>
      </c>
      <c r="L540">
        <v>10000</v>
      </c>
      <c r="M540">
        <v>2</v>
      </c>
      <c r="N540" t="s">
        <v>28</v>
      </c>
      <c r="O540">
        <v>24</v>
      </c>
      <c r="P540">
        <v>35</v>
      </c>
      <c r="Q540">
        <v>0</v>
      </c>
      <c r="R540">
        <v>3</v>
      </c>
      <c r="S540" t="s">
        <v>29</v>
      </c>
      <c r="T540" t="s">
        <v>30</v>
      </c>
      <c r="U540" t="s">
        <v>58</v>
      </c>
      <c r="V540" t="s">
        <v>45</v>
      </c>
      <c r="W540">
        <v>1</v>
      </c>
      <c r="X540">
        <v>1</v>
      </c>
      <c r="Y540" s="2">
        <f>Table1[[#This Row],[premium_yearly]]*Table1[[#This Row],[tenure_years]]</f>
        <v>2093.04</v>
      </c>
      <c r="Z540" s="2">
        <f>Table1[[#This Row],[total_collected_premiums]]*(1-$AD$2)</f>
        <v>1527.9192</v>
      </c>
      <c r="AA540" s="2">
        <f>Table1[[#This Row],[retained_premium]]-Table1[[#This Row],[claim_amount_paid]]</f>
        <v>-8472.0807999999997</v>
      </c>
    </row>
    <row r="541" spans="1:27" x14ac:dyDescent="0.35">
      <c r="A541" t="s">
        <v>1662</v>
      </c>
      <c r="B541" t="s">
        <v>1663</v>
      </c>
      <c r="C541" t="s">
        <v>1664</v>
      </c>
      <c r="D541" s="1">
        <v>40496</v>
      </c>
      <c r="E541" s="1">
        <v>44111</v>
      </c>
      <c r="F541" s="1">
        <v>44114</v>
      </c>
      <c r="G541">
        <v>3</v>
      </c>
      <c r="H541">
        <v>117.26</v>
      </c>
      <c r="I541">
        <v>1407.12</v>
      </c>
      <c r="J541">
        <v>4000</v>
      </c>
      <c r="K541" t="s">
        <v>27</v>
      </c>
      <c r="L541">
        <v>4000</v>
      </c>
      <c r="M541">
        <v>2.58</v>
      </c>
      <c r="N541" t="s">
        <v>28</v>
      </c>
      <c r="O541">
        <v>31</v>
      </c>
      <c r="P541">
        <v>28</v>
      </c>
      <c r="Q541">
        <v>0</v>
      </c>
      <c r="R541">
        <v>5</v>
      </c>
      <c r="S541" t="s">
        <v>65</v>
      </c>
      <c r="T541" t="s">
        <v>30</v>
      </c>
      <c r="U541" t="s">
        <v>38</v>
      </c>
      <c r="V541" t="s">
        <v>39</v>
      </c>
      <c r="W541">
        <v>1</v>
      </c>
      <c r="X541">
        <v>0</v>
      </c>
      <c r="Y541" s="2">
        <f>Table1[[#This Row],[premium_yearly]]*Table1[[#This Row],[tenure_years]]</f>
        <v>3630.3696</v>
      </c>
      <c r="Z541" s="2">
        <f>Table1[[#This Row],[total_collected_premiums]]*(1-$AD$2)</f>
        <v>2650.1698080000001</v>
      </c>
      <c r="AA541" s="2">
        <f>Table1[[#This Row],[retained_premium]]-Table1[[#This Row],[claim_amount_paid]]</f>
        <v>-1349.8301919999999</v>
      </c>
    </row>
    <row r="542" spans="1:27" x14ac:dyDescent="0.35">
      <c r="A542" t="s">
        <v>1665</v>
      </c>
      <c r="B542" t="s">
        <v>1666</v>
      </c>
      <c r="C542" t="s">
        <v>1667</v>
      </c>
      <c r="D542" s="1">
        <v>41107</v>
      </c>
      <c r="E542" s="1">
        <v>44112</v>
      </c>
      <c r="F542" s="1">
        <v>44115</v>
      </c>
      <c r="G542">
        <v>3</v>
      </c>
      <c r="H542">
        <v>70.930000000000007</v>
      </c>
      <c r="I542">
        <v>851.16</v>
      </c>
      <c r="J542">
        <v>2000</v>
      </c>
      <c r="K542" t="s">
        <v>27</v>
      </c>
      <c r="L542">
        <v>2000</v>
      </c>
      <c r="M542">
        <v>3.25</v>
      </c>
      <c r="N542" t="s">
        <v>36</v>
      </c>
      <c r="O542">
        <v>39</v>
      </c>
      <c r="P542">
        <v>50</v>
      </c>
      <c r="Q542">
        <v>1</v>
      </c>
      <c r="R542">
        <v>6</v>
      </c>
      <c r="S542" t="s">
        <v>65</v>
      </c>
      <c r="T542" t="s">
        <v>30</v>
      </c>
      <c r="U542" t="s">
        <v>31</v>
      </c>
      <c r="V542" t="s">
        <v>45</v>
      </c>
      <c r="W542">
        <v>1</v>
      </c>
      <c r="X542">
        <v>1</v>
      </c>
      <c r="Y542" s="2">
        <f>Table1[[#This Row],[premium_yearly]]*Table1[[#This Row],[tenure_years]]</f>
        <v>2766.27</v>
      </c>
      <c r="Z542" s="2">
        <f>Table1[[#This Row],[total_collected_premiums]]*(1-$AD$2)</f>
        <v>2019.3770999999999</v>
      </c>
      <c r="AA542" s="2">
        <f>Table1[[#This Row],[retained_premium]]-Table1[[#This Row],[claim_amount_paid]]</f>
        <v>19.377099999999928</v>
      </c>
    </row>
    <row r="543" spans="1:27" x14ac:dyDescent="0.35">
      <c r="A543" t="s">
        <v>1668</v>
      </c>
      <c r="B543" t="s">
        <v>1669</v>
      </c>
      <c r="C543" t="s">
        <v>1670</v>
      </c>
      <c r="D543" s="1">
        <v>40888</v>
      </c>
      <c r="E543" s="1">
        <v>44107</v>
      </c>
      <c r="F543" s="1">
        <v>44112</v>
      </c>
      <c r="G543">
        <v>5</v>
      </c>
      <c r="H543">
        <v>96.38</v>
      </c>
      <c r="I543">
        <v>1156.56</v>
      </c>
      <c r="J543">
        <v>1000</v>
      </c>
      <c r="K543" t="s">
        <v>27</v>
      </c>
      <c r="L543">
        <v>1000</v>
      </c>
      <c r="M543">
        <v>2.42</v>
      </c>
      <c r="N543" t="s">
        <v>36</v>
      </c>
      <c r="O543">
        <v>29</v>
      </c>
      <c r="P543">
        <v>41</v>
      </c>
      <c r="Q543">
        <v>0</v>
      </c>
      <c r="R543">
        <v>3</v>
      </c>
      <c r="S543" t="s">
        <v>29</v>
      </c>
      <c r="T543" t="s">
        <v>30</v>
      </c>
      <c r="U543" t="s">
        <v>38</v>
      </c>
      <c r="V543" t="s">
        <v>39</v>
      </c>
      <c r="W543">
        <v>0</v>
      </c>
      <c r="X543">
        <v>1</v>
      </c>
      <c r="Y543" s="2">
        <f>Table1[[#This Row],[premium_yearly]]*Table1[[#This Row],[tenure_years]]</f>
        <v>2798.8751999999999</v>
      </c>
      <c r="Z543" s="2">
        <f>Table1[[#This Row],[total_collected_premiums]]*(1-$AD$2)</f>
        <v>2043.1788959999999</v>
      </c>
      <c r="AA543" s="2">
        <f>Table1[[#This Row],[retained_premium]]-Table1[[#This Row],[claim_amount_paid]]</f>
        <v>1043.1788959999999</v>
      </c>
    </row>
    <row r="544" spans="1:27" x14ac:dyDescent="0.35">
      <c r="A544" t="s">
        <v>1671</v>
      </c>
      <c r="B544" t="s">
        <v>1672</v>
      </c>
      <c r="C544" t="s">
        <v>1673</v>
      </c>
      <c r="D544" s="1">
        <v>42257</v>
      </c>
      <c r="E544" s="1">
        <v>44108</v>
      </c>
      <c r="F544" s="1">
        <v>44113</v>
      </c>
      <c r="G544">
        <v>5</v>
      </c>
      <c r="H544">
        <v>76.14</v>
      </c>
      <c r="I544">
        <v>913.68</v>
      </c>
      <c r="J544">
        <v>5000</v>
      </c>
      <c r="K544" t="s">
        <v>27</v>
      </c>
      <c r="L544">
        <v>5000</v>
      </c>
      <c r="M544">
        <v>6.25</v>
      </c>
      <c r="N544" t="s">
        <v>49</v>
      </c>
      <c r="O544">
        <v>75</v>
      </c>
      <c r="P544">
        <v>56</v>
      </c>
      <c r="Q544">
        <v>1</v>
      </c>
      <c r="R544">
        <v>2</v>
      </c>
      <c r="S544" t="s">
        <v>65</v>
      </c>
      <c r="T544" t="s">
        <v>30</v>
      </c>
      <c r="U544" t="s">
        <v>38</v>
      </c>
      <c r="V544" t="s">
        <v>39</v>
      </c>
      <c r="W544">
        <v>0</v>
      </c>
      <c r="X544">
        <v>1</v>
      </c>
      <c r="Y544" s="2">
        <f>Table1[[#This Row],[premium_yearly]]*Table1[[#This Row],[tenure_years]]</f>
        <v>5710.5</v>
      </c>
      <c r="Z544" s="2">
        <f>Table1[[#This Row],[total_collected_premiums]]*(1-$AD$2)</f>
        <v>4168.665</v>
      </c>
      <c r="AA544" s="2">
        <f>Table1[[#This Row],[retained_premium]]-Table1[[#This Row],[claim_amount_paid]]</f>
        <v>-831.33500000000004</v>
      </c>
    </row>
    <row r="545" spans="1:27" x14ac:dyDescent="0.35">
      <c r="A545" t="s">
        <v>1674</v>
      </c>
      <c r="B545" t="s">
        <v>1675</v>
      </c>
      <c r="C545" t="s">
        <v>1676</v>
      </c>
      <c r="D545" s="1">
        <v>41970</v>
      </c>
      <c r="E545" s="1">
        <v>44104</v>
      </c>
      <c r="F545" s="1">
        <v>44109</v>
      </c>
      <c r="G545">
        <v>5</v>
      </c>
      <c r="H545">
        <v>90.58</v>
      </c>
      <c r="I545">
        <v>1086.96</v>
      </c>
      <c r="J545">
        <v>8000</v>
      </c>
      <c r="K545" t="s">
        <v>27</v>
      </c>
      <c r="L545">
        <v>8000</v>
      </c>
      <c r="M545">
        <v>4.67</v>
      </c>
      <c r="N545" t="s">
        <v>36</v>
      </c>
      <c r="O545">
        <v>56</v>
      </c>
      <c r="P545">
        <v>35</v>
      </c>
      <c r="Q545">
        <v>1</v>
      </c>
      <c r="R545">
        <v>2</v>
      </c>
      <c r="S545" t="s">
        <v>29</v>
      </c>
      <c r="T545" t="s">
        <v>50</v>
      </c>
      <c r="U545" t="s">
        <v>66</v>
      </c>
      <c r="V545" t="s">
        <v>45</v>
      </c>
      <c r="W545">
        <v>1</v>
      </c>
      <c r="X545">
        <v>1</v>
      </c>
      <c r="Y545" s="2">
        <f>Table1[[#This Row],[premium_yearly]]*Table1[[#This Row],[tenure_years]]</f>
        <v>5076.1032000000005</v>
      </c>
      <c r="Z545" s="2">
        <f>Table1[[#This Row],[total_collected_premiums]]*(1-$AD$2)</f>
        <v>3705.5553360000004</v>
      </c>
      <c r="AA545" s="2">
        <f>Table1[[#This Row],[retained_premium]]-Table1[[#This Row],[claim_amount_paid]]</f>
        <v>-4294.4446639999996</v>
      </c>
    </row>
    <row r="546" spans="1:27" x14ac:dyDescent="0.35">
      <c r="A546" t="s">
        <v>1677</v>
      </c>
      <c r="B546" t="s">
        <v>1678</v>
      </c>
      <c r="C546" t="s">
        <v>1679</v>
      </c>
      <c r="D546" s="1">
        <v>43612</v>
      </c>
      <c r="E546" s="1">
        <v>44114</v>
      </c>
      <c r="F546" s="1">
        <v>44116</v>
      </c>
      <c r="G546">
        <v>2</v>
      </c>
      <c r="H546">
        <v>88.69</v>
      </c>
      <c r="I546">
        <v>1064.28</v>
      </c>
      <c r="J546">
        <v>8000</v>
      </c>
      <c r="K546" t="s">
        <v>27</v>
      </c>
      <c r="L546">
        <v>8000</v>
      </c>
      <c r="M546">
        <v>7.25</v>
      </c>
      <c r="N546" t="s">
        <v>36</v>
      </c>
      <c r="O546">
        <v>87</v>
      </c>
      <c r="P546">
        <v>29</v>
      </c>
      <c r="Q546">
        <v>0</v>
      </c>
      <c r="R546">
        <v>2</v>
      </c>
      <c r="S546" t="s">
        <v>65</v>
      </c>
      <c r="T546" t="s">
        <v>50</v>
      </c>
      <c r="U546" t="s">
        <v>31</v>
      </c>
      <c r="V546" t="s">
        <v>32</v>
      </c>
      <c r="W546">
        <v>1</v>
      </c>
      <c r="X546">
        <v>1</v>
      </c>
      <c r="Y546" s="2">
        <f>Table1[[#This Row],[premium_yearly]]*Table1[[#This Row],[tenure_years]]</f>
        <v>7716.03</v>
      </c>
      <c r="Z546" s="2">
        <f>Table1[[#This Row],[total_collected_premiums]]*(1-$AD$2)</f>
        <v>5632.7019</v>
      </c>
      <c r="AA546" s="2">
        <f>Table1[[#This Row],[retained_premium]]-Table1[[#This Row],[claim_amount_paid]]</f>
        <v>-2367.2981</v>
      </c>
    </row>
    <row r="547" spans="1:27" x14ac:dyDescent="0.35">
      <c r="A547" t="s">
        <v>1680</v>
      </c>
      <c r="B547" t="s">
        <v>1681</v>
      </c>
      <c r="C547" t="s">
        <v>1682</v>
      </c>
      <c r="D547" s="1">
        <v>42066</v>
      </c>
      <c r="E547" s="1">
        <v>44103</v>
      </c>
      <c r="F547" s="1">
        <v>44108</v>
      </c>
      <c r="G547">
        <v>5</v>
      </c>
      <c r="H547">
        <v>132.62</v>
      </c>
      <c r="I547">
        <v>1591.44</v>
      </c>
      <c r="J547">
        <v>10000</v>
      </c>
      <c r="K547" t="s">
        <v>27</v>
      </c>
      <c r="L547">
        <v>10000</v>
      </c>
      <c r="M547">
        <v>9.25</v>
      </c>
      <c r="N547" t="s">
        <v>28</v>
      </c>
      <c r="O547">
        <v>111</v>
      </c>
      <c r="P547">
        <v>35</v>
      </c>
      <c r="Q547">
        <v>1</v>
      </c>
      <c r="R547">
        <v>7</v>
      </c>
      <c r="S547" t="s">
        <v>65</v>
      </c>
      <c r="T547" t="s">
        <v>44</v>
      </c>
      <c r="U547" t="s">
        <v>58</v>
      </c>
      <c r="V547" t="s">
        <v>45</v>
      </c>
      <c r="W547">
        <v>0</v>
      </c>
      <c r="X547">
        <v>1</v>
      </c>
      <c r="Y547" s="2">
        <f>Table1[[#This Row],[premium_yearly]]*Table1[[#This Row],[tenure_years]]</f>
        <v>14720.82</v>
      </c>
      <c r="Z547" s="2">
        <f>Table1[[#This Row],[total_collected_premiums]]*(1-$AD$2)</f>
        <v>10746.1986</v>
      </c>
      <c r="AA547" s="2">
        <f>Table1[[#This Row],[retained_premium]]-Table1[[#This Row],[claim_amount_paid]]</f>
        <v>746.19859999999971</v>
      </c>
    </row>
    <row r="548" spans="1:27" x14ac:dyDescent="0.35">
      <c r="A548" t="s">
        <v>1683</v>
      </c>
      <c r="B548" t="s">
        <v>1684</v>
      </c>
      <c r="C548" t="s">
        <v>1685</v>
      </c>
      <c r="D548" s="1">
        <v>42167</v>
      </c>
      <c r="E548" s="1">
        <v>44114</v>
      </c>
      <c r="F548" s="1">
        <v>44116</v>
      </c>
      <c r="G548">
        <v>2</v>
      </c>
      <c r="H548">
        <v>79.849999999999994</v>
      </c>
      <c r="I548">
        <v>958.2</v>
      </c>
      <c r="J548">
        <v>3000</v>
      </c>
      <c r="K548" t="s">
        <v>27</v>
      </c>
      <c r="L548">
        <v>3000</v>
      </c>
      <c r="M548">
        <v>7.58</v>
      </c>
      <c r="N548" t="s">
        <v>28</v>
      </c>
      <c r="O548">
        <v>91</v>
      </c>
      <c r="P548">
        <v>25</v>
      </c>
      <c r="Q548">
        <v>1</v>
      </c>
      <c r="R548">
        <v>3</v>
      </c>
      <c r="S548" t="s">
        <v>65</v>
      </c>
      <c r="T548" t="s">
        <v>30</v>
      </c>
      <c r="U548" t="s">
        <v>31</v>
      </c>
      <c r="V548" t="s">
        <v>45</v>
      </c>
      <c r="W548">
        <v>1</v>
      </c>
      <c r="X548">
        <v>1</v>
      </c>
      <c r="Y548" s="2">
        <f>Table1[[#This Row],[premium_yearly]]*Table1[[#This Row],[tenure_years]]</f>
        <v>7263.1560000000009</v>
      </c>
      <c r="Z548" s="2">
        <f>Table1[[#This Row],[total_collected_premiums]]*(1-$AD$2)</f>
        <v>5302.1038800000006</v>
      </c>
      <c r="AA548" s="2">
        <f>Table1[[#This Row],[retained_premium]]-Table1[[#This Row],[claim_amount_paid]]</f>
        <v>2302.1038800000006</v>
      </c>
    </row>
    <row r="549" spans="1:27" x14ac:dyDescent="0.35">
      <c r="A549" t="s">
        <v>1686</v>
      </c>
      <c r="B549" t="s">
        <v>1687</v>
      </c>
      <c r="C549" t="s">
        <v>1688</v>
      </c>
      <c r="D549" s="1">
        <v>43115</v>
      </c>
      <c r="E549" s="1">
        <v>44115</v>
      </c>
      <c r="F549" s="1">
        <v>44117</v>
      </c>
      <c r="G549">
        <v>2</v>
      </c>
      <c r="H549">
        <v>116.46</v>
      </c>
      <c r="I549">
        <v>1397.52</v>
      </c>
      <c r="J549">
        <v>6000</v>
      </c>
      <c r="K549" t="s">
        <v>27</v>
      </c>
      <c r="L549">
        <v>6000</v>
      </c>
      <c r="M549">
        <v>2.58</v>
      </c>
      <c r="N549" t="s">
        <v>28</v>
      </c>
      <c r="O549">
        <v>31</v>
      </c>
      <c r="P549">
        <v>61</v>
      </c>
      <c r="Q549">
        <v>1</v>
      </c>
      <c r="R549">
        <v>3</v>
      </c>
      <c r="S549" t="s">
        <v>65</v>
      </c>
      <c r="T549" t="s">
        <v>50</v>
      </c>
      <c r="U549" t="s">
        <v>51</v>
      </c>
      <c r="V549" t="s">
        <v>32</v>
      </c>
      <c r="W549">
        <v>0</v>
      </c>
      <c r="X549">
        <v>0</v>
      </c>
      <c r="Y549" s="2">
        <f>Table1[[#This Row],[premium_yearly]]*Table1[[#This Row],[tenure_years]]</f>
        <v>3605.6016</v>
      </c>
      <c r="Z549" s="2">
        <f>Table1[[#This Row],[total_collected_premiums]]*(1-$AD$2)</f>
        <v>2632.089168</v>
      </c>
      <c r="AA549" s="2">
        <f>Table1[[#This Row],[retained_premium]]-Table1[[#This Row],[claim_amount_paid]]</f>
        <v>-3367.910832</v>
      </c>
    </row>
    <row r="550" spans="1:27" x14ac:dyDescent="0.35">
      <c r="A550" t="s">
        <v>1689</v>
      </c>
      <c r="B550" t="s">
        <v>1690</v>
      </c>
      <c r="C550" t="s">
        <v>1691</v>
      </c>
      <c r="D550" s="1">
        <v>42893</v>
      </c>
      <c r="E550" s="1">
        <v>44113</v>
      </c>
      <c r="F550" s="1">
        <v>44116</v>
      </c>
      <c r="G550">
        <v>3</v>
      </c>
      <c r="H550">
        <v>135.80000000000001</v>
      </c>
      <c r="I550">
        <v>1629.6</v>
      </c>
      <c r="J550">
        <v>7000</v>
      </c>
      <c r="K550" t="s">
        <v>27</v>
      </c>
      <c r="L550">
        <v>7000</v>
      </c>
      <c r="M550">
        <v>3.17</v>
      </c>
      <c r="N550" t="s">
        <v>28</v>
      </c>
      <c r="O550">
        <v>38</v>
      </c>
      <c r="P550">
        <v>41</v>
      </c>
      <c r="Q550">
        <v>1</v>
      </c>
      <c r="R550">
        <v>5</v>
      </c>
      <c r="S550" t="s">
        <v>65</v>
      </c>
      <c r="T550" t="s">
        <v>44</v>
      </c>
      <c r="U550" t="s">
        <v>31</v>
      </c>
      <c r="V550" t="s">
        <v>32</v>
      </c>
      <c r="W550">
        <v>1</v>
      </c>
      <c r="X550">
        <v>1</v>
      </c>
      <c r="Y550" s="2">
        <f>Table1[[#This Row],[premium_yearly]]*Table1[[#This Row],[tenure_years]]</f>
        <v>5165.8319999999994</v>
      </c>
      <c r="Z550" s="2">
        <f>Table1[[#This Row],[total_collected_premiums]]*(1-$AD$2)</f>
        <v>3771.0573599999993</v>
      </c>
      <c r="AA550" s="2">
        <f>Table1[[#This Row],[retained_premium]]-Table1[[#This Row],[claim_amount_paid]]</f>
        <v>-3228.9426400000007</v>
      </c>
    </row>
    <row r="551" spans="1:27" x14ac:dyDescent="0.35">
      <c r="A551" t="s">
        <v>1692</v>
      </c>
      <c r="B551" t="s">
        <v>1693</v>
      </c>
      <c r="C551" t="s">
        <v>1694</v>
      </c>
      <c r="D551" s="1">
        <v>42782</v>
      </c>
      <c r="E551" s="1">
        <v>44106</v>
      </c>
      <c r="F551" s="1">
        <v>44111</v>
      </c>
      <c r="G551">
        <v>5</v>
      </c>
      <c r="H551">
        <v>91.86</v>
      </c>
      <c r="I551">
        <v>1102.32</v>
      </c>
      <c r="J551">
        <v>2000</v>
      </c>
      <c r="K551" t="s">
        <v>27</v>
      </c>
      <c r="L551">
        <v>2000</v>
      </c>
      <c r="M551">
        <v>6.08</v>
      </c>
      <c r="N551" t="s">
        <v>28</v>
      </c>
      <c r="O551">
        <v>73</v>
      </c>
      <c r="P551">
        <v>54</v>
      </c>
      <c r="Q551">
        <v>1</v>
      </c>
      <c r="R551">
        <v>2</v>
      </c>
      <c r="S551" t="s">
        <v>37</v>
      </c>
      <c r="T551" t="s">
        <v>50</v>
      </c>
      <c r="U551" t="s">
        <v>38</v>
      </c>
      <c r="V551" t="s">
        <v>32</v>
      </c>
      <c r="W551">
        <v>0</v>
      </c>
      <c r="X551">
        <v>1</v>
      </c>
      <c r="Y551" s="2">
        <f>Table1[[#This Row],[premium_yearly]]*Table1[[#This Row],[tenure_years]]</f>
        <v>6702.1055999999999</v>
      </c>
      <c r="Z551" s="2">
        <f>Table1[[#This Row],[total_collected_premiums]]*(1-$AD$2)</f>
        <v>4892.537088</v>
      </c>
      <c r="AA551" s="2">
        <f>Table1[[#This Row],[retained_premium]]-Table1[[#This Row],[claim_amount_paid]]</f>
        <v>2892.537088</v>
      </c>
    </row>
    <row r="552" spans="1:27" x14ac:dyDescent="0.35">
      <c r="A552" t="s">
        <v>1695</v>
      </c>
      <c r="B552" t="s">
        <v>1696</v>
      </c>
      <c r="C552" t="s">
        <v>1697</v>
      </c>
      <c r="D552" s="1">
        <v>40984</v>
      </c>
      <c r="E552" s="1">
        <v>44109</v>
      </c>
      <c r="F552" s="1">
        <v>44114</v>
      </c>
      <c r="G552">
        <v>5</v>
      </c>
      <c r="H552">
        <v>112.27</v>
      </c>
      <c r="I552">
        <v>1347.24</v>
      </c>
      <c r="J552">
        <v>10000</v>
      </c>
      <c r="K552" t="s">
        <v>27</v>
      </c>
      <c r="L552">
        <v>10000</v>
      </c>
      <c r="M552">
        <v>5.25</v>
      </c>
      <c r="N552" t="s">
        <v>49</v>
      </c>
      <c r="O552">
        <v>63</v>
      </c>
      <c r="P552">
        <v>47</v>
      </c>
      <c r="Q552">
        <v>0</v>
      </c>
      <c r="R552">
        <v>7</v>
      </c>
      <c r="S552" t="s">
        <v>29</v>
      </c>
      <c r="T552" t="s">
        <v>50</v>
      </c>
      <c r="U552" t="s">
        <v>31</v>
      </c>
      <c r="V552" t="s">
        <v>32</v>
      </c>
      <c r="W552">
        <v>1</v>
      </c>
      <c r="X552">
        <v>1</v>
      </c>
      <c r="Y552" s="2">
        <f>Table1[[#This Row],[premium_yearly]]*Table1[[#This Row],[tenure_years]]</f>
        <v>7073.01</v>
      </c>
      <c r="Z552" s="2">
        <f>Table1[[#This Row],[total_collected_premiums]]*(1-$AD$2)</f>
        <v>5163.2973000000002</v>
      </c>
      <c r="AA552" s="2">
        <f>Table1[[#This Row],[retained_premium]]-Table1[[#This Row],[claim_amount_paid]]</f>
        <v>-4836.7026999999998</v>
      </c>
    </row>
    <row r="553" spans="1:27" x14ac:dyDescent="0.35">
      <c r="A553" t="s">
        <v>1698</v>
      </c>
      <c r="B553" t="s">
        <v>1699</v>
      </c>
      <c r="C553" t="s">
        <v>1700</v>
      </c>
      <c r="D553" s="1">
        <v>43606</v>
      </c>
      <c r="E553" s="1">
        <v>44109</v>
      </c>
      <c r="F553" s="1">
        <v>44114</v>
      </c>
      <c r="G553">
        <v>5</v>
      </c>
      <c r="H553">
        <v>138.61000000000001</v>
      </c>
      <c r="I553">
        <v>1663.32</v>
      </c>
      <c r="J553">
        <v>10000</v>
      </c>
      <c r="K553" t="s">
        <v>27</v>
      </c>
      <c r="L553">
        <v>10000</v>
      </c>
      <c r="M553">
        <v>8.33</v>
      </c>
      <c r="N553" t="s">
        <v>28</v>
      </c>
      <c r="O553">
        <v>100</v>
      </c>
      <c r="P553">
        <v>46</v>
      </c>
      <c r="Q553">
        <v>1</v>
      </c>
      <c r="R553">
        <v>3</v>
      </c>
      <c r="S553" t="s">
        <v>65</v>
      </c>
      <c r="T553" t="s">
        <v>50</v>
      </c>
      <c r="U553" t="s">
        <v>88</v>
      </c>
      <c r="V553" t="s">
        <v>39</v>
      </c>
      <c r="W553">
        <v>1</v>
      </c>
      <c r="X553">
        <v>0</v>
      </c>
      <c r="Y553" s="2">
        <f>Table1[[#This Row],[premium_yearly]]*Table1[[#This Row],[tenure_years]]</f>
        <v>13855.455599999999</v>
      </c>
      <c r="Z553" s="2">
        <f>Table1[[#This Row],[total_collected_premiums]]*(1-$AD$2)</f>
        <v>10114.482587999999</v>
      </c>
      <c r="AA553" s="2">
        <f>Table1[[#This Row],[retained_premium]]-Table1[[#This Row],[claim_amount_paid]]</f>
        <v>114.48258799999894</v>
      </c>
    </row>
    <row r="554" spans="1:27" x14ac:dyDescent="0.35">
      <c r="A554" t="s">
        <v>1701</v>
      </c>
      <c r="B554" t="s">
        <v>1702</v>
      </c>
      <c r="C554" t="s">
        <v>1703</v>
      </c>
      <c r="D554" s="1">
        <v>42371</v>
      </c>
      <c r="E554" s="1">
        <v>44122</v>
      </c>
      <c r="F554" s="1">
        <v>44122</v>
      </c>
      <c r="G554">
        <v>0</v>
      </c>
      <c r="H554">
        <v>94.61</v>
      </c>
      <c r="I554">
        <v>1135.32</v>
      </c>
      <c r="J554">
        <v>3000</v>
      </c>
      <c r="K554" t="s">
        <v>27</v>
      </c>
      <c r="L554">
        <v>3000</v>
      </c>
      <c r="M554">
        <v>4.83</v>
      </c>
      <c r="N554" t="s">
        <v>28</v>
      </c>
      <c r="O554">
        <v>58</v>
      </c>
      <c r="P554">
        <v>27</v>
      </c>
      <c r="Q554">
        <v>1</v>
      </c>
      <c r="R554">
        <v>6</v>
      </c>
      <c r="S554" t="s">
        <v>65</v>
      </c>
      <c r="T554" t="s">
        <v>44</v>
      </c>
      <c r="U554" t="s">
        <v>38</v>
      </c>
      <c r="V554" t="s">
        <v>32</v>
      </c>
      <c r="W554">
        <v>0</v>
      </c>
      <c r="X554">
        <v>1</v>
      </c>
      <c r="Y554" s="2">
        <f>Table1[[#This Row],[premium_yearly]]*Table1[[#This Row],[tenure_years]]</f>
        <v>5483.5955999999996</v>
      </c>
      <c r="Z554" s="2">
        <f>Table1[[#This Row],[total_collected_premiums]]*(1-$AD$2)</f>
        <v>4003.0247879999997</v>
      </c>
      <c r="AA554" s="2">
        <f>Table1[[#This Row],[retained_premium]]-Table1[[#This Row],[claim_amount_paid]]</f>
        <v>1003.0247879999997</v>
      </c>
    </row>
    <row r="555" spans="1:27" x14ac:dyDescent="0.35">
      <c r="A555" t="s">
        <v>1704</v>
      </c>
      <c r="B555" t="s">
        <v>1705</v>
      </c>
      <c r="C555" t="s">
        <v>1706</v>
      </c>
      <c r="D555" s="1">
        <v>42881</v>
      </c>
      <c r="E555" s="1">
        <v>44120</v>
      </c>
      <c r="F555" s="1">
        <v>44120</v>
      </c>
      <c r="G555">
        <v>0</v>
      </c>
      <c r="H555">
        <v>106.07</v>
      </c>
      <c r="I555">
        <v>1272.8399999999999</v>
      </c>
      <c r="J555">
        <v>9000</v>
      </c>
      <c r="K555" t="s">
        <v>27</v>
      </c>
      <c r="L555">
        <v>9000</v>
      </c>
      <c r="M555">
        <v>1.42</v>
      </c>
      <c r="N555" t="s">
        <v>49</v>
      </c>
      <c r="O555">
        <v>17</v>
      </c>
      <c r="P555">
        <v>30</v>
      </c>
      <c r="Q555">
        <v>1</v>
      </c>
      <c r="R555">
        <v>3</v>
      </c>
      <c r="S555" t="s">
        <v>65</v>
      </c>
      <c r="T555" t="s">
        <v>30</v>
      </c>
      <c r="U555" t="s">
        <v>38</v>
      </c>
      <c r="V555" t="s">
        <v>32</v>
      </c>
      <c r="W555">
        <v>0</v>
      </c>
      <c r="X555">
        <v>0</v>
      </c>
      <c r="Y555" s="2">
        <f>Table1[[#This Row],[premium_yearly]]*Table1[[#This Row],[tenure_years]]</f>
        <v>1807.4327999999998</v>
      </c>
      <c r="Z555" s="2">
        <f>Table1[[#This Row],[total_collected_premiums]]*(1-$AD$2)</f>
        <v>1319.4259439999998</v>
      </c>
      <c r="AA555" s="2">
        <f>Table1[[#This Row],[retained_premium]]-Table1[[#This Row],[claim_amount_paid]]</f>
        <v>-7680.5740560000004</v>
      </c>
    </row>
    <row r="556" spans="1:27" x14ac:dyDescent="0.35">
      <c r="A556" t="s">
        <v>1707</v>
      </c>
      <c r="B556" t="s">
        <v>1708</v>
      </c>
      <c r="C556" t="s">
        <v>1709</v>
      </c>
      <c r="D556" s="1">
        <v>42136</v>
      </c>
      <c r="E556" s="1">
        <v>44123</v>
      </c>
      <c r="F556" s="1">
        <v>44123</v>
      </c>
      <c r="G556">
        <v>0</v>
      </c>
      <c r="H556">
        <v>105.4</v>
      </c>
      <c r="I556">
        <v>1264.8</v>
      </c>
      <c r="J556">
        <v>5000</v>
      </c>
      <c r="K556" t="s">
        <v>27</v>
      </c>
      <c r="L556">
        <v>5000</v>
      </c>
      <c r="M556">
        <v>8.08</v>
      </c>
      <c r="N556" t="s">
        <v>36</v>
      </c>
      <c r="O556">
        <v>97</v>
      </c>
      <c r="P556">
        <v>33</v>
      </c>
      <c r="Q556">
        <v>0</v>
      </c>
      <c r="R556">
        <v>4</v>
      </c>
      <c r="S556" t="s">
        <v>29</v>
      </c>
      <c r="T556" t="s">
        <v>30</v>
      </c>
      <c r="U556" t="s">
        <v>31</v>
      </c>
      <c r="V556" t="s">
        <v>32</v>
      </c>
      <c r="W556">
        <v>0</v>
      </c>
      <c r="X556">
        <v>1</v>
      </c>
      <c r="Y556" s="2">
        <f>Table1[[#This Row],[premium_yearly]]*Table1[[#This Row],[tenure_years]]</f>
        <v>10219.583999999999</v>
      </c>
      <c r="Z556" s="2">
        <f>Table1[[#This Row],[total_collected_premiums]]*(1-$AD$2)</f>
        <v>7460.2963199999995</v>
      </c>
      <c r="AA556" s="2">
        <f>Table1[[#This Row],[retained_premium]]-Table1[[#This Row],[claim_amount_paid]]</f>
        <v>2460.2963199999995</v>
      </c>
    </row>
    <row r="557" spans="1:27" x14ac:dyDescent="0.35">
      <c r="A557" t="s">
        <v>1710</v>
      </c>
      <c r="B557" t="s">
        <v>1711</v>
      </c>
      <c r="C557" t="s">
        <v>1712</v>
      </c>
      <c r="D557" s="1">
        <v>41757</v>
      </c>
      <c r="E557" s="1">
        <v>44104</v>
      </c>
      <c r="F557" s="1">
        <v>44109</v>
      </c>
      <c r="G557">
        <v>5</v>
      </c>
      <c r="H557">
        <v>134.88</v>
      </c>
      <c r="I557">
        <v>1618.56</v>
      </c>
      <c r="J557">
        <v>3000</v>
      </c>
      <c r="K557" t="s">
        <v>27</v>
      </c>
      <c r="L557">
        <v>3000</v>
      </c>
      <c r="M557">
        <v>0.5</v>
      </c>
      <c r="N557" t="s">
        <v>49</v>
      </c>
      <c r="O557">
        <v>6</v>
      </c>
      <c r="P557">
        <v>37</v>
      </c>
      <c r="Q557">
        <v>1</v>
      </c>
      <c r="R557">
        <v>2</v>
      </c>
      <c r="S557" t="s">
        <v>29</v>
      </c>
      <c r="T557" t="s">
        <v>44</v>
      </c>
      <c r="U557" t="s">
        <v>31</v>
      </c>
      <c r="V557" t="s">
        <v>45</v>
      </c>
      <c r="W557">
        <v>1</v>
      </c>
      <c r="X557">
        <v>0</v>
      </c>
      <c r="Y557" s="2">
        <f>Table1[[#This Row],[premium_yearly]]*Table1[[#This Row],[tenure_years]]</f>
        <v>809.28</v>
      </c>
      <c r="Z557" s="2">
        <f>Table1[[#This Row],[total_collected_premiums]]*(1-$AD$2)</f>
        <v>590.77440000000001</v>
      </c>
      <c r="AA557" s="2">
        <f>Table1[[#This Row],[retained_premium]]-Table1[[#This Row],[claim_amount_paid]]</f>
        <v>-2409.2255999999998</v>
      </c>
    </row>
    <row r="558" spans="1:27" x14ac:dyDescent="0.35">
      <c r="A558" t="s">
        <v>1713</v>
      </c>
      <c r="B558" t="s">
        <v>1714</v>
      </c>
      <c r="C558" t="s">
        <v>1715</v>
      </c>
      <c r="D558" s="1">
        <v>42843</v>
      </c>
      <c r="E558" s="1">
        <v>44116</v>
      </c>
      <c r="F558" s="1">
        <v>44119</v>
      </c>
      <c r="G558">
        <v>3</v>
      </c>
      <c r="H558">
        <v>137.52000000000001</v>
      </c>
      <c r="I558">
        <v>1650.24</v>
      </c>
      <c r="J558">
        <v>3000</v>
      </c>
      <c r="K558" t="s">
        <v>27</v>
      </c>
      <c r="L558">
        <v>3000</v>
      </c>
      <c r="M558">
        <v>6.33</v>
      </c>
      <c r="N558" t="s">
        <v>28</v>
      </c>
      <c r="O558">
        <v>76</v>
      </c>
      <c r="P558">
        <v>64</v>
      </c>
      <c r="Q558">
        <v>1</v>
      </c>
      <c r="R558">
        <v>5</v>
      </c>
      <c r="S558" t="s">
        <v>29</v>
      </c>
      <c r="T558" t="s">
        <v>30</v>
      </c>
      <c r="U558" t="s">
        <v>107</v>
      </c>
      <c r="V558" t="s">
        <v>45</v>
      </c>
      <c r="W558">
        <v>1</v>
      </c>
      <c r="X558">
        <v>1</v>
      </c>
      <c r="Y558" s="2">
        <f>Table1[[#This Row],[premium_yearly]]*Table1[[#This Row],[tenure_years]]</f>
        <v>10446.019200000001</v>
      </c>
      <c r="Z558" s="2">
        <f>Table1[[#This Row],[total_collected_premiums]]*(1-$AD$2)</f>
        <v>7625.594016</v>
      </c>
      <c r="AA558" s="2">
        <f>Table1[[#This Row],[retained_premium]]-Table1[[#This Row],[claim_amount_paid]]</f>
        <v>4625.594016</v>
      </c>
    </row>
    <row r="559" spans="1:27" x14ac:dyDescent="0.35">
      <c r="A559" t="s">
        <v>1716</v>
      </c>
      <c r="B559" t="s">
        <v>1717</v>
      </c>
      <c r="C559" t="s">
        <v>1718</v>
      </c>
      <c r="D559" s="1">
        <v>41191</v>
      </c>
      <c r="E559" s="1">
        <v>44111</v>
      </c>
      <c r="F559" s="1">
        <v>44116</v>
      </c>
      <c r="G559">
        <v>5</v>
      </c>
      <c r="H559">
        <v>117.15</v>
      </c>
      <c r="I559">
        <v>1405.8</v>
      </c>
      <c r="J559">
        <v>4000</v>
      </c>
      <c r="K559" t="s">
        <v>27</v>
      </c>
      <c r="L559">
        <v>4000</v>
      </c>
      <c r="M559">
        <v>1.5</v>
      </c>
      <c r="N559" t="s">
        <v>36</v>
      </c>
      <c r="O559">
        <v>18</v>
      </c>
      <c r="P559">
        <v>32</v>
      </c>
      <c r="Q559">
        <v>1</v>
      </c>
      <c r="R559">
        <v>6</v>
      </c>
      <c r="S559" t="s">
        <v>29</v>
      </c>
      <c r="T559" t="s">
        <v>30</v>
      </c>
      <c r="U559" t="s">
        <v>38</v>
      </c>
      <c r="V559" t="s">
        <v>32</v>
      </c>
      <c r="W559">
        <v>0</v>
      </c>
      <c r="X559">
        <v>0</v>
      </c>
      <c r="Y559" s="2">
        <f>Table1[[#This Row],[premium_yearly]]*Table1[[#This Row],[tenure_years]]</f>
        <v>2108.6999999999998</v>
      </c>
      <c r="Z559" s="2">
        <f>Table1[[#This Row],[total_collected_premiums]]*(1-$AD$2)</f>
        <v>1539.3509999999999</v>
      </c>
      <c r="AA559" s="2">
        <f>Table1[[#This Row],[retained_premium]]-Table1[[#This Row],[claim_amount_paid]]</f>
        <v>-2460.6490000000003</v>
      </c>
    </row>
    <row r="560" spans="1:27" x14ac:dyDescent="0.35">
      <c r="A560" t="s">
        <v>1719</v>
      </c>
      <c r="B560" t="s">
        <v>1720</v>
      </c>
      <c r="C560" t="s">
        <v>1721</v>
      </c>
      <c r="D560" s="1">
        <v>42181</v>
      </c>
      <c r="E560" s="1">
        <v>44107</v>
      </c>
      <c r="F560" s="1">
        <v>44112</v>
      </c>
      <c r="G560">
        <v>5</v>
      </c>
      <c r="H560">
        <v>101.46</v>
      </c>
      <c r="I560">
        <v>1217.52</v>
      </c>
      <c r="J560">
        <v>6000</v>
      </c>
      <c r="K560" t="s">
        <v>27</v>
      </c>
      <c r="L560">
        <v>6000</v>
      </c>
      <c r="M560">
        <v>5.08</v>
      </c>
      <c r="N560" t="s">
        <v>49</v>
      </c>
      <c r="O560">
        <v>61</v>
      </c>
      <c r="P560">
        <v>48</v>
      </c>
      <c r="Q560">
        <v>1</v>
      </c>
      <c r="R560">
        <v>2</v>
      </c>
      <c r="S560" t="s">
        <v>37</v>
      </c>
      <c r="T560" t="s">
        <v>30</v>
      </c>
      <c r="U560" t="s">
        <v>66</v>
      </c>
      <c r="V560" t="s">
        <v>39</v>
      </c>
      <c r="W560">
        <v>0</v>
      </c>
      <c r="X560">
        <v>0</v>
      </c>
      <c r="Y560" s="2">
        <f>Table1[[#This Row],[premium_yearly]]*Table1[[#This Row],[tenure_years]]</f>
        <v>6185.0015999999996</v>
      </c>
      <c r="Z560" s="2">
        <f>Table1[[#This Row],[total_collected_premiums]]*(1-$AD$2)</f>
        <v>4515.051168</v>
      </c>
      <c r="AA560" s="2">
        <f>Table1[[#This Row],[retained_premium]]-Table1[[#This Row],[claim_amount_paid]]</f>
        <v>-1484.948832</v>
      </c>
    </row>
    <row r="561" spans="1:27" x14ac:dyDescent="0.35">
      <c r="A561" t="s">
        <v>1722</v>
      </c>
      <c r="B561" t="s">
        <v>1723</v>
      </c>
      <c r="C561" t="s">
        <v>1724</v>
      </c>
      <c r="D561" s="1">
        <v>40756</v>
      </c>
      <c r="E561" s="1">
        <v>44124</v>
      </c>
      <c r="F561" s="1">
        <v>44124</v>
      </c>
      <c r="G561">
        <v>0</v>
      </c>
      <c r="H561">
        <v>130.84</v>
      </c>
      <c r="I561">
        <v>1570.08</v>
      </c>
      <c r="J561">
        <v>5000</v>
      </c>
      <c r="K561" t="s">
        <v>27</v>
      </c>
      <c r="L561">
        <v>5000</v>
      </c>
      <c r="M561">
        <v>3.5</v>
      </c>
      <c r="N561" t="s">
        <v>36</v>
      </c>
      <c r="O561">
        <v>42</v>
      </c>
      <c r="P561">
        <v>59</v>
      </c>
      <c r="Q561">
        <v>1</v>
      </c>
      <c r="R561">
        <v>3</v>
      </c>
      <c r="S561" t="s">
        <v>29</v>
      </c>
      <c r="T561" t="s">
        <v>30</v>
      </c>
      <c r="U561" t="s">
        <v>31</v>
      </c>
      <c r="V561" t="s">
        <v>45</v>
      </c>
      <c r="W561">
        <v>0</v>
      </c>
      <c r="X561">
        <v>0</v>
      </c>
      <c r="Y561" s="2">
        <f>Table1[[#This Row],[premium_yearly]]*Table1[[#This Row],[tenure_years]]</f>
        <v>5495.28</v>
      </c>
      <c r="Z561" s="2">
        <f>Table1[[#This Row],[total_collected_premiums]]*(1-$AD$2)</f>
        <v>4011.5543999999995</v>
      </c>
      <c r="AA561" s="2">
        <f>Table1[[#This Row],[retained_premium]]-Table1[[#This Row],[claim_amount_paid]]</f>
        <v>-988.44560000000047</v>
      </c>
    </row>
    <row r="562" spans="1:27" x14ac:dyDescent="0.35">
      <c r="A562" t="s">
        <v>1725</v>
      </c>
      <c r="B562" t="s">
        <v>1726</v>
      </c>
      <c r="C562" t="s">
        <v>1727</v>
      </c>
      <c r="D562" s="1">
        <v>40606</v>
      </c>
      <c r="E562" s="1">
        <v>44120</v>
      </c>
      <c r="F562" s="1">
        <v>44121</v>
      </c>
      <c r="G562">
        <v>1</v>
      </c>
      <c r="H562">
        <v>82.94</v>
      </c>
      <c r="I562">
        <v>995.28</v>
      </c>
      <c r="J562">
        <v>7000</v>
      </c>
      <c r="K562" t="s">
        <v>27</v>
      </c>
      <c r="L562">
        <v>7000</v>
      </c>
      <c r="M562">
        <v>5.75</v>
      </c>
      <c r="N562" t="s">
        <v>49</v>
      </c>
      <c r="O562">
        <v>69</v>
      </c>
      <c r="P562">
        <v>27</v>
      </c>
      <c r="Q562">
        <v>1</v>
      </c>
      <c r="R562">
        <v>4</v>
      </c>
      <c r="S562" t="s">
        <v>29</v>
      </c>
      <c r="T562" t="s">
        <v>50</v>
      </c>
      <c r="U562" t="s">
        <v>88</v>
      </c>
      <c r="V562" t="s">
        <v>39</v>
      </c>
      <c r="W562">
        <v>1</v>
      </c>
      <c r="X562">
        <v>1</v>
      </c>
      <c r="Y562" s="2">
        <f>Table1[[#This Row],[premium_yearly]]*Table1[[#This Row],[tenure_years]]</f>
        <v>5722.86</v>
      </c>
      <c r="Z562" s="2">
        <f>Table1[[#This Row],[total_collected_premiums]]*(1-$AD$2)</f>
        <v>4177.6877999999997</v>
      </c>
      <c r="AA562" s="2">
        <f>Table1[[#This Row],[retained_premium]]-Table1[[#This Row],[claim_amount_paid]]</f>
        <v>-2822.3122000000003</v>
      </c>
    </row>
    <row r="563" spans="1:27" x14ac:dyDescent="0.35">
      <c r="A563" t="s">
        <v>1728</v>
      </c>
      <c r="B563" t="s">
        <v>1729</v>
      </c>
      <c r="C563" t="s">
        <v>1730</v>
      </c>
      <c r="D563" s="1">
        <v>41354</v>
      </c>
      <c r="E563" s="1">
        <v>44122</v>
      </c>
      <c r="F563" s="1">
        <v>44123</v>
      </c>
      <c r="G563">
        <v>1</v>
      </c>
      <c r="H563">
        <v>133.62</v>
      </c>
      <c r="I563">
        <v>1603.44</v>
      </c>
      <c r="J563">
        <v>2000</v>
      </c>
      <c r="K563" t="s">
        <v>43</v>
      </c>
      <c r="L563">
        <v>0</v>
      </c>
      <c r="M563">
        <v>5</v>
      </c>
      <c r="N563" t="s">
        <v>36</v>
      </c>
      <c r="O563">
        <v>60</v>
      </c>
      <c r="P563">
        <v>31</v>
      </c>
      <c r="Q563">
        <v>1</v>
      </c>
      <c r="R563">
        <v>5</v>
      </c>
      <c r="S563" t="s">
        <v>29</v>
      </c>
      <c r="T563" t="s">
        <v>44</v>
      </c>
      <c r="U563" t="s">
        <v>66</v>
      </c>
      <c r="V563" t="s">
        <v>39</v>
      </c>
      <c r="W563">
        <v>1</v>
      </c>
      <c r="X563">
        <v>1</v>
      </c>
      <c r="Y563" s="2">
        <f>Table1[[#This Row],[premium_yearly]]*Table1[[#This Row],[tenure_years]]</f>
        <v>8017.2000000000007</v>
      </c>
      <c r="Z563" s="2">
        <f>Table1[[#This Row],[total_collected_premiums]]*(1-$AD$2)</f>
        <v>5852.5560000000005</v>
      </c>
      <c r="AA563" s="2">
        <f>Table1[[#This Row],[retained_premium]]-Table1[[#This Row],[claim_amount_paid]]</f>
        <v>5852.5560000000005</v>
      </c>
    </row>
    <row r="564" spans="1:27" x14ac:dyDescent="0.35">
      <c r="A564" t="s">
        <v>1731</v>
      </c>
      <c r="B564" t="s">
        <v>1732</v>
      </c>
      <c r="C564" t="s">
        <v>1733</v>
      </c>
      <c r="D564" s="1">
        <v>43073</v>
      </c>
      <c r="E564" s="1">
        <v>44113</v>
      </c>
      <c r="F564" s="1">
        <v>44118</v>
      </c>
      <c r="G564">
        <v>5</v>
      </c>
      <c r="H564">
        <v>87.51</v>
      </c>
      <c r="I564">
        <v>1050.1199999999999</v>
      </c>
      <c r="J564">
        <v>5000</v>
      </c>
      <c r="K564" t="s">
        <v>27</v>
      </c>
      <c r="L564">
        <v>5000</v>
      </c>
      <c r="M564">
        <v>7</v>
      </c>
      <c r="N564" t="s">
        <v>49</v>
      </c>
      <c r="O564">
        <v>84</v>
      </c>
      <c r="P564">
        <v>42</v>
      </c>
      <c r="Q564">
        <v>1</v>
      </c>
      <c r="R564">
        <v>5</v>
      </c>
      <c r="S564" t="s">
        <v>37</v>
      </c>
      <c r="T564" t="s">
        <v>30</v>
      </c>
      <c r="U564" t="s">
        <v>38</v>
      </c>
      <c r="V564" t="s">
        <v>32</v>
      </c>
      <c r="W564">
        <v>0</v>
      </c>
      <c r="X564">
        <v>1</v>
      </c>
      <c r="Y564" s="2">
        <f>Table1[[#This Row],[premium_yearly]]*Table1[[#This Row],[tenure_years]]</f>
        <v>7350.8399999999992</v>
      </c>
      <c r="Z564" s="2">
        <f>Table1[[#This Row],[total_collected_premiums]]*(1-$AD$2)</f>
        <v>5366.1131999999989</v>
      </c>
      <c r="AA564" s="2">
        <f>Table1[[#This Row],[retained_premium]]-Table1[[#This Row],[claim_amount_paid]]</f>
        <v>366.11319999999887</v>
      </c>
    </row>
    <row r="565" spans="1:27" x14ac:dyDescent="0.35">
      <c r="A565" t="s">
        <v>1734</v>
      </c>
      <c r="B565" t="s">
        <v>1735</v>
      </c>
      <c r="C565" t="s">
        <v>1736</v>
      </c>
      <c r="D565" s="1">
        <v>40865</v>
      </c>
      <c r="E565" s="1">
        <v>44120</v>
      </c>
      <c r="F565" s="1">
        <v>44122</v>
      </c>
      <c r="G565">
        <v>2</v>
      </c>
      <c r="H565">
        <v>122.72</v>
      </c>
      <c r="I565">
        <v>1472.64</v>
      </c>
      <c r="J565">
        <v>7000</v>
      </c>
      <c r="K565" t="s">
        <v>27</v>
      </c>
      <c r="L565">
        <v>7000</v>
      </c>
      <c r="M565">
        <v>7.67</v>
      </c>
      <c r="N565" t="s">
        <v>36</v>
      </c>
      <c r="O565">
        <v>92</v>
      </c>
      <c r="P565">
        <v>26</v>
      </c>
      <c r="Q565">
        <v>1</v>
      </c>
      <c r="R565">
        <v>2</v>
      </c>
      <c r="S565" t="s">
        <v>65</v>
      </c>
      <c r="T565" t="s">
        <v>30</v>
      </c>
      <c r="U565" t="s">
        <v>88</v>
      </c>
      <c r="V565" t="s">
        <v>32</v>
      </c>
      <c r="W565">
        <v>1</v>
      </c>
      <c r="X565">
        <v>1</v>
      </c>
      <c r="Y565" s="2">
        <f>Table1[[#This Row],[premium_yearly]]*Table1[[#This Row],[tenure_years]]</f>
        <v>11295.148800000001</v>
      </c>
      <c r="Z565" s="2">
        <f>Table1[[#This Row],[total_collected_premiums]]*(1-$AD$2)</f>
        <v>8245.4586240000008</v>
      </c>
      <c r="AA565" s="2">
        <f>Table1[[#This Row],[retained_premium]]-Table1[[#This Row],[claim_amount_paid]]</f>
        <v>1245.4586240000008</v>
      </c>
    </row>
    <row r="566" spans="1:27" x14ac:dyDescent="0.35">
      <c r="A566" t="s">
        <v>1737</v>
      </c>
      <c r="B566" t="s">
        <v>1738</v>
      </c>
      <c r="C566" t="s">
        <v>1739</v>
      </c>
      <c r="D566" s="1">
        <v>40680</v>
      </c>
      <c r="E566" s="1">
        <v>44109</v>
      </c>
      <c r="F566" s="1">
        <v>44114</v>
      </c>
      <c r="G566">
        <v>5</v>
      </c>
      <c r="H566">
        <v>127.22</v>
      </c>
      <c r="I566">
        <v>1526.64</v>
      </c>
      <c r="J566">
        <v>4000</v>
      </c>
      <c r="K566" t="s">
        <v>27</v>
      </c>
      <c r="L566">
        <v>4000</v>
      </c>
      <c r="M566">
        <v>9</v>
      </c>
      <c r="N566" t="s">
        <v>28</v>
      </c>
      <c r="O566">
        <v>108</v>
      </c>
      <c r="P566">
        <v>63</v>
      </c>
      <c r="Q566">
        <v>1</v>
      </c>
      <c r="R566">
        <v>5</v>
      </c>
      <c r="S566" t="s">
        <v>29</v>
      </c>
      <c r="T566" t="s">
        <v>30</v>
      </c>
      <c r="U566" t="s">
        <v>66</v>
      </c>
      <c r="V566" t="s">
        <v>39</v>
      </c>
      <c r="W566">
        <v>0</v>
      </c>
      <c r="X566">
        <v>1</v>
      </c>
      <c r="Y566" s="2">
        <f>Table1[[#This Row],[premium_yearly]]*Table1[[#This Row],[tenure_years]]</f>
        <v>13739.76</v>
      </c>
      <c r="Z566" s="2">
        <f>Table1[[#This Row],[total_collected_premiums]]*(1-$AD$2)</f>
        <v>10030.024799999999</v>
      </c>
      <c r="AA566" s="2">
        <f>Table1[[#This Row],[retained_premium]]-Table1[[#This Row],[claim_amount_paid]]</f>
        <v>6030.0247999999992</v>
      </c>
    </row>
    <row r="567" spans="1:27" x14ac:dyDescent="0.35">
      <c r="A567" t="s">
        <v>1740</v>
      </c>
      <c r="B567" t="s">
        <v>1741</v>
      </c>
      <c r="C567" t="s">
        <v>1742</v>
      </c>
      <c r="D567" s="1">
        <v>43148</v>
      </c>
      <c r="E567" s="1">
        <v>44120</v>
      </c>
      <c r="F567" s="1">
        <v>44123</v>
      </c>
      <c r="G567">
        <v>3</v>
      </c>
      <c r="H567">
        <v>89.42</v>
      </c>
      <c r="I567">
        <v>1073.04</v>
      </c>
      <c r="J567">
        <v>2000</v>
      </c>
      <c r="K567" t="s">
        <v>27</v>
      </c>
      <c r="L567">
        <v>2000</v>
      </c>
      <c r="M567">
        <v>5.83</v>
      </c>
      <c r="N567" t="s">
        <v>28</v>
      </c>
      <c r="O567">
        <v>70</v>
      </c>
      <c r="P567">
        <v>64</v>
      </c>
      <c r="Q567">
        <v>1</v>
      </c>
      <c r="R567">
        <v>7</v>
      </c>
      <c r="S567" t="s">
        <v>65</v>
      </c>
      <c r="T567" t="s">
        <v>30</v>
      </c>
      <c r="U567" t="s">
        <v>31</v>
      </c>
      <c r="V567" t="s">
        <v>32</v>
      </c>
      <c r="W567">
        <v>1</v>
      </c>
      <c r="X567">
        <v>1</v>
      </c>
      <c r="Y567" s="2">
        <f>Table1[[#This Row],[premium_yearly]]*Table1[[#This Row],[tenure_years]]</f>
        <v>6255.8231999999998</v>
      </c>
      <c r="Z567" s="2">
        <f>Table1[[#This Row],[total_collected_premiums]]*(1-$AD$2)</f>
        <v>4566.7509359999995</v>
      </c>
      <c r="AA567" s="2">
        <f>Table1[[#This Row],[retained_premium]]-Table1[[#This Row],[claim_amount_paid]]</f>
        <v>2566.7509359999995</v>
      </c>
    </row>
    <row r="568" spans="1:27" x14ac:dyDescent="0.35">
      <c r="A568" t="s">
        <v>1743</v>
      </c>
      <c r="B568" t="s">
        <v>1744</v>
      </c>
      <c r="C568" t="s">
        <v>1745</v>
      </c>
      <c r="D568" s="1">
        <v>42978</v>
      </c>
      <c r="E568" s="1">
        <v>44120</v>
      </c>
      <c r="F568" s="1">
        <v>44123</v>
      </c>
      <c r="G568">
        <v>3</v>
      </c>
      <c r="H568">
        <v>79.150000000000006</v>
      </c>
      <c r="I568">
        <v>949.8</v>
      </c>
      <c r="J568">
        <v>7000</v>
      </c>
      <c r="K568" t="s">
        <v>27</v>
      </c>
      <c r="L568">
        <v>7000</v>
      </c>
      <c r="M568">
        <v>9.83</v>
      </c>
      <c r="N568" t="s">
        <v>49</v>
      </c>
      <c r="O568">
        <v>118</v>
      </c>
      <c r="P568">
        <v>53</v>
      </c>
      <c r="Q568">
        <v>1</v>
      </c>
      <c r="R568">
        <v>6</v>
      </c>
      <c r="S568" t="s">
        <v>29</v>
      </c>
      <c r="T568" t="s">
        <v>44</v>
      </c>
      <c r="U568" t="s">
        <v>58</v>
      </c>
      <c r="V568" t="s">
        <v>32</v>
      </c>
      <c r="W568">
        <v>1</v>
      </c>
      <c r="X568">
        <v>1</v>
      </c>
      <c r="Y568" s="2">
        <f>Table1[[#This Row],[premium_yearly]]*Table1[[#This Row],[tenure_years]]</f>
        <v>9336.5339999999997</v>
      </c>
      <c r="Z568" s="2">
        <f>Table1[[#This Row],[total_collected_premiums]]*(1-$AD$2)</f>
        <v>6815.6698199999992</v>
      </c>
      <c r="AA568" s="2">
        <f>Table1[[#This Row],[retained_premium]]-Table1[[#This Row],[claim_amount_paid]]</f>
        <v>-184.33018000000084</v>
      </c>
    </row>
    <row r="569" spans="1:27" x14ac:dyDescent="0.35">
      <c r="A569" t="s">
        <v>1746</v>
      </c>
      <c r="B569" t="s">
        <v>1747</v>
      </c>
      <c r="C569" t="s">
        <v>1748</v>
      </c>
      <c r="D569" s="1">
        <v>41158</v>
      </c>
      <c r="E569" s="1">
        <v>44125</v>
      </c>
      <c r="F569" s="1">
        <v>44126</v>
      </c>
      <c r="G569">
        <v>1</v>
      </c>
      <c r="H569">
        <v>107.02</v>
      </c>
      <c r="I569">
        <v>1284.24</v>
      </c>
      <c r="J569">
        <v>7000</v>
      </c>
      <c r="K569" t="s">
        <v>43</v>
      </c>
      <c r="L569">
        <v>0</v>
      </c>
      <c r="M569">
        <v>2.75</v>
      </c>
      <c r="N569" t="s">
        <v>49</v>
      </c>
      <c r="O569">
        <v>33</v>
      </c>
      <c r="P569">
        <v>47</v>
      </c>
      <c r="Q569">
        <v>1</v>
      </c>
      <c r="R569">
        <v>3</v>
      </c>
      <c r="S569" t="s">
        <v>29</v>
      </c>
      <c r="T569" t="s">
        <v>44</v>
      </c>
      <c r="U569" t="s">
        <v>31</v>
      </c>
      <c r="V569" t="s">
        <v>39</v>
      </c>
      <c r="W569">
        <v>1</v>
      </c>
      <c r="X569">
        <v>0</v>
      </c>
      <c r="Y569" s="2">
        <f>Table1[[#This Row],[premium_yearly]]*Table1[[#This Row],[tenure_years]]</f>
        <v>3531.66</v>
      </c>
      <c r="Z569" s="2">
        <f>Table1[[#This Row],[total_collected_premiums]]*(1-$AD$2)</f>
        <v>2578.1117999999997</v>
      </c>
      <c r="AA569" s="2">
        <f>Table1[[#This Row],[retained_premium]]-Table1[[#This Row],[claim_amount_paid]]</f>
        <v>2578.1117999999997</v>
      </c>
    </row>
    <row r="570" spans="1:27" x14ac:dyDescent="0.35">
      <c r="A570" t="s">
        <v>1749</v>
      </c>
      <c r="B570" t="s">
        <v>1750</v>
      </c>
      <c r="C570" t="s">
        <v>1751</v>
      </c>
      <c r="D570" s="1">
        <v>42499</v>
      </c>
      <c r="E570" s="1">
        <v>44121</v>
      </c>
      <c r="F570" s="1">
        <v>44124</v>
      </c>
      <c r="G570">
        <v>3</v>
      </c>
      <c r="H570">
        <v>128.47</v>
      </c>
      <c r="I570">
        <v>1541.64</v>
      </c>
      <c r="J570">
        <v>8000</v>
      </c>
      <c r="K570" t="s">
        <v>27</v>
      </c>
      <c r="L570">
        <v>8000</v>
      </c>
      <c r="M570">
        <v>4.08</v>
      </c>
      <c r="N570" t="s">
        <v>28</v>
      </c>
      <c r="O570">
        <v>49</v>
      </c>
      <c r="P570">
        <v>39</v>
      </c>
      <c r="Q570">
        <v>1</v>
      </c>
      <c r="R570">
        <v>4</v>
      </c>
      <c r="S570" t="s">
        <v>65</v>
      </c>
      <c r="T570" t="s">
        <v>30</v>
      </c>
      <c r="U570" t="s">
        <v>38</v>
      </c>
      <c r="V570" t="s">
        <v>39</v>
      </c>
      <c r="W570">
        <v>1</v>
      </c>
      <c r="X570">
        <v>0</v>
      </c>
      <c r="Y570" s="2">
        <f>Table1[[#This Row],[premium_yearly]]*Table1[[#This Row],[tenure_years]]</f>
        <v>6289.8912000000009</v>
      </c>
      <c r="Z570" s="2">
        <f>Table1[[#This Row],[total_collected_premiums]]*(1-$AD$2)</f>
        <v>4591.6205760000003</v>
      </c>
      <c r="AA570" s="2">
        <f>Table1[[#This Row],[retained_premium]]-Table1[[#This Row],[claim_amount_paid]]</f>
        <v>-3408.3794239999997</v>
      </c>
    </row>
    <row r="571" spans="1:27" x14ac:dyDescent="0.35">
      <c r="A571" t="s">
        <v>1752</v>
      </c>
      <c r="B571" t="s">
        <v>1753</v>
      </c>
      <c r="C571" t="s">
        <v>1754</v>
      </c>
      <c r="D571" s="1">
        <v>40524</v>
      </c>
      <c r="E571" s="1">
        <v>44121</v>
      </c>
      <c r="F571" s="1">
        <v>44124</v>
      </c>
      <c r="G571">
        <v>3</v>
      </c>
      <c r="H571">
        <v>100.62</v>
      </c>
      <c r="I571">
        <v>1207.44</v>
      </c>
      <c r="J571">
        <v>10000</v>
      </c>
      <c r="K571" t="s">
        <v>43</v>
      </c>
      <c r="L571">
        <v>0</v>
      </c>
      <c r="M571">
        <v>4.25</v>
      </c>
      <c r="N571" t="s">
        <v>36</v>
      </c>
      <c r="O571">
        <v>51</v>
      </c>
      <c r="P571">
        <v>54</v>
      </c>
      <c r="Q571">
        <v>1</v>
      </c>
      <c r="R571">
        <v>7</v>
      </c>
      <c r="S571" t="s">
        <v>37</v>
      </c>
      <c r="T571" t="s">
        <v>44</v>
      </c>
      <c r="U571" t="s">
        <v>66</v>
      </c>
      <c r="V571" t="s">
        <v>32</v>
      </c>
      <c r="W571">
        <v>0</v>
      </c>
      <c r="X571">
        <v>1</v>
      </c>
      <c r="Y571" s="2">
        <f>Table1[[#This Row],[premium_yearly]]*Table1[[#This Row],[tenure_years]]</f>
        <v>5131.62</v>
      </c>
      <c r="Z571" s="2">
        <f>Table1[[#This Row],[total_collected_premiums]]*(1-$AD$2)</f>
        <v>3746.0825999999997</v>
      </c>
      <c r="AA571" s="2">
        <f>Table1[[#This Row],[retained_premium]]-Table1[[#This Row],[claim_amount_paid]]</f>
        <v>3746.0825999999997</v>
      </c>
    </row>
    <row r="572" spans="1:27" x14ac:dyDescent="0.35">
      <c r="A572" t="s">
        <v>1755</v>
      </c>
      <c r="B572" t="s">
        <v>1756</v>
      </c>
      <c r="C572" t="s">
        <v>1757</v>
      </c>
      <c r="D572" s="1">
        <v>40996</v>
      </c>
      <c r="E572" s="1">
        <v>44118</v>
      </c>
      <c r="F572" s="1">
        <v>44123</v>
      </c>
      <c r="G572">
        <v>5</v>
      </c>
      <c r="H572">
        <v>135.16999999999999</v>
      </c>
      <c r="I572">
        <v>1622.04</v>
      </c>
      <c r="J572">
        <v>4000</v>
      </c>
      <c r="K572" t="s">
        <v>27</v>
      </c>
      <c r="L572">
        <v>4000</v>
      </c>
      <c r="M572">
        <v>4.08</v>
      </c>
      <c r="N572" t="s">
        <v>28</v>
      </c>
      <c r="O572">
        <v>49</v>
      </c>
      <c r="P572">
        <v>55</v>
      </c>
      <c r="Q572">
        <v>1</v>
      </c>
      <c r="R572">
        <v>7</v>
      </c>
      <c r="S572" t="s">
        <v>65</v>
      </c>
      <c r="T572" t="s">
        <v>50</v>
      </c>
      <c r="U572" t="s">
        <v>31</v>
      </c>
      <c r="V572" t="s">
        <v>32</v>
      </c>
      <c r="W572">
        <v>1</v>
      </c>
      <c r="X572">
        <v>0</v>
      </c>
      <c r="Y572" s="2">
        <f>Table1[[#This Row],[premium_yearly]]*Table1[[#This Row],[tenure_years]]</f>
        <v>6617.9232000000002</v>
      </c>
      <c r="Z572" s="2">
        <f>Table1[[#This Row],[total_collected_premiums]]*(1-$AD$2)</f>
        <v>4831.083936</v>
      </c>
      <c r="AA572" s="2">
        <f>Table1[[#This Row],[retained_premium]]-Table1[[#This Row],[claim_amount_paid]]</f>
        <v>831.08393599999999</v>
      </c>
    </row>
    <row r="573" spans="1:27" x14ac:dyDescent="0.35">
      <c r="A573" t="s">
        <v>1758</v>
      </c>
      <c r="B573" t="s">
        <v>1759</v>
      </c>
      <c r="C573" t="s">
        <v>1760</v>
      </c>
      <c r="D573" s="1">
        <v>41876</v>
      </c>
      <c r="E573" s="1">
        <v>44110</v>
      </c>
      <c r="F573" s="1">
        <v>44115</v>
      </c>
      <c r="G573">
        <v>5</v>
      </c>
      <c r="H573">
        <v>97.78</v>
      </c>
      <c r="I573">
        <v>1173.3599999999999</v>
      </c>
      <c r="J573">
        <v>1000</v>
      </c>
      <c r="K573" t="s">
        <v>27</v>
      </c>
      <c r="L573">
        <v>1000</v>
      </c>
      <c r="M573">
        <v>0.67</v>
      </c>
      <c r="N573" t="s">
        <v>36</v>
      </c>
      <c r="O573">
        <v>8</v>
      </c>
      <c r="P573">
        <v>30</v>
      </c>
      <c r="Q573">
        <v>1</v>
      </c>
      <c r="R573">
        <v>7</v>
      </c>
      <c r="S573" t="s">
        <v>65</v>
      </c>
      <c r="T573" t="s">
        <v>30</v>
      </c>
      <c r="U573" t="s">
        <v>88</v>
      </c>
      <c r="V573" t="s">
        <v>39</v>
      </c>
      <c r="W573">
        <v>1</v>
      </c>
      <c r="X573">
        <v>1</v>
      </c>
      <c r="Y573" s="2">
        <f>Table1[[#This Row],[premium_yearly]]*Table1[[#This Row],[tenure_years]]</f>
        <v>786.15120000000002</v>
      </c>
      <c r="Z573" s="2">
        <f>Table1[[#This Row],[total_collected_premiums]]*(1-$AD$2)</f>
        <v>573.89037599999995</v>
      </c>
      <c r="AA573" s="2">
        <f>Table1[[#This Row],[retained_premium]]-Table1[[#This Row],[claim_amount_paid]]</f>
        <v>-426.10962400000005</v>
      </c>
    </row>
    <row r="574" spans="1:27" x14ac:dyDescent="0.35">
      <c r="A574" t="s">
        <v>1761</v>
      </c>
      <c r="B574" t="s">
        <v>1762</v>
      </c>
      <c r="C574" t="s">
        <v>1763</v>
      </c>
      <c r="D574" s="1">
        <v>41329</v>
      </c>
      <c r="E574" s="1">
        <v>44122</v>
      </c>
      <c r="F574" s="1">
        <v>44125</v>
      </c>
      <c r="G574">
        <v>3</v>
      </c>
      <c r="H574">
        <v>109.01</v>
      </c>
      <c r="I574">
        <v>1308.1199999999999</v>
      </c>
      <c r="J574">
        <v>4000</v>
      </c>
      <c r="K574" t="s">
        <v>27</v>
      </c>
      <c r="L574">
        <v>4000</v>
      </c>
      <c r="M574">
        <v>6.17</v>
      </c>
      <c r="N574" t="s">
        <v>28</v>
      </c>
      <c r="O574">
        <v>74</v>
      </c>
      <c r="P574">
        <v>50</v>
      </c>
      <c r="Q574">
        <v>1</v>
      </c>
      <c r="R574">
        <v>6</v>
      </c>
      <c r="S574" t="s">
        <v>65</v>
      </c>
      <c r="T574" t="s">
        <v>30</v>
      </c>
      <c r="U574" t="s">
        <v>58</v>
      </c>
      <c r="V574" t="s">
        <v>45</v>
      </c>
      <c r="W574">
        <v>0</v>
      </c>
      <c r="X574">
        <v>0</v>
      </c>
      <c r="Y574" s="2">
        <f>Table1[[#This Row],[premium_yearly]]*Table1[[#This Row],[tenure_years]]</f>
        <v>8071.1003999999994</v>
      </c>
      <c r="Z574" s="2">
        <f>Table1[[#This Row],[total_collected_premiums]]*(1-$AD$2)</f>
        <v>5891.9032919999991</v>
      </c>
      <c r="AA574" s="2">
        <f>Table1[[#This Row],[retained_premium]]-Table1[[#This Row],[claim_amount_paid]]</f>
        <v>1891.9032919999991</v>
      </c>
    </row>
    <row r="575" spans="1:27" x14ac:dyDescent="0.35">
      <c r="A575" t="s">
        <v>1764</v>
      </c>
      <c r="B575" t="s">
        <v>1765</v>
      </c>
      <c r="C575" t="s">
        <v>1766</v>
      </c>
      <c r="D575" s="1">
        <v>43506</v>
      </c>
      <c r="E575" s="1">
        <v>44123</v>
      </c>
      <c r="F575" s="1">
        <v>44125</v>
      </c>
      <c r="G575">
        <v>2</v>
      </c>
      <c r="H575">
        <v>98.11</v>
      </c>
      <c r="I575">
        <v>1177.32</v>
      </c>
      <c r="J575">
        <v>1000</v>
      </c>
      <c r="K575" t="s">
        <v>27</v>
      </c>
      <c r="L575">
        <v>1000</v>
      </c>
      <c r="M575">
        <v>4.17</v>
      </c>
      <c r="N575" t="s">
        <v>49</v>
      </c>
      <c r="O575">
        <v>50</v>
      </c>
      <c r="P575">
        <v>25</v>
      </c>
      <c r="Q575">
        <v>1</v>
      </c>
      <c r="R575">
        <v>5</v>
      </c>
      <c r="S575" t="s">
        <v>29</v>
      </c>
      <c r="T575" t="s">
        <v>30</v>
      </c>
      <c r="U575" t="s">
        <v>38</v>
      </c>
      <c r="V575" t="s">
        <v>32</v>
      </c>
      <c r="W575">
        <v>1</v>
      </c>
      <c r="X575">
        <v>1</v>
      </c>
      <c r="Y575" s="2">
        <f>Table1[[#This Row],[premium_yearly]]*Table1[[#This Row],[tenure_years]]</f>
        <v>4909.4243999999999</v>
      </c>
      <c r="Z575" s="2">
        <f>Table1[[#This Row],[total_collected_premiums]]*(1-$AD$2)</f>
        <v>3583.8798119999997</v>
      </c>
      <c r="AA575" s="2">
        <f>Table1[[#This Row],[retained_premium]]-Table1[[#This Row],[claim_amount_paid]]</f>
        <v>2583.8798119999997</v>
      </c>
    </row>
    <row r="576" spans="1:27" x14ac:dyDescent="0.35">
      <c r="A576" t="s">
        <v>1767</v>
      </c>
      <c r="B576" t="s">
        <v>1768</v>
      </c>
      <c r="C576" t="s">
        <v>1769</v>
      </c>
      <c r="D576" s="1">
        <v>40870</v>
      </c>
      <c r="E576" s="1">
        <v>44111</v>
      </c>
      <c r="F576" s="1">
        <v>44116</v>
      </c>
      <c r="G576">
        <v>5</v>
      </c>
      <c r="H576">
        <v>77.73</v>
      </c>
      <c r="I576">
        <v>932.76</v>
      </c>
      <c r="J576">
        <v>8000</v>
      </c>
      <c r="K576" t="s">
        <v>27</v>
      </c>
      <c r="L576">
        <v>8000</v>
      </c>
      <c r="M576">
        <v>7.83</v>
      </c>
      <c r="N576" t="s">
        <v>36</v>
      </c>
      <c r="O576">
        <v>94</v>
      </c>
      <c r="P576">
        <v>34</v>
      </c>
      <c r="Q576">
        <v>0</v>
      </c>
      <c r="R576">
        <v>6</v>
      </c>
      <c r="S576" t="s">
        <v>29</v>
      </c>
      <c r="T576" t="s">
        <v>30</v>
      </c>
      <c r="U576" t="s">
        <v>66</v>
      </c>
      <c r="V576" t="s">
        <v>32</v>
      </c>
      <c r="W576">
        <v>1</v>
      </c>
      <c r="X576">
        <v>1</v>
      </c>
      <c r="Y576" s="2">
        <f>Table1[[#This Row],[premium_yearly]]*Table1[[#This Row],[tenure_years]]</f>
        <v>7303.5108</v>
      </c>
      <c r="Z576" s="2">
        <f>Table1[[#This Row],[total_collected_premiums]]*(1-$AD$2)</f>
        <v>5331.5628839999999</v>
      </c>
      <c r="AA576" s="2">
        <f>Table1[[#This Row],[retained_premium]]-Table1[[#This Row],[claim_amount_paid]]</f>
        <v>-2668.4371160000001</v>
      </c>
    </row>
    <row r="577" spans="1:27" x14ac:dyDescent="0.35">
      <c r="A577" t="s">
        <v>1770</v>
      </c>
      <c r="B577" t="s">
        <v>1771</v>
      </c>
      <c r="C577" t="s">
        <v>1772</v>
      </c>
      <c r="D577" s="1">
        <v>42452</v>
      </c>
      <c r="E577" s="1">
        <v>44126</v>
      </c>
      <c r="F577" s="1">
        <v>44127</v>
      </c>
      <c r="G577">
        <v>1</v>
      </c>
      <c r="H577">
        <v>120.8</v>
      </c>
      <c r="I577">
        <v>1449.6</v>
      </c>
      <c r="J577">
        <v>5000</v>
      </c>
      <c r="K577" t="s">
        <v>27</v>
      </c>
      <c r="L577">
        <v>5000</v>
      </c>
      <c r="M577">
        <v>6.92</v>
      </c>
      <c r="N577" t="s">
        <v>36</v>
      </c>
      <c r="O577">
        <v>83</v>
      </c>
      <c r="P577">
        <v>49</v>
      </c>
      <c r="Q577">
        <v>1</v>
      </c>
      <c r="R577">
        <v>2</v>
      </c>
      <c r="S577" t="s">
        <v>65</v>
      </c>
      <c r="T577" t="s">
        <v>50</v>
      </c>
      <c r="U577" t="s">
        <v>31</v>
      </c>
      <c r="V577" t="s">
        <v>39</v>
      </c>
      <c r="W577">
        <v>1</v>
      </c>
      <c r="X577">
        <v>1</v>
      </c>
      <c r="Y577" s="2">
        <f>Table1[[#This Row],[premium_yearly]]*Table1[[#This Row],[tenure_years]]</f>
        <v>10031.232</v>
      </c>
      <c r="Z577" s="2">
        <f>Table1[[#This Row],[total_collected_premiums]]*(1-$AD$2)</f>
        <v>7322.79936</v>
      </c>
      <c r="AA577" s="2">
        <f>Table1[[#This Row],[retained_premium]]-Table1[[#This Row],[claim_amount_paid]]</f>
        <v>2322.79936</v>
      </c>
    </row>
    <row r="578" spans="1:27" x14ac:dyDescent="0.35">
      <c r="A578" t="s">
        <v>1773</v>
      </c>
      <c r="B578" t="s">
        <v>1774</v>
      </c>
      <c r="C578" t="s">
        <v>1775</v>
      </c>
      <c r="D578" s="1">
        <v>40463</v>
      </c>
      <c r="E578" s="1">
        <v>44111</v>
      </c>
      <c r="F578" s="1">
        <v>44116</v>
      </c>
      <c r="G578">
        <v>5</v>
      </c>
      <c r="H578">
        <v>136.11000000000001</v>
      </c>
      <c r="I578">
        <v>1633.32</v>
      </c>
      <c r="J578">
        <v>10000</v>
      </c>
      <c r="K578" t="s">
        <v>27</v>
      </c>
      <c r="L578">
        <v>10000</v>
      </c>
      <c r="M578">
        <v>0.57999999999999996</v>
      </c>
      <c r="N578" t="s">
        <v>28</v>
      </c>
      <c r="O578">
        <v>7</v>
      </c>
      <c r="P578">
        <v>61</v>
      </c>
      <c r="Q578">
        <v>0</v>
      </c>
      <c r="R578">
        <v>6</v>
      </c>
      <c r="S578" t="s">
        <v>29</v>
      </c>
      <c r="T578" t="s">
        <v>30</v>
      </c>
      <c r="U578" t="s">
        <v>38</v>
      </c>
      <c r="V578" t="s">
        <v>39</v>
      </c>
      <c r="W578">
        <v>0</v>
      </c>
      <c r="X578">
        <v>1</v>
      </c>
      <c r="Y578" s="2">
        <f>Table1[[#This Row],[premium_yearly]]*Table1[[#This Row],[tenure_years]]</f>
        <v>947.32559999999989</v>
      </c>
      <c r="Z578" s="2">
        <f>Table1[[#This Row],[total_collected_premiums]]*(1-$AD$2)</f>
        <v>691.54768799999988</v>
      </c>
      <c r="AA578" s="2">
        <f>Table1[[#This Row],[retained_premium]]-Table1[[#This Row],[claim_amount_paid]]</f>
        <v>-9308.4523119999994</v>
      </c>
    </row>
    <row r="579" spans="1:27" x14ac:dyDescent="0.35">
      <c r="A579" t="s">
        <v>1776</v>
      </c>
      <c r="B579" t="s">
        <v>1777</v>
      </c>
      <c r="C579" t="s">
        <v>1778</v>
      </c>
      <c r="D579" s="1">
        <v>42747</v>
      </c>
      <c r="E579" s="1">
        <v>44116</v>
      </c>
      <c r="F579" s="1">
        <v>44121</v>
      </c>
      <c r="G579">
        <v>5</v>
      </c>
      <c r="H579">
        <v>113.48</v>
      </c>
      <c r="I579">
        <v>1361.76</v>
      </c>
      <c r="J579">
        <v>10000</v>
      </c>
      <c r="K579" t="s">
        <v>27</v>
      </c>
      <c r="L579">
        <v>10000</v>
      </c>
      <c r="M579">
        <v>3</v>
      </c>
      <c r="N579" t="s">
        <v>36</v>
      </c>
      <c r="O579">
        <v>36</v>
      </c>
      <c r="P579">
        <v>60</v>
      </c>
      <c r="Q579">
        <v>1</v>
      </c>
      <c r="R579">
        <v>7</v>
      </c>
      <c r="S579" t="s">
        <v>29</v>
      </c>
      <c r="T579" t="s">
        <v>50</v>
      </c>
      <c r="U579" t="s">
        <v>38</v>
      </c>
      <c r="V579" t="s">
        <v>39</v>
      </c>
      <c r="W579">
        <v>1</v>
      </c>
      <c r="X579">
        <v>0</v>
      </c>
      <c r="Y579" s="2">
        <f>Table1[[#This Row],[premium_yearly]]*Table1[[#This Row],[tenure_years]]</f>
        <v>4085.2799999999997</v>
      </c>
      <c r="Z579" s="2">
        <f>Table1[[#This Row],[total_collected_premiums]]*(1-$AD$2)</f>
        <v>2982.2543999999998</v>
      </c>
      <c r="AA579" s="2">
        <f>Table1[[#This Row],[retained_premium]]-Table1[[#This Row],[claim_amount_paid]]</f>
        <v>-7017.7456000000002</v>
      </c>
    </row>
    <row r="580" spans="1:27" x14ac:dyDescent="0.35">
      <c r="A580" t="s">
        <v>1779</v>
      </c>
      <c r="B580" t="s">
        <v>1780</v>
      </c>
      <c r="C580" t="s">
        <v>1781</v>
      </c>
      <c r="D580" s="1">
        <v>42072</v>
      </c>
      <c r="E580" s="1">
        <v>44114</v>
      </c>
      <c r="F580" s="1">
        <v>44119</v>
      </c>
      <c r="G580">
        <v>5</v>
      </c>
      <c r="H580">
        <v>102.16</v>
      </c>
      <c r="I580">
        <v>1225.92</v>
      </c>
      <c r="J580">
        <v>2000</v>
      </c>
      <c r="K580" t="s">
        <v>27</v>
      </c>
      <c r="L580">
        <v>2000</v>
      </c>
      <c r="M580">
        <v>8.25</v>
      </c>
      <c r="N580" t="s">
        <v>49</v>
      </c>
      <c r="O580">
        <v>99</v>
      </c>
      <c r="P580">
        <v>58</v>
      </c>
      <c r="Q580">
        <v>0</v>
      </c>
      <c r="R580">
        <v>7</v>
      </c>
      <c r="S580" t="s">
        <v>65</v>
      </c>
      <c r="T580" t="s">
        <v>44</v>
      </c>
      <c r="U580" t="s">
        <v>38</v>
      </c>
      <c r="V580" t="s">
        <v>32</v>
      </c>
      <c r="W580">
        <v>1</v>
      </c>
      <c r="X580">
        <v>1</v>
      </c>
      <c r="Y580" s="2">
        <f>Table1[[#This Row],[premium_yearly]]*Table1[[#This Row],[tenure_years]]</f>
        <v>10113.84</v>
      </c>
      <c r="Z580" s="2">
        <f>Table1[[#This Row],[total_collected_premiums]]*(1-$AD$2)</f>
        <v>7383.1031999999996</v>
      </c>
      <c r="AA580" s="2">
        <f>Table1[[#This Row],[retained_premium]]-Table1[[#This Row],[claim_amount_paid]]</f>
        <v>5383.1031999999996</v>
      </c>
    </row>
    <row r="581" spans="1:27" x14ac:dyDescent="0.35">
      <c r="A581" t="s">
        <v>1782</v>
      </c>
      <c r="B581" t="s">
        <v>1783</v>
      </c>
      <c r="C581" t="s">
        <v>1784</v>
      </c>
      <c r="D581" s="1">
        <v>41519</v>
      </c>
      <c r="E581" s="1">
        <v>44117</v>
      </c>
      <c r="F581" s="1">
        <v>44122</v>
      </c>
      <c r="G581">
        <v>5</v>
      </c>
      <c r="H581">
        <v>90.57</v>
      </c>
      <c r="I581">
        <v>1086.8399999999999</v>
      </c>
      <c r="J581">
        <v>6000</v>
      </c>
      <c r="K581" t="s">
        <v>27</v>
      </c>
      <c r="L581">
        <v>6000</v>
      </c>
      <c r="M581">
        <v>9</v>
      </c>
      <c r="N581" t="s">
        <v>36</v>
      </c>
      <c r="O581">
        <v>108</v>
      </c>
      <c r="P581">
        <v>34</v>
      </c>
      <c r="Q581">
        <v>1</v>
      </c>
      <c r="R581">
        <v>3</v>
      </c>
      <c r="S581" t="s">
        <v>29</v>
      </c>
      <c r="T581" t="s">
        <v>50</v>
      </c>
      <c r="U581" t="s">
        <v>66</v>
      </c>
      <c r="V581" t="s">
        <v>45</v>
      </c>
      <c r="W581">
        <v>1</v>
      </c>
      <c r="X581">
        <v>1</v>
      </c>
      <c r="Y581" s="2">
        <f>Table1[[#This Row],[premium_yearly]]*Table1[[#This Row],[tenure_years]]</f>
        <v>9781.56</v>
      </c>
      <c r="Z581" s="2">
        <f>Table1[[#This Row],[total_collected_premiums]]*(1-$AD$2)</f>
        <v>7140.5387999999994</v>
      </c>
      <c r="AA581" s="2">
        <f>Table1[[#This Row],[retained_premium]]-Table1[[#This Row],[claim_amount_paid]]</f>
        <v>1140.5387999999994</v>
      </c>
    </row>
    <row r="582" spans="1:27" x14ac:dyDescent="0.35">
      <c r="A582" t="s">
        <v>1785</v>
      </c>
      <c r="B582" t="s">
        <v>1786</v>
      </c>
      <c r="C582" t="s">
        <v>1787</v>
      </c>
      <c r="D582" s="1">
        <v>42133</v>
      </c>
      <c r="E582" s="1">
        <v>44115</v>
      </c>
      <c r="F582" s="1">
        <v>44120</v>
      </c>
      <c r="G582">
        <v>5</v>
      </c>
      <c r="H582">
        <v>131.91999999999999</v>
      </c>
      <c r="I582">
        <v>1583.04</v>
      </c>
      <c r="J582">
        <v>8000</v>
      </c>
      <c r="K582" t="s">
        <v>27</v>
      </c>
      <c r="L582">
        <v>8000</v>
      </c>
      <c r="M582">
        <v>8.25</v>
      </c>
      <c r="N582" t="s">
        <v>36</v>
      </c>
      <c r="O582">
        <v>99</v>
      </c>
      <c r="P582">
        <v>26</v>
      </c>
      <c r="Q582">
        <v>0</v>
      </c>
      <c r="R582">
        <v>7</v>
      </c>
      <c r="S582" t="s">
        <v>29</v>
      </c>
      <c r="T582" t="s">
        <v>50</v>
      </c>
      <c r="U582" t="s">
        <v>38</v>
      </c>
      <c r="V582" t="s">
        <v>39</v>
      </c>
      <c r="W582">
        <v>1</v>
      </c>
      <c r="X582">
        <v>1</v>
      </c>
      <c r="Y582" s="2">
        <f>Table1[[#This Row],[premium_yearly]]*Table1[[#This Row],[tenure_years]]</f>
        <v>13060.08</v>
      </c>
      <c r="Z582" s="2">
        <f>Table1[[#This Row],[total_collected_premiums]]*(1-$AD$2)</f>
        <v>9533.8583999999992</v>
      </c>
      <c r="AA582" s="2">
        <f>Table1[[#This Row],[retained_premium]]-Table1[[#This Row],[claim_amount_paid]]</f>
        <v>1533.8583999999992</v>
      </c>
    </row>
    <row r="583" spans="1:27" x14ac:dyDescent="0.35">
      <c r="A583" t="s">
        <v>1788</v>
      </c>
      <c r="B583" t="s">
        <v>1789</v>
      </c>
      <c r="C583" t="s">
        <v>1790</v>
      </c>
      <c r="D583" s="1">
        <v>43292</v>
      </c>
      <c r="E583" s="1">
        <v>44124</v>
      </c>
      <c r="F583" s="1">
        <v>44127</v>
      </c>
      <c r="G583">
        <v>3</v>
      </c>
      <c r="H583">
        <v>137.13</v>
      </c>
      <c r="I583">
        <v>1645.56</v>
      </c>
      <c r="J583">
        <v>5000</v>
      </c>
      <c r="K583" t="s">
        <v>27</v>
      </c>
      <c r="L583">
        <v>5000</v>
      </c>
      <c r="M583">
        <v>4.92</v>
      </c>
      <c r="N583" t="s">
        <v>49</v>
      </c>
      <c r="O583">
        <v>59</v>
      </c>
      <c r="P583">
        <v>64</v>
      </c>
      <c r="Q583">
        <v>1</v>
      </c>
      <c r="R583">
        <v>5</v>
      </c>
      <c r="S583" t="s">
        <v>65</v>
      </c>
      <c r="T583" t="s">
        <v>30</v>
      </c>
      <c r="U583" t="s">
        <v>88</v>
      </c>
      <c r="V583" t="s">
        <v>39</v>
      </c>
      <c r="W583">
        <v>1</v>
      </c>
      <c r="X583">
        <v>0</v>
      </c>
      <c r="Y583" s="2">
        <f>Table1[[#This Row],[premium_yearly]]*Table1[[#This Row],[tenure_years]]</f>
        <v>8096.1551999999992</v>
      </c>
      <c r="Z583" s="2">
        <f>Table1[[#This Row],[total_collected_premiums]]*(1-$AD$2)</f>
        <v>5910.1932959999995</v>
      </c>
      <c r="AA583" s="2">
        <f>Table1[[#This Row],[retained_premium]]-Table1[[#This Row],[claim_amount_paid]]</f>
        <v>910.19329599999946</v>
      </c>
    </row>
    <row r="584" spans="1:27" x14ac:dyDescent="0.35">
      <c r="A584" t="s">
        <v>1791</v>
      </c>
      <c r="B584" t="s">
        <v>1792</v>
      </c>
      <c r="C584" t="s">
        <v>1793</v>
      </c>
      <c r="D584" s="1">
        <v>41137</v>
      </c>
      <c r="E584" s="1">
        <v>44112</v>
      </c>
      <c r="F584" s="1">
        <v>44117</v>
      </c>
      <c r="G584">
        <v>5</v>
      </c>
      <c r="H584">
        <v>102.46</v>
      </c>
      <c r="I584">
        <v>1229.52</v>
      </c>
      <c r="J584">
        <v>2000</v>
      </c>
      <c r="K584" t="s">
        <v>27</v>
      </c>
      <c r="L584">
        <v>2000</v>
      </c>
      <c r="M584">
        <v>0.67</v>
      </c>
      <c r="N584" t="s">
        <v>36</v>
      </c>
      <c r="O584">
        <v>8</v>
      </c>
      <c r="P584">
        <v>52</v>
      </c>
      <c r="Q584">
        <v>1</v>
      </c>
      <c r="R584">
        <v>2</v>
      </c>
      <c r="S584" t="s">
        <v>29</v>
      </c>
      <c r="T584" t="s">
        <v>30</v>
      </c>
      <c r="U584" t="s">
        <v>38</v>
      </c>
      <c r="V584" t="s">
        <v>45</v>
      </c>
      <c r="W584">
        <v>1</v>
      </c>
      <c r="X584">
        <v>0</v>
      </c>
      <c r="Y584" s="2">
        <f>Table1[[#This Row],[premium_yearly]]*Table1[[#This Row],[tenure_years]]</f>
        <v>823.77840000000003</v>
      </c>
      <c r="Z584" s="2">
        <f>Table1[[#This Row],[total_collected_premiums]]*(1-$AD$2)</f>
        <v>601.35823200000004</v>
      </c>
      <c r="AA584" s="2">
        <f>Table1[[#This Row],[retained_premium]]-Table1[[#This Row],[claim_amount_paid]]</f>
        <v>-1398.641768</v>
      </c>
    </row>
    <row r="585" spans="1:27" x14ac:dyDescent="0.35">
      <c r="A585" t="s">
        <v>1794</v>
      </c>
      <c r="B585" t="s">
        <v>1795</v>
      </c>
      <c r="C585" t="s">
        <v>1796</v>
      </c>
      <c r="D585" s="1">
        <v>42640</v>
      </c>
      <c r="E585" s="1">
        <v>44118</v>
      </c>
      <c r="F585" s="1">
        <v>44123</v>
      </c>
      <c r="G585">
        <v>5</v>
      </c>
      <c r="H585">
        <v>130.36000000000001</v>
      </c>
      <c r="I585">
        <v>1564.32</v>
      </c>
      <c r="J585">
        <v>3000</v>
      </c>
      <c r="K585" t="s">
        <v>27</v>
      </c>
      <c r="L585">
        <v>3000</v>
      </c>
      <c r="M585">
        <v>6.08</v>
      </c>
      <c r="N585" t="s">
        <v>28</v>
      </c>
      <c r="O585">
        <v>73</v>
      </c>
      <c r="P585">
        <v>44</v>
      </c>
      <c r="Q585">
        <v>1</v>
      </c>
      <c r="R585">
        <v>4</v>
      </c>
      <c r="S585" t="s">
        <v>65</v>
      </c>
      <c r="T585" t="s">
        <v>50</v>
      </c>
      <c r="U585" t="s">
        <v>31</v>
      </c>
      <c r="V585" t="s">
        <v>45</v>
      </c>
      <c r="W585">
        <v>1</v>
      </c>
      <c r="X585">
        <v>1</v>
      </c>
      <c r="Y585" s="2">
        <f>Table1[[#This Row],[premium_yearly]]*Table1[[#This Row],[tenure_years]]</f>
        <v>9511.0655999999999</v>
      </c>
      <c r="Z585" s="2">
        <f>Table1[[#This Row],[total_collected_premiums]]*(1-$AD$2)</f>
        <v>6943.0778879999998</v>
      </c>
      <c r="AA585" s="2">
        <f>Table1[[#This Row],[retained_premium]]-Table1[[#This Row],[claim_amount_paid]]</f>
        <v>3943.0778879999998</v>
      </c>
    </row>
    <row r="586" spans="1:27" x14ac:dyDescent="0.35">
      <c r="A586" t="s">
        <v>1797</v>
      </c>
      <c r="B586" t="s">
        <v>1798</v>
      </c>
      <c r="C586" t="s">
        <v>1799</v>
      </c>
      <c r="D586" s="1">
        <v>42987</v>
      </c>
      <c r="E586" s="1">
        <v>44128</v>
      </c>
      <c r="F586" s="1">
        <v>44129</v>
      </c>
      <c r="G586">
        <v>1</v>
      </c>
      <c r="H586">
        <v>81.58</v>
      </c>
      <c r="I586">
        <v>978.96</v>
      </c>
      <c r="J586">
        <v>4000</v>
      </c>
      <c r="K586" t="s">
        <v>27</v>
      </c>
      <c r="L586">
        <v>4000</v>
      </c>
      <c r="M586">
        <v>6.25</v>
      </c>
      <c r="N586" t="s">
        <v>49</v>
      </c>
      <c r="O586">
        <v>75</v>
      </c>
      <c r="P586">
        <v>37</v>
      </c>
      <c r="Q586">
        <v>1</v>
      </c>
      <c r="R586">
        <v>7</v>
      </c>
      <c r="S586" t="s">
        <v>29</v>
      </c>
      <c r="T586" t="s">
        <v>30</v>
      </c>
      <c r="U586" t="s">
        <v>31</v>
      </c>
      <c r="V586" t="s">
        <v>39</v>
      </c>
      <c r="W586">
        <v>0</v>
      </c>
      <c r="X586">
        <v>0</v>
      </c>
      <c r="Y586" s="2">
        <f>Table1[[#This Row],[premium_yearly]]*Table1[[#This Row],[tenure_years]]</f>
        <v>6118.5</v>
      </c>
      <c r="Z586" s="2">
        <f>Table1[[#This Row],[total_collected_premiums]]*(1-$AD$2)</f>
        <v>4466.5050000000001</v>
      </c>
      <c r="AA586" s="2">
        <f>Table1[[#This Row],[retained_premium]]-Table1[[#This Row],[claim_amount_paid]]</f>
        <v>466.50500000000011</v>
      </c>
    </row>
    <row r="587" spans="1:27" x14ac:dyDescent="0.35">
      <c r="A587" t="s">
        <v>1800</v>
      </c>
      <c r="B587" t="s">
        <v>1801</v>
      </c>
      <c r="C587" t="s">
        <v>1802</v>
      </c>
      <c r="D587" s="1">
        <v>43657</v>
      </c>
      <c r="E587" s="1">
        <v>44117</v>
      </c>
      <c r="F587" s="1">
        <v>44122</v>
      </c>
      <c r="G587">
        <v>5</v>
      </c>
      <c r="H587">
        <v>129.18</v>
      </c>
      <c r="I587">
        <v>1550.16</v>
      </c>
      <c r="J587">
        <v>2000</v>
      </c>
      <c r="K587" t="s">
        <v>27</v>
      </c>
      <c r="L587">
        <v>2000</v>
      </c>
      <c r="M587">
        <v>3.08</v>
      </c>
      <c r="N587" t="s">
        <v>49</v>
      </c>
      <c r="O587">
        <v>37</v>
      </c>
      <c r="P587">
        <v>33</v>
      </c>
      <c r="Q587">
        <v>1</v>
      </c>
      <c r="R587">
        <v>7</v>
      </c>
      <c r="S587" t="s">
        <v>65</v>
      </c>
      <c r="T587" t="s">
        <v>30</v>
      </c>
      <c r="U587" t="s">
        <v>38</v>
      </c>
      <c r="V587" t="s">
        <v>39</v>
      </c>
      <c r="W587">
        <v>1</v>
      </c>
      <c r="X587">
        <v>1</v>
      </c>
      <c r="Y587" s="2">
        <f>Table1[[#This Row],[premium_yearly]]*Table1[[#This Row],[tenure_years]]</f>
        <v>4774.4928</v>
      </c>
      <c r="Z587" s="2">
        <f>Table1[[#This Row],[total_collected_premiums]]*(1-$AD$2)</f>
        <v>3485.3797439999998</v>
      </c>
      <c r="AA587" s="2">
        <f>Table1[[#This Row],[retained_premium]]-Table1[[#This Row],[claim_amount_paid]]</f>
        <v>1485.3797439999998</v>
      </c>
    </row>
    <row r="588" spans="1:27" x14ac:dyDescent="0.35">
      <c r="A588" t="s">
        <v>1803</v>
      </c>
      <c r="B588" t="s">
        <v>1804</v>
      </c>
      <c r="C588" t="s">
        <v>1805</v>
      </c>
      <c r="D588" s="1">
        <v>43666</v>
      </c>
      <c r="E588" s="1">
        <v>44128</v>
      </c>
      <c r="F588" s="1">
        <v>44129</v>
      </c>
      <c r="G588">
        <v>1</v>
      </c>
      <c r="H588">
        <v>116.14</v>
      </c>
      <c r="I588">
        <v>1393.68</v>
      </c>
      <c r="J588">
        <v>2000</v>
      </c>
      <c r="K588" t="s">
        <v>27</v>
      </c>
      <c r="L588">
        <v>2000</v>
      </c>
      <c r="M588">
        <v>8.33</v>
      </c>
      <c r="N588" t="s">
        <v>36</v>
      </c>
      <c r="O588">
        <v>100</v>
      </c>
      <c r="P588">
        <v>35</v>
      </c>
      <c r="Q588">
        <v>0</v>
      </c>
      <c r="R588">
        <v>7</v>
      </c>
      <c r="S588" t="s">
        <v>29</v>
      </c>
      <c r="T588" t="s">
        <v>50</v>
      </c>
      <c r="U588" t="s">
        <v>58</v>
      </c>
      <c r="V588" t="s">
        <v>32</v>
      </c>
      <c r="W588">
        <v>1</v>
      </c>
      <c r="X588">
        <v>1</v>
      </c>
      <c r="Y588" s="2">
        <f>Table1[[#This Row],[premium_yearly]]*Table1[[#This Row],[tenure_years]]</f>
        <v>11609.3544</v>
      </c>
      <c r="Z588" s="2">
        <f>Table1[[#This Row],[total_collected_premiums]]*(1-$AD$2)</f>
        <v>8474.8287120000005</v>
      </c>
      <c r="AA588" s="2">
        <f>Table1[[#This Row],[retained_premium]]-Table1[[#This Row],[claim_amount_paid]]</f>
        <v>6474.8287120000005</v>
      </c>
    </row>
    <row r="589" spans="1:27" x14ac:dyDescent="0.35">
      <c r="A589" t="s">
        <v>1806</v>
      </c>
      <c r="B589" t="s">
        <v>1807</v>
      </c>
      <c r="C589" t="s">
        <v>1808</v>
      </c>
      <c r="D589" s="1">
        <v>41797</v>
      </c>
      <c r="E589" s="1">
        <v>44130</v>
      </c>
      <c r="F589" s="1">
        <v>44130</v>
      </c>
      <c r="G589">
        <v>0</v>
      </c>
      <c r="H589">
        <v>113.73</v>
      </c>
      <c r="I589">
        <v>1364.76</v>
      </c>
      <c r="J589">
        <v>7000</v>
      </c>
      <c r="K589" t="s">
        <v>27</v>
      </c>
      <c r="L589">
        <v>7000</v>
      </c>
      <c r="M589">
        <v>4.67</v>
      </c>
      <c r="N589" t="s">
        <v>28</v>
      </c>
      <c r="O589">
        <v>56</v>
      </c>
      <c r="P589">
        <v>49</v>
      </c>
      <c r="Q589">
        <v>1</v>
      </c>
      <c r="R589">
        <v>5</v>
      </c>
      <c r="S589" t="s">
        <v>65</v>
      </c>
      <c r="T589" t="s">
        <v>30</v>
      </c>
      <c r="U589" t="s">
        <v>107</v>
      </c>
      <c r="V589" t="s">
        <v>39</v>
      </c>
      <c r="W589">
        <v>1</v>
      </c>
      <c r="X589">
        <v>1</v>
      </c>
      <c r="Y589" s="2">
        <f>Table1[[#This Row],[premium_yearly]]*Table1[[#This Row],[tenure_years]]</f>
        <v>6373.4291999999996</v>
      </c>
      <c r="Z589" s="2">
        <f>Table1[[#This Row],[total_collected_premiums]]*(1-$AD$2)</f>
        <v>4652.6033159999997</v>
      </c>
      <c r="AA589" s="2">
        <f>Table1[[#This Row],[retained_premium]]-Table1[[#This Row],[claim_amount_paid]]</f>
        <v>-2347.3966840000003</v>
      </c>
    </row>
    <row r="590" spans="1:27" x14ac:dyDescent="0.35">
      <c r="A590" t="s">
        <v>1809</v>
      </c>
      <c r="B590" t="s">
        <v>1810</v>
      </c>
      <c r="C590" t="s">
        <v>1811</v>
      </c>
      <c r="D590" s="1">
        <v>40749</v>
      </c>
      <c r="E590" s="1">
        <v>44121</v>
      </c>
      <c r="F590" s="1">
        <v>44126</v>
      </c>
      <c r="G590">
        <v>5</v>
      </c>
      <c r="H590">
        <v>119.95</v>
      </c>
      <c r="I590">
        <v>1439.4</v>
      </c>
      <c r="J590">
        <v>8000</v>
      </c>
      <c r="K590" t="s">
        <v>27</v>
      </c>
      <c r="L590">
        <v>8000</v>
      </c>
      <c r="M590">
        <v>7.08</v>
      </c>
      <c r="N590" t="s">
        <v>28</v>
      </c>
      <c r="O590">
        <v>85</v>
      </c>
      <c r="P590">
        <v>55</v>
      </c>
      <c r="Q590">
        <v>1</v>
      </c>
      <c r="R590">
        <v>4</v>
      </c>
      <c r="S590" t="s">
        <v>65</v>
      </c>
      <c r="T590" t="s">
        <v>44</v>
      </c>
      <c r="U590" t="s">
        <v>38</v>
      </c>
      <c r="V590" t="s">
        <v>45</v>
      </c>
      <c r="W590">
        <v>1</v>
      </c>
      <c r="X590">
        <v>0</v>
      </c>
      <c r="Y590" s="2">
        <f>Table1[[#This Row],[premium_yearly]]*Table1[[#This Row],[tenure_years]]</f>
        <v>10190.952000000001</v>
      </c>
      <c r="Z590" s="2">
        <f>Table1[[#This Row],[total_collected_premiums]]*(1-$AD$2)</f>
        <v>7439.3949600000005</v>
      </c>
      <c r="AA590" s="2">
        <f>Table1[[#This Row],[retained_premium]]-Table1[[#This Row],[claim_amount_paid]]</f>
        <v>-560.60503999999946</v>
      </c>
    </row>
    <row r="591" spans="1:27" x14ac:dyDescent="0.35">
      <c r="A591" t="s">
        <v>1812</v>
      </c>
      <c r="B591" t="s">
        <v>1813</v>
      </c>
      <c r="C591" t="s">
        <v>1814</v>
      </c>
      <c r="D591" s="1">
        <v>43343</v>
      </c>
      <c r="E591" s="1">
        <v>44131</v>
      </c>
      <c r="F591" s="1">
        <v>44131</v>
      </c>
      <c r="G591">
        <v>0</v>
      </c>
      <c r="H591">
        <v>109.19</v>
      </c>
      <c r="I591">
        <v>1310.28</v>
      </c>
      <c r="J591">
        <v>10000</v>
      </c>
      <c r="K591" t="s">
        <v>27</v>
      </c>
      <c r="L591">
        <v>10000</v>
      </c>
      <c r="M591">
        <v>2.75</v>
      </c>
      <c r="N591" t="s">
        <v>49</v>
      </c>
      <c r="O591">
        <v>33</v>
      </c>
      <c r="P591">
        <v>52</v>
      </c>
      <c r="Q591">
        <v>1</v>
      </c>
      <c r="R591">
        <v>4</v>
      </c>
      <c r="S591" t="s">
        <v>29</v>
      </c>
      <c r="T591" t="s">
        <v>50</v>
      </c>
      <c r="U591" t="s">
        <v>38</v>
      </c>
      <c r="V591" t="s">
        <v>39</v>
      </c>
      <c r="W591">
        <v>1</v>
      </c>
      <c r="X591">
        <v>1</v>
      </c>
      <c r="Y591" s="2">
        <f>Table1[[#This Row],[premium_yearly]]*Table1[[#This Row],[tenure_years]]</f>
        <v>3603.27</v>
      </c>
      <c r="Z591" s="2">
        <f>Table1[[#This Row],[total_collected_premiums]]*(1-$AD$2)</f>
        <v>2630.3870999999999</v>
      </c>
      <c r="AA591" s="2">
        <f>Table1[[#This Row],[retained_premium]]-Table1[[#This Row],[claim_amount_paid]]</f>
        <v>-7369.6129000000001</v>
      </c>
    </row>
    <row r="592" spans="1:27" x14ac:dyDescent="0.35">
      <c r="A592" t="s">
        <v>1815</v>
      </c>
      <c r="B592" t="s">
        <v>1816</v>
      </c>
      <c r="C592" t="s">
        <v>1817</v>
      </c>
      <c r="D592" s="1">
        <v>40370</v>
      </c>
      <c r="E592" s="1">
        <v>44122</v>
      </c>
      <c r="F592" s="1">
        <v>44127</v>
      </c>
      <c r="G592">
        <v>5</v>
      </c>
      <c r="H592">
        <v>120.12</v>
      </c>
      <c r="I592">
        <v>1441.44</v>
      </c>
      <c r="J592">
        <v>10000</v>
      </c>
      <c r="K592" t="s">
        <v>27</v>
      </c>
      <c r="L592">
        <v>10000</v>
      </c>
      <c r="M592">
        <v>7.42</v>
      </c>
      <c r="N592" t="s">
        <v>28</v>
      </c>
      <c r="O592">
        <v>89</v>
      </c>
      <c r="P592">
        <v>53</v>
      </c>
      <c r="Q592">
        <v>0</v>
      </c>
      <c r="R592">
        <v>6</v>
      </c>
      <c r="S592" t="s">
        <v>65</v>
      </c>
      <c r="T592" t="s">
        <v>30</v>
      </c>
      <c r="U592" t="s">
        <v>31</v>
      </c>
      <c r="V592" t="s">
        <v>32</v>
      </c>
      <c r="W592">
        <v>1</v>
      </c>
      <c r="X592">
        <v>0</v>
      </c>
      <c r="Y592" s="2">
        <f>Table1[[#This Row],[premium_yearly]]*Table1[[#This Row],[tenure_years]]</f>
        <v>10695.4848</v>
      </c>
      <c r="Z592" s="2">
        <f>Table1[[#This Row],[total_collected_premiums]]*(1-$AD$2)</f>
        <v>7807.703904</v>
      </c>
      <c r="AA592" s="2">
        <f>Table1[[#This Row],[retained_premium]]-Table1[[#This Row],[claim_amount_paid]]</f>
        <v>-2192.296096</v>
      </c>
    </row>
    <row r="593" spans="1:27" x14ac:dyDescent="0.35">
      <c r="A593" t="s">
        <v>1818</v>
      </c>
      <c r="B593" t="s">
        <v>1819</v>
      </c>
      <c r="C593" t="s">
        <v>1820</v>
      </c>
      <c r="D593" s="1">
        <v>41021</v>
      </c>
      <c r="E593" s="1">
        <v>44129</v>
      </c>
      <c r="F593" s="1">
        <v>44130</v>
      </c>
      <c r="G593">
        <v>1</v>
      </c>
      <c r="H593">
        <v>84.92</v>
      </c>
      <c r="I593">
        <v>1019.04</v>
      </c>
      <c r="J593">
        <v>10000</v>
      </c>
      <c r="K593" t="s">
        <v>27</v>
      </c>
      <c r="L593">
        <v>10000</v>
      </c>
      <c r="M593">
        <v>5.42</v>
      </c>
      <c r="N593" t="s">
        <v>36</v>
      </c>
      <c r="O593">
        <v>65</v>
      </c>
      <c r="P593">
        <v>41</v>
      </c>
      <c r="Q593">
        <v>1</v>
      </c>
      <c r="R593">
        <v>6</v>
      </c>
      <c r="S593" t="s">
        <v>29</v>
      </c>
      <c r="T593" t="s">
        <v>50</v>
      </c>
      <c r="U593" t="s">
        <v>58</v>
      </c>
      <c r="V593" t="s">
        <v>32</v>
      </c>
      <c r="W593">
        <v>1</v>
      </c>
      <c r="X593">
        <v>1</v>
      </c>
      <c r="Y593" s="2">
        <f>Table1[[#This Row],[premium_yearly]]*Table1[[#This Row],[tenure_years]]</f>
        <v>5523.1967999999997</v>
      </c>
      <c r="Z593" s="2">
        <f>Table1[[#This Row],[total_collected_premiums]]*(1-$AD$2)</f>
        <v>4031.9336639999997</v>
      </c>
      <c r="AA593" s="2">
        <f>Table1[[#This Row],[retained_premium]]-Table1[[#This Row],[claim_amount_paid]]</f>
        <v>-5968.0663359999999</v>
      </c>
    </row>
    <row r="594" spans="1:27" x14ac:dyDescent="0.35">
      <c r="A594" t="s">
        <v>1821</v>
      </c>
      <c r="B594" t="s">
        <v>1822</v>
      </c>
      <c r="C594" t="s">
        <v>1823</v>
      </c>
      <c r="D594" s="1">
        <v>40751</v>
      </c>
      <c r="E594" s="1">
        <v>44128</v>
      </c>
      <c r="F594" s="1">
        <v>44130</v>
      </c>
      <c r="G594">
        <v>2</v>
      </c>
      <c r="H594">
        <v>107.01</v>
      </c>
      <c r="I594">
        <v>1284.1199999999999</v>
      </c>
      <c r="J594">
        <v>6000</v>
      </c>
      <c r="K594" t="s">
        <v>27</v>
      </c>
      <c r="L594">
        <v>6000</v>
      </c>
      <c r="M594">
        <v>6</v>
      </c>
      <c r="N594" t="s">
        <v>49</v>
      </c>
      <c r="O594">
        <v>72</v>
      </c>
      <c r="P594">
        <v>61</v>
      </c>
      <c r="Q594">
        <v>0</v>
      </c>
      <c r="R594">
        <v>4</v>
      </c>
      <c r="S594" t="s">
        <v>37</v>
      </c>
      <c r="T594" t="s">
        <v>44</v>
      </c>
      <c r="U594" t="s">
        <v>66</v>
      </c>
      <c r="V594" t="s">
        <v>32</v>
      </c>
      <c r="W594">
        <v>1</v>
      </c>
      <c r="X594">
        <v>1</v>
      </c>
      <c r="Y594" s="2">
        <f>Table1[[#This Row],[premium_yearly]]*Table1[[#This Row],[tenure_years]]</f>
        <v>7704.7199999999993</v>
      </c>
      <c r="Z594" s="2">
        <f>Table1[[#This Row],[total_collected_premiums]]*(1-$AD$2)</f>
        <v>5624.4455999999991</v>
      </c>
      <c r="AA594" s="2">
        <f>Table1[[#This Row],[retained_premium]]-Table1[[#This Row],[claim_amount_paid]]</f>
        <v>-375.5544000000009</v>
      </c>
    </row>
    <row r="595" spans="1:27" x14ac:dyDescent="0.35">
      <c r="A595" t="s">
        <v>1824</v>
      </c>
      <c r="B595" t="s">
        <v>1825</v>
      </c>
      <c r="C595" t="s">
        <v>1826</v>
      </c>
      <c r="D595" s="1">
        <v>40713</v>
      </c>
      <c r="E595" s="1">
        <v>44134</v>
      </c>
      <c r="F595" s="1">
        <v>44134</v>
      </c>
      <c r="G595">
        <v>0</v>
      </c>
      <c r="H595">
        <v>78.739999999999995</v>
      </c>
      <c r="I595">
        <v>944.88</v>
      </c>
      <c r="J595">
        <v>3000</v>
      </c>
      <c r="K595" t="s">
        <v>27</v>
      </c>
      <c r="L595">
        <v>3000</v>
      </c>
      <c r="M595">
        <v>7.42</v>
      </c>
      <c r="N595" t="s">
        <v>36</v>
      </c>
      <c r="O595">
        <v>89</v>
      </c>
      <c r="P595">
        <v>35</v>
      </c>
      <c r="Q595">
        <v>0</v>
      </c>
      <c r="R595">
        <v>6</v>
      </c>
      <c r="S595" t="s">
        <v>65</v>
      </c>
      <c r="T595" t="s">
        <v>30</v>
      </c>
      <c r="U595" t="s">
        <v>31</v>
      </c>
      <c r="V595" t="s">
        <v>39</v>
      </c>
      <c r="W595">
        <v>0</v>
      </c>
      <c r="X595">
        <v>0</v>
      </c>
      <c r="Y595" s="2">
        <f>Table1[[#This Row],[premium_yearly]]*Table1[[#This Row],[tenure_years]]</f>
        <v>7011.0096000000003</v>
      </c>
      <c r="Z595" s="2">
        <f>Table1[[#This Row],[total_collected_premiums]]*(1-$AD$2)</f>
        <v>5118.0370080000002</v>
      </c>
      <c r="AA595" s="2">
        <f>Table1[[#This Row],[retained_premium]]-Table1[[#This Row],[claim_amount_paid]]</f>
        <v>2118.0370080000002</v>
      </c>
    </row>
    <row r="596" spans="1:27" x14ac:dyDescent="0.35">
      <c r="A596" t="s">
        <v>1827</v>
      </c>
      <c r="B596" t="s">
        <v>1828</v>
      </c>
      <c r="C596" t="s">
        <v>1829</v>
      </c>
      <c r="D596" s="1">
        <v>41047</v>
      </c>
      <c r="E596" s="1">
        <v>44115</v>
      </c>
      <c r="F596" s="1">
        <v>44120</v>
      </c>
      <c r="G596">
        <v>5</v>
      </c>
      <c r="H596">
        <v>96.03</v>
      </c>
      <c r="I596">
        <v>1152.3599999999999</v>
      </c>
      <c r="J596">
        <v>1000</v>
      </c>
      <c r="K596" t="s">
        <v>27</v>
      </c>
      <c r="L596">
        <v>1000</v>
      </c>
      <c r="M596">
        <v>8.42</v>
      </c>
      <c r="N596" t="s">
        <v>49</v>
      </c>
      <c r="O596">
        <v>101</v>
      </c>
      <c r="P596">
        <v>52</v>
      </c>
      <c r="Q596">
        <v>0</v>
      </c>
      <c r="R596">
        <v>7</v>
      </c>
      <c r="S596" t="s">
        <v>29</v>
      </c>
      <c r="T596" t="s">
        <v>30</v>
      </c>
      <c r="U596" t="s">
        <v>38</v>
      </c>
      <c r="V596" t="s">
        <v>45</v>
      </c>
      <c r="W596">
        <v>1</v>
      </c>
      <c r="X596">
        <v>1</v>
      </c>
      <c r="Y596" s="2">
        <f>Table1[[#This Row],[premium_yearly]]*Table1[[#This Row],[tenure_years]]</f>
        <v>9702.8711999999996</v>
      </c>
      <c r="Z596" s="2">
        <f>Table1[[#This Row],[total_collected_premiums]]*(1-$AD$2)</f>
        <v>7083.0959759999996</v>
      </c>
      <c r="AA596" s="2">
        <f>Table1[[#This Row],[retained_premium]]-Table1[[#This Row],[claim_amount_paid]]</f>
        <v>6083.0959759999996</v>
      </c>
    </row>
    <row r="597" spans="1:27" x14ac:dyDescent="0.35">
      <c r="A597" t="s">
        <v>1830</v>
      </c>
      <c r="B597" t="s">
        <v>1831</v>
      </c>
      <c r="C597" t="s">
        <v>1832</v>
      </c>
      <c r="D597" s="1">
        <v>40896</v>
      </c>
      <c r="E597" s="1">
        <v>44126</v>
      </c>
      <c r="F597" s="1">
        <v>44129</v>
      </c>
      <c r="G597">
        <v>3</v>
      </c>
      <c r="H597">
        <v>70.760000000000005</v>
      </c>
      <c r="I597">
        <v>849.12</v>
      </c>
      <c r="J597">
        <v>3000</v>
      </c>
      <c r="K597" t="s">
        <v>27</v>
      </c>
      <c r="L597">
        <v>3000</v>
      </c>
      <c r="M597">
        <v>9.5</v>
      </c>
      <c r="N597" t="s">
        <v>36</v>
      </c>
      <c r="O597">
        <v>114</v>
      </c>
      <c r="P597">
        <v>36</v>
      </c>
      <c r="Q597">
        <v>1</v>
      </c>
      <c r="R597">
        <v>4</v>
      </c>
      <c r="S597" t="s">
        <v>65</v>
      </c>
      <c r="T597" t="s">
        <v>30</v>
      </c>
      <c r="U597" t="s">
        <v>88</v>
      </c>
      <c r="V597" t="s">
        <v>39</v>
      </c>
      <c r="W597">
        <v>1</v>
      </c>
      <c r="X597">
        <v>0</v>
      </c>
      <c r="Y597" s="2">
        <f>Table1[[#This Row],[premium_yearly]]*Table1[[#This Row],[tenure_years]]</f>
        <v>8066.64</v>
      </c>
      <c r="Z597" s="2">
        <f>Table1[[#This Row],[total_collected_premiums]]*(1-$AD$2)</f>
        <v>5888.6472000000003</v>
      </c>
      <c r="AA597" s="2">
        <f>Table1[[#This Row],[retained_premium]]-Table1[[#This Row],[claim_amount_paid]]</f>
        <v>2888.6472000000003</v>
      </c>
    </row>
    <row r="598" spans="1:27" x14ac:dyDescent="0.35">
      <c r="A598" t="s">
        <v>1833</v>
      </c>
      <c r="B598" t="s">
        <v>1834</v>
      </c>
      <c r="C598" t="s">
        <v>1835</v>
      </c>
      <c r="D598" s="1">
        <v>43804</v>
      </c>
      <c r="E598" s="1">
        <v>44128</v>
      </c>
      <c r="F598" s="1">
        <v>44131</v>
      </c>
      <c r="G598">
        <v>3</v>
      </c>
      <c r="H598">
        <v>105.37</v>
      </c>
      <c r="I598">
        <v>1264.44</v>
      </c>
      <c r="J598">
        <v>10000</v>
      </c>
      <c r="K598" t="s">
        <v>27</v>
      </c>
      <c r="L598">
        <v>10000</v>
      </c>
      <c r="M598">
        <v>9.17</v>
      </c>
      <c r="N598" t="s">
        <v>49</v>
      </c>
      <c r="O598">
        <v>110</v>
      </c>
      <c r="P598">
        <v>59</v>
      </c>
      <c r="Q598">
        <v>1</v>
      </c>
      <c r="R598">
        <v>2</v>
      </c>
      <c r="S598" t="s">
        <v>29</v>
      </c>
      <c r="T598" t="s">
        <v>30</v>
      </c>
      <c r="U598" t="s">
        <v>88</v>
      </c>
      <c r="V598" t="s">
        <v>39</v>
      </c>
      <c r="W598">
        <v>1</v>
      </c>
      <c r="X598">
        <v>1</v>
      </c>
      <c r="Y598" s="2">
        <f>Table1[[#This Row],[premium_yearly]]*Table1[[#This Row],[tenure_years]]</f>
        <v>11594.9148</v>
      </c>
      <c r="Z598" s="2">
        <f>Table1[[#This Row],[total_collected_premiums]]*(1-$AD$2)</f>
        <v>8464.2878039999996</v>
      </c>
      <c r="AA598" s="2">
        <f>Table1[[#This Row],[retained_premium]]-Table1[[#This Row],[claim_amount_paid]]</f>
        <v>-1535.7121960000004</v>
      </c>
    </row>
    <row r="599" spans="1:27" x14ac:dyDescent="0.35">
      <c r="A599" t="s">
        <v>1836</v>
      </c>
      <c r="B599" t="s">
        <v>1837</v>
      </c>
      <c r="C599" t="s">
        <v>1838</v>
      </c>
      <c r="D599" s="1">
        <v>41712</v>
      </c>
      <c r="E599" s="1">
        <v>44128</v>
      </c>
      <c r="F599" s="1">
        <v>44131</v>
      </c>
      <c r="G599">
        <v>3</v>
      </c>
      <c r="H599">
        <v>78.260000000000005</v>
      </c>
      <c r="I599">
        <v>939.12</v>
      </c>
      <c r="J599">
        <v>7000</v>
      </c>
      <c r="K599" t="s">
        <v>43</v>
      </c>
      <c r="L599">
        <v>0</v>
      </c>
      <c r="M599">
        <v>8.92</v>
      </c>
      <c r="N599" t="s">
        <v>36</v>
      </c>
      <c r="O599">
        <v>107</v>
      </c>
      <c r="P599">
        <v>46</v>
      </c>
      <c r="Q599">
        <v>1</v>
      </c>
      <c r="R599">
        <v>4</v>
      </c>
      <c r="S599" t="s">
        <v>65</v>
      </c>
      <c r="T599" t="s">
        <v>50</v>
      </c>
      <c r="U599" t="s">
        <v>31</v>
      </c>
      <c r="V599" t="s">
        <v>39</v>
      </c>
      <c r="W599">
        <v>0</v>
      </c>
      <c r="X599">
        <v>1</v>
      </c>
      <c r="Y599" s="2">
        <f>Table1[[#This Row],[premium_yearly]]*Table1[[#This Row],[tenure_years]]</f>
        <v>8376.9503999999997</v>
      </c>
      <c r="Z599" s="2">
        <f>Table1[[#This Row],[total_collected_premiums]]*(1-$AD$2)</f>
        <v>6115.1737919999996</v>
      </c>
      <c r="AA599" s="2">
        <f>Table1[[#This Row],[retained_premium]]-Table1[[#This Row],[claim_amount_paid]]</f>
        <v>6115.1737919999996</v>
      </c>
    </row>
    <row r="600" spans="1:27" x14ac:dyDescent="0.35">
      <c r="A600" t="s">
        <v>1839</v>
      </c>
      <c r="B600" t="s">
        <v>1840</v>
      </c>
      <c r="C600" t="s">
        <v>1841</v>
      </c>
      <c r="D600" s="1">
        <v>40380</v>
      </c>
      <c r="E600" s="1">
        <v>44135</v>
      </c>
      <c r="F600" s="1">
        <v>44135</v>
      </c>
      <c r="G600">
        <v>0</v>
      </c>
      <c r="H600">
        <v>139.11000000000001</v>
      </c>
      <c r="I600">
        <v>1669.32</v>
      </c>
      <c r="J600">
        <v>3000</v>
      </c>
      <c r="K600" t="s">
        <v>27</v>
      </c>
      <c r="L600">
        <v>3000</v>
      </c>
      <c r="M600">
        <v>0.75</v>
      </c>
      <c r="N600" t="s">
        <v>28</v>
      </c>
      <c r="O600">
        <v>9</v>
      </c>
      <c r="P600">
        <v>27</v>
      </c>
      <c r="Q600">
        <v>1</v>
      </c>
      <c r="R600">
        <v>4</v>
      </c>
      <c r="S600" t="s">
        <v>29</v>
      </c>
      <c r="T600" t="s">
        <v>30</v>
      </c>
      <c r="U600" t="s">
        <v>38</v>
      </c>
      <c r="V600" t="s">
        <v>39</v>
      </c>
      <c r="W600">
        <v>1</v>
      </c>
      <c r="X600">
        <v>1</v>
      </c>
      <c r="Y600" s="2">
        <f>Table1[[#This Row],[premium_yearly]]*Table1[[#This Row],[tenure_years]]</f>
        <v>1251.99</v>
      </c>
      <c r="Z600" s="2">
        <f>Table1[[#This Row],[total_collected_premiums]]*(1-$AD$2)</f>
        <v>913.95269999999994</v>
      </c>
      <c r="AA600" s="2">
        <f>Table1[[#This Row],[retained_premium]]-Table1[[#This Row],[claim_amount_paid]]</f>
        <v>-2086.0473000000002</v>
      </c>
    </row>
    <row r="601" spans="1:27" x14ac:dyDescent="0.35">
      <c r="A601" t="s">
        <v>1842</v>
      </c>
      <c r="B601" t="s">
        <v>1843</v>
      </c>
      <c r="C601" t="s">
        <v>1844</v>
      </c>
      <c r="D601" s="1">
        <v>42976</v>
      </c>
      <c r="E601" s="1">
        <v>44135</v>
      </c>
      <c r="F601" s="1">
        <v>44135</v>
      </c>
      <c r="G601">
        <v>0</v>
      </c>
      <c r="H601">
        <v>100.57</v>
      </c>
      <c r="I601">
        <v>1206.8399999999999</v>
      </c>
      <c r="J601">
        <v>6000</v>
      </c>
      <c r="K601" t="s">
        <v>27</v>
      </c>
      <c r="L601">
        <v>6000</v>
      </c>
      <c r="M601">
        <v>3.75</v>
      </c>
      <c r="N601" t="s">
        <v>28</v>
      </c>
      <c r="O601">
        <v>45</v>
      </c>
      <c r="P601">
        <v>64</v>
      </c>
      <c r="Q601">
        <v>1</v>
      </c>
      <c r="R601">
        <v>5</v>
      </c>
      <c r="S601" t="s">
        <v>37</v>
      </c>
      <c r="T601" t="s">
        <v>30</v>
      </c>
      <c r="U601" t="s">
        <v>31</v>
      </c>
      <c r="V601" t="s">
        <v>45</v>
      </c>
      <c r="W601">
        <v>0</v>
      </c>
      <c r="X601">
        <v>1</v>
      </c>
      <c r="Y601" s="2">
        <f>Table1[[#This Row],[premium_yearly]]*Table1[[#This Row],[tenure_years]]</f>
        <v>4525.6499999999996</v>
      </c>
      <c r="Z601" s="2">
        <f>Table1[[#This Row],[total_collected_premiums]]*(1-$AD$2)</f>
        <v>3303.7244999999998</v>
      </c>
      <c r="AA601" s="2">
        <f>Table1[[#This Row],[retained_premium]]-Table1[[#This Row],[claim_amount_paid]]</f>
        <v>-2696.2755000000002</v>
      </c>
    </row>
    <row r="602" spans="1:27" x14ac:dyDescent="0.35">
      <c r="A602" t="s">
        <v>1845</v>
      </c>
      <c r="B602" t="s">
        <v>1846</v>
      </c>
      <c r="C602" t="s">
        <v>1847</v>
      </c>
      <c r="D602" s="1">
        <v>40742</v>
      </c>
      <c r="E602" s="1">
        <v>44128</v>
      </c>
      <c r="F602" s="1">
        <v>44131</v>
      </c>
      <c r="G602">
        <v>3</v>
      </c>
      <c r="H602">
        <v>73.489999999999995</v>
      </c>
      <c r="I602">
        <v>881.88</v>
      </c>
      <c r="J602">
        <v>4000</v>
      </c>
      <c r="K602" t="s">
        <v>27</v>
      </c>
      <c r="L602">
        <v>4000</v>
      </c>
      <c r="M602">
        <v>7.75</v>
      </c>
      <c r="N602" t="s">
        <v>36</v>
      </c>
      <c r="O602">
        <v>93</v>
      </c>
      <c r="P602">
        <v>50</v>
      </c>
      <c r="Q602">
        <v>0</v>
      </c>
      <c r="R602">
        <v>4</v>
      </c>
      <c r="S602" t="s">
        <v>65</v>
      </c>
      <c r="T602" t="s">
        <v>30</v>
      </c>
      <c r="U602" t="s">
        <v>31</v>
      </c>
      <c r="V602" t="s">
        <v>45</v>
      </c>
      <c r="W602">
        <v>1</v>
      </c>
      <c r="X602">
        <v>0</v>
      </c>
      <c r="Y602" s="2">
        <f>Table1[[#This Row],[premium_yearly]]*Table1[[#This Row],[tenure_years]]</f>
        <v>6834.57</v>
      </c>
      <c r="Z602" s="2">
        <f>Table1[[#This Row],[total_collected_premiums]]*(1-$AD$2)</f>
        <v>4989.2361000000001</v>
      </c>
      <c r="AA602" s="2">
        <f>Table1[[#This Row],[retained_premium]]-Table1[[#This Row],[claim_amount_paid]]</f>
        <v>989.23610000000008</v>
      </c>
    </row>
    <row r="603" spans="1:27" x14ac:dyDescent="0.35">
      <c r="A603" t="s">
        <v>1848</v>
      </c>
      <c r="B603" t="s">
        <v>1849</v>
      </c>
      <c r="C603" t="s">
        <v>1850</v>
      </c>
      <c r="D603" s="1">
        <v>42729</v>
      </c>
      <c r="E603" s="1">
        <v>44125</v>
      </c>
      <c r="F603" s="1">
        <v>44130</v>
      </c>
      <c r="G603">
        <v>5</v>
      </c>
      <c r="H603">
        <v>70.88</v>
      </c>
      <c r="I603">
        <v>850.56</v>
      </c>
      <c r="J603">
        <v>6000</v>
      </c>
      <c r="K603" t="s">
        <v>27</v>
      </c>
      <c r="L603">
        <v>6000</v>
      </c>
      <c r="M603">
        <v>4</v>
      </c>
      <c r="N603" t="s">
        <v>49</v>
      </c>
      <c r="O603">
        <v>48</v>
      </c>
      <c r="P603">
        <v>32</v>
      </c>
      <c r="Q603">
        <v>0</v>
      </c>
      <c r="R603">
        <v>3</v>
      </c>
      <c r="S603" t="s">
        <v>65</v>
      </c>
      <c r="T603" t="s">
        <v>30</v>
      </c>
      <c r="U603" t="s">
        <v>107</v>
      </c>
      <c r="V603" t="s">
        <v>39</v>
      </c>
      <c r="W603">
        <v>1</v>
      </c>
      <c r="X603">
        <v>1</v>
      </c>
      <c r="Y603" s="2">
        <f>Table1[[#This Row],[premium_yearly]]*Table1[[#This Row],[tenure_years]]</f>
        <v>3402.24</v>
      </c>
      <c r="Z603" s="2">
        <f>Table1[[#This Row],[total_collected_premiums]]*(1-$AD$2)</f>
        <v>2483.6351999999997</v>
      </c>
      <c r="AA603" s="2">
        <f>Table1[[#This Row],[retained_premium]]-Table1[[#This Row],[claim_amount_paid]]</f>
        <v>-3516.3648000000003</v>
      </c>
    </row>
    <row r="604" spans="1:27" x14ac:dyDescent="0.35">
      <c r="A604" t="s">
        <v>1851</v>
      </c>
      <c r="B604" t="s">
        <v>1852</v>
      </c>
      <c r="C604" t="s">
        <v>1853</v>
      </c>
      <c r="D604" s="1">
        <v>42642</v>
      </c>
      <c r="E604" s="1">
        <v>44126</v>
      </c>
      <c r="F604" s="1">
        <v>44131</v>
      </c>
      <c r="G604">
        <v>5</v>
      </c>
      <c r="H604">
        <v>100.5</v>
      </c>
      <c r="I604">
        <v>1206</v>
      </c>
      <c r="J604">
        <v>1000</v>
      </c>
      <c r="K604" t="s">
        <v>27</v>
      </c>
      <c r="L604">
        <v>1000</v>
      </c>
      <c r="M604">
        <v>3.67</v>
      </c>
      <c r="N604" t="s">
        <v>36</v>
      </c>
      <c r="O604">
        <v>44</v>
      </c>
      <c r="P604">
        <v>28</v>
      </c>
      <c r="Q604">
        <v>0</v>
      </c>
      <c r="R604">
        <v>3</v>
      </c>
      <c r="S604" t="s">
        <v>65</v>
      </c>
      <c r="T604" t="s">
        <v>30</v>
      </c>
      <c r="U604" t="s">
        <v>58</v>
      </c>
      <c r="V604" t="s">
        <v>32</v>
      </c>
      <c r="W604">
        <v>0</v>
      </c>
      <c r="X604">
        <v>1</v>
      </c>
      <c r="Y604" s="2">
        <f>Table1[[#This Row],[premium_yearly]]*Table1[[#This Row],[tenure_years]]</f>
        <v>4426.0199999999995</v>
      </c>
      <c r="Z604" s="2">
        <f>Table1[[#This Row],[total_collected_premiums]]*(1-$AD$2)</f>
        <v>3230.9945999999995</v>
      </c>
      <c r="AA604" s="2">
        <f>Table1[[#This Row],[retained_premium]]-Table1[[#This Row],[claim_amount_paid]]</f>
        <v>2230.9945999999995</v>
      </c>
    </row>
    <row r="605" spans="1:27" x14ac:dyDescent="0.35">
      <c r="A605" t="s">
        <v>1854</v>
      </c>
      <c r="B605" t="s">
        <v>1855</v>
      </c>
      <c r="C605" t="s">
        <v>1856</v>
      </c>
      <c r="D605" s="1">
        <v>40672</v>
      </c>
      <c r="E605" s="1">
        <v>44128</v>
      </c>
      <c r="F605" s="1">
        <v>44131</v>
      </c>
      <c r="G605">
        <v>3</v>
      </c>
      <c r="H605">
        <v>112.42</v>
      </c>
      <c r="I605">
        <v>1349.04</v>
      </c>
      <c r="J605">
        <v>4000</v>
      </c>
      <c r="K605" t="s">
        <v>27</v>
      </c>
      <c r="L605">
        <v>4000</v>
      </c>
      <c r="M605">
        <v>3.5</v>
      </c>
      <c r="N605" t="s">
        <v>36</v>
      </c>
      <c r="O605">
        <v>42</v>
      </c>
      <c r="P605">
        <v>48</v>
      </c>
      <c r="Q605">
        <v>0</v>
      </c>
      <c r="R605">
        <v>5</v>
      </c>
      <c r="S605" t="s">
        <v>29</v>
      </c>
      <c r="T605" t="s">
        <v>50</v>
      </c>
      <c r="U605" t="s">
        <v>31</v>
      </c>
      <c r="V605" t="s">
        <v>45</v>
      </c>
      <c r="W605">
        <v>0</v>
      </c>
      <c r="X605">
        <v>1</v>
      </c>
      <c r="Y605" s="2">
        <f>Table1[[#This Row],[premium_yearly]]*Table1[[#This Row],[tenure_years]]</f>
        <v>4721.6399999999994</v>
      </c>
      <c r="Z605" s="2">
        <f>Table1[[#This Row],[total_collected_premiums]]*(1-$AD$2)</f>
        <v>3446.7971999999995</v>
      </c>
      <c r="AA605" s="2">
        <f>Table1[[#This Row],[retained_premium]]-Table1[[#This Row],[claim_amount_paid]]</f>
        <v>-553.20280000000048</v>
      </c>
    </row>
    <row r="606" spans="1:27" x14ac:dyDescent="0.35">
      <c r="A606" t="s">
        <v>1857</v>
      </c>
      <c r="B606" t="s">
        <v>1858</v>
      </c>
      <c r="C606" t="s">
        <v>1859</v>
      </c>
      <c r="D606" s="1">
        <v>42637</v>
      </c>
      <c r="E606" s="1">
        <v>44118</v>
      </c>
      <c r="F606" s="1">
        <v>44123</v>
      </c>
      <c r="G606">
        <v>5</v>
      </c>
      <c r="H606">
        <v>134.06</v>
      </c>
      <c r="I606">
        <v>1608.72</v>
      </c>
      <c r="J606">
        <v>3000</v>
      </c>
      <c r="K606" t="s">
        <v>27</v>
      </c>
      <c r="L606">
        <v>3000</v>
      </c>
      <c r="M606">
        <v>3.17</v>
      </c>
      <c r="N606" t="s">
        <v>36</v>
      </c>
      <c r="O606">
        <v>38</v>
      </c>
      <c r="P606">
        <v>52</v>
      </c>
      <c r="Q606">
        <v>1</v>
      </c>
      <c r="R606">
        <v>2</v>
      </c>
      <c r="S606" t="s">
        <v>37</v>
      </c>
      <c r="T606" t="s">
        <v>30</v>
      </c>
      <c r="U606" t="s">
        <v>107</v>
      </c>
      <c r="V606" t="s">
        <v>32</v>
      </c>
      <c r="W606">
        <v>1</v>
      </c>
      <c r="X606">
        <v>1</v>
      </c>
      <c r="Y606" s="2">
        <f>Table1[[#This Row],[premium_yearly]]*Table1[[#This Row],[tenure_years]]</f>
        <v>5099.6423999999997</v>
      </c>
      <c r="Z606" s="2">
        <f>Table1[[#This Row],[total_collected_premiums]]*(1-$AD$2)</f>
        <v>3722.7389519999997</v>
      </c>
      <c r="AA606" s="2">
        <f>Table1[[#This Row],[retained_premium]]-Table1[[#This Row],[claim_amount_paid]]</f>
        <v>722.7389519999997</v>
      </c>
    </row>
    <row r="607" spans="1:27" x14ac:dyDescent="0.35">
      <c r="A607" t="s">
        <v>1860</v>
      </c>
      <c r="B607" t="s">
        <v>1861</v>
      </c>
      <c r="C607" t="s">
        <v>1862</v>
      </c>
      <c r="D607" s="1">
        <v>41603</v>
      </c>
      <c r="E607" s="1">
        <v>44124</v>
      </c>
      <c r="F607" s="1">
        <v>44129</v>
      </c>
      <c r="G607">
        <v>5</v>
      </c>
      <c r="H607">
        <v>94.44</v>
      </c>
      <c r="I607">
        <v>1133.28</v>
      </c>
      <c r="J607">
        <v>5000</v>
      </c>
      <c r="K607" t="s">
        <v>43</v>
      </c>
      <c r="L607">
        <v>0</v>
      </c>
      <c r="M607">
        <v>5.83</v>
      </c>
      <c r="N607" t="s">
        <v>36</v>
      </c>
      <c r="O607">
        <v>70</v>
      </c>
      <c r="P607">
        <v>30</v>
      </c>
      <c r="Q607">
        <v>1</v>
      </c>
      <c r="R607">
        <v>3</v>
      </c>
      <c r="S607" t="s">
        <v>37</v>
      </c>
      <c r="T607" t="s">
        <v>30</v>
      </c>
      <c r="U607" t="s">
        <v>107</v>
      </c>
      <c r="V607" t="s">
        <v>45</v>
      </c>
      <c r="W607">
        <v>1</v>
      </c>
      <c r="X607">
        <v>0</v>
      </c>
      <c r="Y607" s="2">
        <f>Table1[[#This Row],[premium_yearly]]*Table1[[#This Row],[tenure_years]]</f>
        <v>6607.0223999999998</v>
      </c>
      <c r="Z607" s="2">
        <f>Table1[[#This Row],[total_collected_premiums]]*(1-$AD$2)</f>
        <v>4823.1263519999993</v>
      </c>
      <c r="AA607" s="2">
        <f>Table1[[#This Row],[retained_premium]]-Table1[[#This Row],[claim_amount_paid]]</f>
        <v>4823.1263519999993</v>
      </c>
    </row>
    <row r="608" spans="1:27" x14ac:dyDescent="0.35">
      <c r="A608" t="s">
        <v>1863</v>
      </c>
      <c r="B608" t="s">
        <v>1864</v>
      </c>
      <c r="C608" t="s">
        <v>1865</v>
      </c>
      <c r="D608" s="1">
        <v>43430</v>
      </c>
      <c r="E608" s="1">
        <v>44135</v>
      </c>
      <c r="F608" s="1">
        <v>44135</v>
      </c>
      <c r="G608">
        <v>0</v>
      </c>
      <c r="H608">
        <v>120.66</v>
      </c>
      <c r="I608">
        <v>1447.92</v>
      </c>
      <c r="J608">
        <v>4000</v>
      </c>
      <c r="K608" t="s">
        <v>27</v>
      </c>
      <c r="L608">
        <v>4000</v>
      </c>
      <c r="M608">
        <v>6.17</v>
      </c>
      <c r="N608" t="s">
        <v>28</v>
      </c>
      <c r="O608">
        <v>74</v>
      </c>
      <c r="P608">
        <v>44</v>
      </c>
      <c r="Q608">
        <v>1</v>
      </c>
      <c r="R608">
        <v>5</v>
      </c>
      <c r="S608" t="s">
        <v>65</v>
      </c>
      <c r="T608" t="s">
        <v>30</v>
      </c>
      <c r="U608" t="s">
        <v>51</v>
      </c>
      <c r="V608" t="s">
        <v>39</v>
      </c>
      <c r="W608">
        <v>0</v>
      </c>
      <c r="X608">
        <v>1</v>
      </c>
      <c r="Y608" s="2">
        <f>Table1[[#This Row],[premium_yearly]]*Table1[[#This Row],[tenure_years]]</f>
        <v>8933.6664000000001</v>
      </c>
      <c r="Z608" s="2">
        <f>Table1[[#This Row],[total_collected_premiums]]*(1-$AD$2)</f>
        <v>6521.5764719999997</v>
      </c>
      <c r="AA608" s="2">
        <f>Table1[[#This Row],[retained_premium]]-Table1[[#This Row],[claim_amount_paid]]</f>
        <v>2521.5764719999997</v>
      </c>
    </row>
    <row r="609" spans="1:27" x14ac:dyDescent="0.35">
      <c r="A609" t="s">
        <v>1866</v>
      </c>
      <c r="B609" t="s">
        <v>1867</v>
      </c>
      <c r="C609" t="s">
        <v>1868</v>
      </c>
      <c r="D609" s="1">
        <v>42239</v>
      </c>
      <c r="E609" s="1">
        <v>44133</v>
      </c>
      <c r="F609" s="1">
        <v>44135</v>
      </c>
      <c r="G609">
        <v>2</v>
      </c>
      <c r="H609">
        <v>92.69</v>
      </c>
      <c r="I609">
        <v>1112.28</v>
      </c>
      <c r="J609">
        <v>8000</v>
      </c>
      <c r="K609" t="s">
        <v>27</v>
      </c>
      <c r="L609">
        <v>8000</v>
      </c>
      <c r="M609">
        <v>0.57999999999999996</v>
      </c>
      <c r="N609" t="s">
        <v>28</v>
      </c>
      <c r="O609">
        <v>7</v>
      </c>
      <c r="P609">
        <v>39</v>
      </c>
      <c r="Q609">
        <v>1</v>
      </c>
      <c r="R609">
        <v>2</v>
      </c>
      <c r="S609" t="s">
        <v>29</v>
      </c>
      <c r="T609" t="s">
        <v>30</v>
      </c>
      <c r="U609" t="s">
        <v>38</v>
      </c>
      <c r="V609" t="s">
        <v>45</v>
      </c>
      <c r="W609">
        <v>0</v>
      </c>
      <c r="X609">
        <v>0</v>
      </c>
      <c r="Y609" s="2">
        <f>Table1[[#This Row],[premium_yearly]]*Table1[[#This Row],[tenure_years]]</f>
        <v>645.12239999999997</v>
      </c>
      <c r="Z609" s="2">
        <f>Table1[[#This Row],[total_collected_premiums]]*(1-$AD$2)</f>
        <v>470.93935199999999</v>
      </c>
      <c r="AA609" s="2">
        <f>Table1[[#This Row],[retained_premium]]-Table1[[#This Row],[claim_amount_paid]]</f>
        <v>-7529.0606479999997</v>
      </c>
    </row>
    <row r="610" spans="1:27" x14ac:dyDescent="0.35">
      <c r="A610" t="s">
        <v>1869</v>
      </c>
      <c r="B610" t="s">
        <v>1870</v>
      </c>
      <c r="C610" t="s">
        <v>1871</v>
      </c>
      <c r="D610" s="1">
        <v>42396</v>
      </c>
      <c r="E610" s="1">
        <v>44120</v>
      </c>
      <c r="F610" s="1">
        <v>44125</v>
      </c>
      <c r="G610">
        <v>5</v>
      </c>
      <c r="H610">
        <v>81.459999999999994</v>
      </c>
      <c r="I610">
        <v>977.52</v>
      </c>
      <c r="J610">
        <v>1000</v>
      </c>
      <c r="K610" t="s">
        <v>27</v>
      </c>
      <c r="L610">
        <v>1000</v>
      </c>
      <c r="M610">
        <v>6</v>
      </c>
      <c r="N610" t="s">
        <v>49</v>
      </c>
      <c r="O610">
        <v>72</v>
      </c>
      <c r="P610">
        <v>45</v>
      </c>
      <c r="Q610">
        <v>1</v>
      </c>
      <c r="R610">
        <v>5</v>
      </c>
      <c r="S610" t="s">
        <v>65</v>
      </c>
      <c r="T610" t="s">
        <v>50</v>
      </c>
      <c r="U610" t="s">
        <v>38</v>
      </c>
      <c r="V610" t="s">
        <v>45</v>
      </c>
      <c r="W610">
        <v>1</v>
      </c>
      <c r="X610">
        <v>1</v>
      </c>
      <c r="Y610" s="2">
        <f>Table1[[#This Row],[premium_yearly]]*Table1[[#This Row],[tenure_years]]</f>
        <v>5865.12</v>
      </c>
      <c r="Z610" s="2">
        <f>Table1[[#This Row],[total_collected_premiums]]*(1-$AD$2)</f>
        <v>4281.5375999999997</v>
      </c>
      <c r="AA610" s="2">
        <f>Table1[[#This Row],[retained_premium]]-Table1[[#This Row],[claim_amount_paid]]</f>
        <v>3281.5375999999997</v>
      </c>
    </row>
    <row r="611" spans="1:27" x14ac:dyDescent="0.35">
      <c r="A611" t="s">
        <v>1872</v>
      </c>
      <c r="B611" t="s">
        <v>1873</v>
      </c>
      <c r="C611" t="s">
        <v>1874</v>
      </c>
      <c r="D611" s="1">
        <v>42395</v>
      </c>
      <c r="E611" s="1">
        <v>44122</v>
      </c>
      <c r="F611" s="1">
        <v>44127</v>
      </c>
      <c r="G611">
        <v>5</v>
      </c>
      <c r="H611">
        <v>96.19</v>
      </c>
      <c r="I611">
        <v>1154.28</v>
      </c>
      <c r="J611">
        <v>9000</v>
      </c>
      <c r="K611" t="s">
        <v>27</v>
      </c>
      <c r="L611">
        <v>9000</v>
      </c>
      <c r="M611">
        <v>5.33</v>
      </c>
      <c r="N611" t="s">
        <v>28</v>
      </c>
      <c r="O611">
        <v>64</v>
      </c>
      <c r="P611">
        <v>60</v>
      </c>
      <c r="Q611">
        <v>1</v>
      </c>
      <c r="R611">
        <v>5</v>
      </c>
      <c r="S611" t="s">
        <v>37</v>
      </c>
      <c r="T611" t="s">
        <v>44</v>
      </c>
      <c r="U611" t="s">
        <v>31</v>
      </c>
      <c r="V611" t="s">
        <v>39</v>
      </c>
      <c r="W611">
        <v>1</v>
      </c>
      <c r="X611">
        <v>1</v>
      </c>
      <c r="Y611" s="2">
        <f>Table1[[#This Row],[premium_yearly]]*Table1[[#This Row],[tenure_years]]</f>
        <v>6152.3123999999998</v>
      </c>
      <c r="Z611" s="2">
        <f>Table1[[#This Row],[total_collected_premiums]]*(1-$AD$2)</f>
        <v>4491.1880519999995</v>
      </c>
      <c r="AA611" s="2">
        <f>Table1[[#This Row],[retained_premium]]-Table1[[#This Row],[claim_amount_paid]]</f>
        <v>-4508.8119480000005</v>
      </c>
    </row>
    <row r="612" spans="1:27" x14ac:dyDescent="0.35">
      <c r="A612" t="s">
        <v>1875</v>
      </c>
      <c r="B612" t="s">
        <v>1876</v>
      </c>
      <c r="C612" t="s">
        <v>1877</v>
      </c>
      <c r="D612" s="1">
        <v>40437</v>
      </c>
      <c r="E612" s="1">
        <v>44127</v>
      </c>
      <c r="F612" s="1">
        <v>44132</v>
      </c>
      <c r="G612">
        <v>5</v>
      </c>
      <c r="H612">
        <v>83.03</v>
      </c>
      <c r="I612">
        <v>996.36</v>
      </c>
      <c r="J612">
        <v>7000</v>
      </c>
      <c r="K612" t="s">
        <v>27</v>
      </c>
      <c r="L612">
        <v>7000</v>
      </c>
      <c r="M612">
        <v>2</v>
      </c>
      <c r="N612" t="s">
        <v>36</v>
      </c>
      <c r="O612">
        <v>24</v>
      </c>
      <c r="P612">
        <v>36</v>
      </c>
      <c r="Q612">
        <v>0</v>
      </c>
      <c r="R612">
        <v>6</v>
      </c>
      <c r="S612" t="s">
        <v>65</v>
      </c>
      <c r="T612" t="s">
        <v>30</v>
      </c>
      <c r="U612" t="s">
        <v>31</v>
      </c>
      <c r="V612" t="s">
        <v>39</v>
      </c>
      <c r="W612">
        <v>0</v>
      </c>
      <c r="X612">
        <v>0</v>
      </c>
      <c r="Y612" s="2">
        <f>Table1[[#This Row],[premium_yearly]]*Table1[[#This Row],[tenure_years]]</f>
        <v>1992.72</v>
      </c>
      <c r="Z612" s="2">
        <f>Table1[[#This Row],[total_collected_premiums]]*(1-$AD$2)</f>
        <v>1454.6856</v>
      </c>
      <c r="AA612" s="2">
        <f>Table1[[#This Row],[retained_premium]]-Table1[[#This Row],[claim_amount_paid]]</f>
        <v>-5545.3144000000002</v>
      </c>
    </row>
    <row r="613" spans="1:27" x14ac:dyDescent="0.35">
      <c r="A613" t="s">
        <v>1878</v>
      </c>
      <c r="B613" t="s">
        <v>1879</v>
      </c>
      <c r="C613" t="s">
        <v>1880</v>
      </c>
      <c r="D613" s="1">
        <v>43643</v>
      </c>
      <c r="E613" s="1">
        <v>44134</v>
      </c>
      <c r="F613" s="1">
        <v>44135</v>
      </c>
      <c r="G613">
        <v>1</v>
      </c>
      <c r="H613">
        <v>95.04</v>
      </c>
      <c r="I613">
        <v>1140.48</v>
      </c>
      <c r="J613">
        <v>2000</v>
      </c>
      <c r="K613" t="s">
        <v>27</v>
      </c>
      <c r="L613">
        <v>2000</v>
      </c>
      <c r="M613">
        <v>8.67</v>
      </c>
      <c r="N613" t="s">
        <v>49</v>
      </c>
      <c r="O613">
        <v>104</v>
      </c>
      <c r="P613">
        <v>36</v>
      </c>
      <c r="Q613">
        <v>0</v>
      </c>
      <c r="R613">
        <v>4</v>
      </c>
      <c r="S613" t="s">
        <v>65</v>
      </c>
      <c r="T613" t="s">
        <v>30</v>
      </c>
      <c r="U613" t="s">
        <v>38</v>
      </c>
      <c r="V613" t="s">
        <v>45</v>
      </c>
      <c r="W613">
        <v>1</v>
      </c>
      <c r="X613">
        <v>1</v>
      </c>
      <c r="Y613" s="2">
        <f>Table1[[#This Row],[premium_yearly]]*Table1[[#This Row],[tenure_years]]</f>
        <v>9887.9616000000005</v>
      </c>
      <c r="Z613" s="2">
        <f>Table1[[#This Row],[total_collected_premiums]]*(1-$AD$2)</f>
        <v>7218.2119680000005</v>
      </c>
      <c r="AA613" s="2">
        <f>Table1[[#This Row],[retained_premium]]-Table1[[#This Row],[claim_amount_paid]]</f>
        <v>5218.2119680000005</v>
      </c>
    </row>
    <row r="614" spans="1:27" x14ac:dyDescent="0.35">
      <c r="A614" t="s">
        <v>1881</v>
      </c>
      <c r="B614" t="s">
        <v>1882</v>
      </c>
      <c r="C614" t="s">
        <v>1883</v>
      </c>
      <c r="D614" s="1">
        <v>41802</v>
      </c>
      <c r="E614" s="1">
        <v>44120</v>
      </c>
      <c r="F614" s="1">
        <v>44125</v>
      </c>
      <c r="G614">
        <v>5</v>
      </c>
      <c r="H614">
        <v>85.27</v>
      </c>
      <c r="I614">
        <v>1023.24</v>
      </c>
      <c r="J614">
        <v>2000</v>
      </c>
      <c r="K614" t="s">
        <v>27</v>
      </c>
      <c r="L614">
        <v>2000</v>
      </c>
      <c r="M614">
        <v>5.25</v>
      </c>
      <c r="N614" t="s">
        <v>28</v>
      </c>
      <c r="O614">
        <v>63</v>
      </c>
      <c r="P614">
        <v>44</v>
      </c>
      <c r="Q614">
        <v>1</v>
      </c>
      <c r="R614">
        <v>7</v>
      </c>
      <c r="S614" t="s">
        <v>65</v>
      </c>
      <c r="T614" t="s">
        <v>50</v>
      </c>
      <c r="U614" t="s">
        <v>88</v>
      </c>
      <c r="V614" t="s">
        <v>32</v>
      </c>
      <c r="W614">
        <v>1</v>
      </c>
      <c r="X614">
        <v>1</v>
      </c>
      <c r="Y614" s="2">
        <f>Table1[[#This Row],[premium_yearly]]*Table1[[#This Row],[tenure_years]]</f>
        <v>5372.01</v>
      </c>
      <c r="Z614" s="2">
        <f>Table1[[#This Row],[total_collected_premiums]]*(1-$AD$2)</f>
        <v>3921.5673000000002</v>
      </c>
      <c r="AA614" s="2">
        <f>Table1[[#This Row],[retained_premium]]-Table1[[#This Row],[claim_amount_paid]]</f>
        <v>1921.5673000000002</v>
      </c>
    </row>
    <row r="615" spans="1:27" x14ac:dyDescent="0.35">
      <c r="A615" t="s">
        <v>1884</v>
      </c>
      <c r="B615" t="s">
        <v>1885</v>
      </c>
      <c r="C615" t="s">
        <v>1886</v>
      </c>
      <c r="D615" s="1">
        <v>41209</v>
      </c>
      <c r="E615" s="1">
        <v>44121</v>
      </c>
      <c r="F615" s="1">
        <v>44126</v>
      </c>
      <c r="G615">
        <v>5</v>
      </c>
      <c r="H615">
        <v>84.99</v>
      </c>
      <c r="I615">
        <v>1019.88</v>
      </c>
      <c r="J615">
        <v>7000</v>
      </c>
      <c r="K615" t="s">
        <v>43</v>
      </c>
      <c r="L615">
        <v>0</v>
      </c>
      <c r="M615">
        <v>6.83</v>
      </c>
      <c r="N615" t="s">
        <v>49</v>
      </c>
      <c r="O615">
        <v>82</v>
      </c>
      <c r="P615">
        <v>60</v>
      </c>
      <c r="Q615">
        <v>1</v>
      </c>
      <c r="R615">
        <v>3</v>
      </c>
      <c r="S615" t="s">
        <v>29</v>
      </c>
      <c r="T615" t="s">
        <v>30</v>
      </c>
      <c r="U615" t="s">
        <v>38</v>
      </c>
      <c r="V615" t="s">
        <v>32</v>
      </c>
      <c r="W615">
        <v>0</v>
      </c>
      <c r="X615">
        <v>1</v>
      </c>
      <c r="Y615" s="2">
        <f>Table1[[#This Row],[premium_yearly]]*Table1[[#This Row],[tenure_years]]</f>
        <v>6965.7803999999996</v>
      </c>
      <c r="Z615" s="2">
        <f>Table1[[#This Row],[total_collected_premiums]]*(1-$AD$2)</f>
        <v>5085.0196919999998</v>
      </c>
      <c r="AA615" s="2">
        <f>Table1[[#This Row],[retained_premium]]-Table1[[#This Row],[claim_amount_paid]]</f>
        <v>5085.0196919999998</v>
      </c>
    </row>
    <row r="616" spans="1:27" x14ac:dyDescent="0.35">
      <c r="A616" t="s">
        <v>1887</v>
      </c>
      <c r="B616" t="s">
        <v>1888</v>
      </c>
      <c r="C616" t="s">
        <v>1889</v>
      </c>
      <c r="D616" s="1">
        <v>42797</v>
      </c>
      <c r="E616" s="1">
        <v>44128</v>
      </c>
      <c r="F616" s="1">
        <v>44133</v>
      </c>
      <c r="G616">
        <v>5</v>
      </c>
      <c r="H616">
        <v>78.08</v>
      </c>
      <c r="I616">
        <v>936.96</v>
      </c>
      <c r="J616">
        <v>5000</v>
      </c>
      <c r="K616" t="s">
        <v>27</v>
      </c>
      <c r="L616">
        <v>5000</v>
      </c>
      <c r="M616">
        <v>5.58</v>
      </c>
      <c r="N616" t="s">
        <v>49</v>
      </c>
      <c r="O616">
        <v>67</v>
      </c>
      <c r="P616">
        <v>25</v>
      </c>
      <c r="Q616">
        <v>1</v>
      </c>
      <c r="R616">
        <v>5</v>
      </c>
      <c r="S616" t="s">
        <v>29</v>
      </c>
      <c r="T616" t="s">
        <v>44</v>
      </c>
      <c r="U616" t="s">
        <v>88</v>
      </c>
      <c r="V616" t="s">
        <v>39</v>
      </c>
      <c r="W616">
        <v>0</v>
      </c>
      <c r="X616">
        <v>0</v>
      </c>
      <c r="Y616" s="2">
        <f>Table1[[#This Row],[premium_yearly]]*Table1[[#This Row],[tenure_years]]</f>
        <v>5228.2368000000006</v>
      </c>
      <c r="Z616" s="2">
        <f>Table1[[#This Row],[total_collected_premiums]]*(1-$AD$2)</f>
        <v>3816.6128640000002</v>
      </c>
      <c r="AA616" s="2">
        <f>Table1[[#This Row],[retained_premium]]-Table1[[#This Row],[claim_amount_paid]]</f>
        <v>-1183.3871359999998</v>
      </c>
    </row>
    <row r="617" spans="1:27" x14ac:dyDescent="0.35">
      <c r="A617" t="s">
        <v>1890</v>
      </c>
      <c r="B617" t="s">
        <v>1891</v>
      </c>
      <c r="C617" t="s">
        <v>1892</v>
      </c>
      <c r="D617" s="1">
        <v>41446</v>
      </c>
      <c r="E617" s="1">
        <v>44138</v>
      </c>
      <c r="F617" s="1">
        <v>44138</v>
      </c>
      <c r="G617">
        <v>0</v>
      </c>
      <c r="H617">
        <v>129.35</v>
      </c>
      <c r="I617">
        <v>1552.2</v>
      </c>
      <c r="J617">
        <v>6000</v>
      </c>
      <c r="K617" t="s">
        <v>27</v>
      </c>
      <c r="L617">
        <v>6000</v>
      </c>
      <c r="M617">
        <v>7.5</v>
      </c>
      <c r="N617" t="s">
        <v>36</v>
      </c>
      <c r="O617">
        <v>90</v>
      </c>
      <c r="P617">
        <v>26</v>
      </c>
      <c r="Q617">
        <v>1</v>
      </c>
      <c r="R617">
        <v>4</v>
      </c>
      <c r="S617" t="s">
        <v>65</v>
      </c>
      <c r="T617" t="s">
        <v>44</v>
      </c>
      <c r="U617" t="s">
        <v>31</v>
      </c>
      <c r="V617" t="s">
        <v>32</v>
      </c>
      <c r="W617">
        <v>0</v>
      </c>
      <c r="X617">
        <v>0</v>
      </c>
      <c r="Y617" s="2">
        <f>Table1[[#This Row],[premium_yearly]]*Table1[[#This Row],[tenure_years]]</f>
        <v>11641.5</v>
      </c>
      <c r="Z617" s="2">
        <f>Table1[[#This Row],[total_collected_premiums]]*(1-$AD$2)</f>
        <v>8498.2950000000001</v>
      </c>
      <c r="AA617" s="2">
        <f>Table1[[#This Row],[retained_premium]]-Table1[[#This Row],[claim_amount_paid]]</f>
        <v>2498.2950000000001</v>
      </c>
    </row>
    <row r="618" spans="1:27" x14ac:dyDescent="0.35">
      <c r="A618" t="s">
        <v>1893</v>
      </c>
      <c r="B618" t="s">
        <v>1894</v>
      </c>
      <c r="C618" t="s">
        <v>1895</v>
      </c>
      <c r="D618" s="1">
        <v>43175</v>
      </c>
      <c r="E618" s="1">
        <v>44131</v>
      </c>
      <c r="F618" s="1">
        <v>44134</v>
      </c>
      <c r="G618">
        <v>3</v>
      </c>
      <c r="H618">
        <v>85.53</v>
      </c>
      <c r="I618">
        <v>1026.3599999999999</v>
      </c>
      <c r="J618">
        <v>8000</v>
      </c>
      <c r="K618" t="s">
        <v>27</v>
      </c>
      <c r="L618">
        <v>8000</v>
      </c>
      <c r="M618">
        <v>4.83</v>
      </c>
      <c r="N618" t="s">
        <v>49</v>
      </c>
      <c r="O618">
        <v>58</v>
      </c>
      <c r="P618">
        <v>44</v>
      </c>
      <c r="Q618">
        <v>0</v>
      </c>
      <c r="R618">
        <v>7</v>
      </c>
      <c r="S618" t="s">
        <v>65</v>
      </c>
      <c r="T618" t="s">
        <v>30</v>
      </c>
      <c r="U618" t="s">
        <v>88</v>
      </c>
      <c r="V618" t="s">
        <v>45</v>
      </c>
      <c r="W618">
        <v>0</v>
      </c>
      <c r="X618">
        <v>1</v>
      </c>
      <c r="Y618" s="2">
        <f>Table1[[#This Row],[premium_yearly]]*Table1[[#This Row],[tenure_years]]</f>
        <v>4957.3188</v>
      </c>
      <c r="Z618" s="2">
        <f>Table1[[#This Row],[total_collected_premiums]]*(1-$AD$2)</f>
        <v>3618.8427240000001</v>
      </c>
      <c r="AA618" s="2">
        <f>Table1[[#This Row],[retained_premium]]-Table1[[#This Row],[claim_amount_paid]]</f>
        <v>-4381.1572759999999</v>
      </c>
    </row>
    <row r="619" spans="1:27" x14ac:dyDescent="0.35">
      <c r="A619" t="s">
        <v>1896</v>
      </c>
      <c r="B619" t="s">
        <v>1897</v>
      </c>
      <c r="C619" t="s">
        <v>1898</v>
      </c>
      <c r="D619" s="1">
        <v>41750</v>
      </c>
      <c r="E619" s="1">
        <v>44126</v>
      </c>
      <c r="F619" s="1">
        <v>44131</v>
      </c>
      <c r="G619">
        <v>5</v>
      </c>
      <c r="H619">
        <v>124.08</v>
      </c>
      <c r="I619">
        <v>1488.96</v>
      </c>
      <c r="J619">
        <v>9000</v>
      </c>
      <c r="K619" t="s">
        <v>27</v>
      </c>
      <c r="L619">
        <v>9000</v>
      </c>
      <c r="M619">
        <v>8.25</v>
      </c>
      <c r="N619" t="s">
        <v>49</v>
      </c>
      <c r="O619">
        <v>99</v>
      </c>
      <c r="P619">
        <v>62</v>
      </c>
      <c r="Q619">
        <v>1</v>
      </c>
      <c r="R619">
        <v>2</v>
      </c>
      <c r="S619" t="s">
        <v>29</v>
      </c>
      <c r="T619" t="s">
        <v>30</v>
      </c>
      <c r="U619" t="s">
        <v>31</v>
      </c>
      <c r="V619" t="s">
        <v>32</v>
      </c>
      <c r="W619">
        <v>1</v>
      </c>
      <c r="X619">
        <v>1</v>
      </c>
      <c r="Y619" s="2">
        <f>Table1[[#This Row],[premium_yearly]]*Table1[[#This Row],[tenure_years]]</f>
        <v>12283.92</v>
      </c>
      <c r="Z619" s="2">
        <f>Table1[[#This Row],[total_collected_premiums]]*(1-$AD$2)</f>
        <v>8967.2615999999998</v>
      </c>
      <c r="AA619" s="2">
        <f>Table1[[#This Row],[retained_premium]]-Table1[[#This Row],[claim_amount_paid]]</f>
        <v>-32.738400000000183</v>
      </c>
    </row>
    <row r="620" spans="1:27" x14ac:dyDescent="0.35">
      <c r="A620" t="s">
        <v>1899</v>
      </c>
      <c r="B620" t="s">
        <v>1900</v>
      </c>
      <c r="C620" t="s">
        <v>1901</v>
      </c>
      <c r="D620" s="1">
        <v>42499</v>
      </c>
      <c r="E620" s="1">
        <v>44136</v>
      </c>
      <c r="F620" s="1">
        <v>44137</v>
      </c>
      <c r="G620">
        <v>1</v>
      </c>
      <c r="H620">
        <v>74.87</v>
      </c>
      <c r="I620">
        <v>898.44</v>
      </c>
      <c r="J620">
        <v>1000</v>
      </c>
      <c r="K620" t="s">
        <v>27</v>
      </c>
      <c r="L620">
        <v>1000</v>
      </c>
      <c r="M620">
        <v>4.75</v>
      </c>
      <c r="N620" t="s">
        <v>36</v>
      </c>
      <c r="O620">
        <v>57</v>
      </c>
      <c r="P620">
        <v>33</v>
      </c>
      <c r="Q620">
        <v>1</v>
      </c>
      <c r="R620">
        <v>3</v>
      </c>
      <c r="S620" t="s">
        <v>29</v>
      </c>
      <c r="T620" t="s">
        <v>30</v>
      </c>
      <c r="U620" t="s">
        <v>31</v>
      </c>
      <c r="V620" t="s">
        <v>32</v>
      </c>
      <c r="W620">
        <v>1</v>
      </c>
      <c r="X620">
        <v>1</v>
      </c>
      <c r="Y620" s="2">
        <f>Table1[[#This Row],[premium_yearly]]*Table1[[#This Row],[tenure_years]]</f>
        <v>4267.59</v>
      </c>
      <c r="Z620" s="2">
        <f>Table1[[#This Row],[total_collected_premiums]]*(1-$AD$2)</f>
        <v>3115.3407000000002</v>
      </c>
      <c r="AA620" s="2">
        <f>Table1[[#This Row],[retained_premium]]-Table1[[#This Row],[claim_amount_paid]]</f>
        <v>2115.3407000000002</v>
      </c>
    </row>
    <row r="621" spans="1:27" x14ac:dyDescent="0.35">
      <c r="A621" t="s">
        <v>1902</v>
      </c>
      <c r="B621" t="s">
        <v>1903</v>
      </c>
      <c r="C621" t="s">
        <v>1904</v>
      </c>
      <c r="D621" s="1">
        <v>42494</v>
      </c>
      <c r="E621" s="1">
        <v>44128</v>
      </c>
      <c r="F621" s="1">
        <v>44133</v>
      </c>
      <c r="G621">
        <v>5</v>
      </c>
      <c r="H621">
        <v>90.53</v>
      </c>
      <c r="I621">
        <v>1086.3599999999999</v>
      </c>
      <c r="J621">
        <v>2000</v>
      </c>
      <c r="K621" t="s">
        <v>27</v>
      </c>
      <c r="L621">
        <v>2000</v>
      </c>
      <c r="M621">
        <v>7.58</v>
      </c>
      <c r="N621" t="s">
        <v>36</v>
      </c>
      <c r="O621">
        <v>91</v>
      </c>
      <c r="P621">
        <v>44</v>
      </c>
      <c r="Q621">
        <v>1</v>
      </c>
      <c r="R621">
        <v>6</v>
      </c>
      <c r="S621" t="s">
        <v>37</v>
      </c>
      <c r="T621" t="s">
        <v>50</v>
      </c>
      <c r="U621" t="s">
        <v>38</v>
      </c>
      <c r="V621" t="s">
        <v>32</v>
      </c>
      <c r="W621">
        <v>0</v>
      </c>
      <c r="X621">
        <v>0</v>
      </c>
      <c r="Y621" s="2">
        <f>Table1[[#This Row],[premium_yearly]]*Table1[[#This Row],[tenure_years]]</f>
        <v>8234.6088</v>
      </c>
      <c r="Z621" s="2">
        <f>Table1[[#This Row],[total_collected_premiums]]*(1-$AD$2)</f>
        <v>6011.264424</v>
      </c>
      <c r="AA621" s="2">
        <f>Table1[[#This Row],[retained_premium]]-Table1[[#This Row],[claim_amount_paid]]</f>
        <v>4011.264424</v>
      </c>
    </row>
    <row r="622" spans="1:27" x14ac:dyDescent="0.35">
      <c r="A622" t="s">
        <v>1905</v>
      </c>
      <c r="B622" t="s">
        <v>1906</v>
      </c>
      <c r="C622" t="s">
        <v>1907</v>
      </c>
      <c r="D622" s="1">
        <v>42481</v>
      </c>
      <c r="E622" s="1">
        <v>44125</v>
      </c>
      <c r="F622" s="1">
        <v>44130</v>
      </c>
      <c r="G622">
        <v>5</v>
      </c>
      <c r="H622">
        <v>78.13</v>
      </c>
      <c r="I622">
        <v>937.56</v>
      </c>
      <c r="J622">
        <v>3000</v>
      </c>
      <c r="K622" t="s">
        <v>27</v>
      </c>
      <c r="L622">
        <v>3000</v>
      </c>
      <c r="M622">
        <v>8.25</v>
      </c>
      <c r="N622" t="s">
        <v>49</v>
      </c>
      <c r="O622">
        <v>99</v>
      </c>
      <c r="P622">
        <v>58</v>
      </c>
      <c r="Q622">
        <v>1</v>
      </c>
      <c r="R622">
        <v>3</v>
      </c>
      <c r="S622" t="s">
        <v>65</v>
      </c>
      <c r="T622" t="s">
        <v>50</v>
      </c>
      <c r="U622" t="s">
        <v>31</v>
      </c>
      <c r="V622" t="s">
        <v>45</v>
      </c>
      <c r="W622">
        <v>0</v>
      </c>
      <c r="X622">
        <v>1</v>
      </c>
      <c r="Y622" s="2">
        <f>Table1[[#This Row],[premium_yearly]]*Table1[[#This Row],[tenure_years]]</f>
        <v>7734.87</v>
      </c>
      <c r="Z622" s="2">
        <f>Table1[[#This Row],[total_collected_premiums]]*(1-$AD$2)</f>
        <v>5646.4551000000001</v>
      </c>
      <c r="AA622" s="2">
        <f>Table1[[#This Row],[retained_premium]]-Table1[[#This Row],[claim_amount_paid]]</f>
        <v>2646.4551000000001</v>
      </c>
    </row>
    <row r="623" spans="1:27" x14ac:dyDescent="0.35">
      <c r="A623" t="s">
        <v>1908</v>
      </c>
      <c r="B623" t="s">
        <v>1909</v>
      </c>
      <c r="C623" t="s">
        <v>1910</v>
      </c>
      <c r="D623" s="1">
        <v>41325</v>
      </c>
      <c r="E623" s="1">
        <v>44136</v>
      </c>
      <c r="F623" s="1">
        <v>44138</v>
      </c>
      <c r="G623">
        <v>2</v>
      </c>
      <c r="H623">
        <v>114.01</v>
      </c>
      <c r="I623">
        <v>1368.12</v>
      </c>
      <c r="J623">
        <v>6000</v>
      </c>
      <c r="K623" t="s">
        <v>27</v>
      </c>
      <c r="L623">
        <v>6000</v>
      </c>
      <c r="M623">
        <v>3.92</v>
      </c>
      <c r="N623" t="s">
        <v>49</v>
      </c>
      <c r="O623">
        <v>47</v>
      </c>
      <c r="P623">
        <v>25</v>
      </c>
      <c r="Q623">
        <v>0</v>
      </c>
      <c r="R623">
        <v>6</v>
      </c>
      <c r="S623" t="s">
        <v>29</v>
      </c>
      <c r="T623" t="s">
        <v>44</v>
      </c>
      <c r="U623" t="s">
        <v>38</v>
      </c>
      <c r="V623" t="s">
        <v>32</v>
      </c>
      <c r="W623">
        <v>1</v>
      </c>
      <c r="X623">
        <v>1</v>
      </c>
      <c r="Y623" s="2">
        <f>Table1[[#This Row],[premium_yearly]]*Table1[[#This Row],[tenure_years]]</f>
        <v>5363.0303999999996</v>
      </c>
      <c r="Z623" s="2">
        <f>Table1[[#This Row],[total_collected_premiums]]*(1-$AD$2)</f>
        <v>3915.0121919999997</v>
      </c>
      <c r="AA623" s="2">
        <f>Table1[[#This Row],[retained_premium]]-Table1[[#This Row],[claim_amount_paid]]</f>
        <v>-2084.9878080000003</v>
      </c>
    </row>
    <row r="624" spans="1:27" x14ac:dyDescent="0.35">
      <c r="A624" t="s">
        <v>1911</v>
      </c>
      <c r="B624" t="s">
        <v>1912</v>
      </c>
      <c r="C624" t="s">
        <v>1913</v>
      </c>
      <c r="D624" s="1">
        <v>42812</v>
      </c>
      <c r="E624" s="1">
        <v>44140</v>
      </c>
      <c r="F624" s="1">
        <v>44140</v>
      </c>
      <c r="G624">
        <v>0</v>
      </c>
      <c r="H624">
        <v>117.5</v>
      </c>
      <c r="I624">
        <v>1410</v>
      </c>
      <c r="J624">
        <v>6000</v>
      </c>
      <c r="K624" t="s">
        <v>27</v>
      </c>
      <c r="L624">
        <v>6000</v>
      </c>
      <c r="M624">
        <v>5.08</v>
      </c>
      <c r="N624" t="s">
        <v>36</v>
      </c>
      <c r="O624">
        <v>61</v>
      </c>
      <c r="P624">
        <v>52</v>
      </c>
      <c r="Q624">
        <v>0</v>
      </c>
      <c r="R624">
        <v>6</v>
      </c>
      <c r="S624" t="s">
        <v>29</v>
      </c>
      <c r="T624" t="s">
        <v>50</v>
      </c>
      <c r="U624" t="s">
        <v>38</v>
      </c>
      <c r="V624" t="s">
        <v>32</v>
      </c>
      <c r="W624">
        <v>1</v>
      </c>
      <c r="X624">
        <v>0</v>
      </c>
      <c r="Y624" s="2">
        <f>Table1[[#This Row],[premium_yearly]]*Table1[[#This Row],[tenure_years]]</f>
        <v>7162.8</v>
      </c>
      <c r="Z624" s="2">
        <f>Table1[[#This Row],[total_collected_premiums]]*(1-$AD$2)</f>
        <v>5228.8440000000001</v>
      </c>
      <c r="AA624" s="2">
        <f>Table1[[#This Row],[retained_premium]]-Table1[[#This Row],[claim_amount_paid]]</f>
        <v>-771.15599999999995</v>
      </c>
    </row>
    <row r="625" spans="1:27" x14ac:dyDescent="0.35">
      <c r="A625" t="s">
        <v>1914</v>
      </c>
      <c r="B625" t="s">
        <v>1915</v>
      </c>
      <c r="C625" t="s">
        <v>1916</v>
      </c>
      <c r="D625" s="1">
        <v>43343</v>
      </c>
      <c r="E625" s="1">
        <v>44140</v>
      </c>
      <c r="F625" s="1">
        <v>44140</v>
      </c>
      <c r="G625">
        <v>0</v>
      </c>
      <c r="H625">
        <v>119.49</v>
      </c>
      <c r="I625">
        <v>1433.88</v>
      </c>
      <c r="J625">
        <v>1000</v>
      </c>
      <c r="K625" t="s">
        <v>27</v>
      </c>
      <c r="L625">
        <v>1000</v>
      </c>
      <c r="M625">
        <v>9.83</v>
      </c>
      <c r="N625" t="s">
        <v>49</v>
      </c>
      <c r="O625">
        <v>118</v>
      </c>
      <c r="P625">
        <v>34</v>
      </c>
      <c r="Q625">
        <v>1</v>
      </c>
      <c r="R625">
        <v>3</v>
      </c>
      <c r="S625" t="s">
        <v>29</v>
      </c>
      <c r="T625" t="s">
        <v>44</v>
      </c>
      <c r="U625" t="s">
        <v>38</v>
      </c>
      <c r="V625" t="s">
        <v>39</v>
      </c>
      <c r="W625">
        <v>1</v>
      </c>
      <c r="X625">
        <v>0</v>
      </c>
      <c r="Y625" s="2">
        <f>Table1[[#This Row],[premium_yearly]]*Table1[[#This Row],[tenure_years]]</f>
        <v>14095.040400000002</v>
      </c>
      <c r="Z625" s="2">
        <f>Table1[[#This Row],[total_collected_premiums]]*(1-$AD$2)</f>
        <v>10289.379492000002</v>
      </c>
      <c r="AA625" s="2">
        <f>Table1[[#This Row],[retained_premium]]-Table1[[#This Row],[claim_amount_paid]]</f>
        <v>9289.3794920000018</v>
      </c>
    </row>
    <row r="626" spans="1:27" x14ac:dyDescent="0.35">
      <c r="A626" t="s">
        <v>1917</v>
      </c>
      <c r="B626" t="s">
        <v>1918</v>
      </c>
      <c r="C626" t="s">
        <v>1919</v>
      </c>
      <c r="D626" s="1">
        <v>41269</v>
      </c>
      <c r="E626" s="1">
        <v>44139</v>
      </c>
      <c r="F626" s="1">
        <v>44140</v>
      </c>
      <c r="G626">
        <v>1</v>
      </c>
      <c r="H626">
        <v>96.97</v>
      </c>
      <c r="I626">
        <v>1163.6400000000001</v>
      </c>
      <c r="J626">
        <v>2000</v>
      </c>
      <c r="K626" t="s">
        <v>27</v>
      </c>
      <c r="L626">
        <v>2000</v>
      </c>
      <c r="M626">
        <v>0.83</v>
      </c>
      <c r="N626" t="s">
        <v>49</v>
      </c>
      <c r="O626">
        <v>10</v>
      </c>
      <c r="P626">
        <v>38</v>
      </c>
      <c r="Q626">
        <v>1</v>
      </c>
      <c r="R626">
        <v>6</v>
      </c>
      <c r="S626" t="s">
        <v>65</v>
      </c>
      <c r="T626" t="s">
        <v>50</v>
      </c>
      <c r="U626" t="s">
        <v>31</v>
      </c>
      <c r="V626" t="s">
        <v>45</v>
      </c>
      <c r="W626">
        <v>1</v>
      </c>
      <c r="X626">
        <v>1</v>
      </c>
      <c r="Y626" s="2">
        <f>Table1[[#This Row],[premium_yearly]]*Table1[[#This Row],[tenure_years]]</f>
        <v>965.82120000000009</v>
      </c>
      <c r="Z626" s="2">
        <f>Table1[[#This Row],[total_collected_premiums]]*(1-$AD$2)</f>
        <v>705.04947600000003</v>
      </c>
      <c r="AA626" s="2">
        <f>Table1[[#This Row],[retained_premium]]-Table1[[#This Row],[claim_amount_paid]]</f>
        <v>-1294.9505239999999</v>
      </c>
    </row>
    <row r="627" spans="1:27" x14ac:dyDescent="0.35">
      <c r="A627" t="s">
        <v>1920</v>
      </c>
      <c r="B627" t="s">
        <v>1921</v>
      </c>
      <c r="C627" t="s">
        <v>1922</v>
      </c>
      <c r="D627" s="1">
        <v>42062</v>
      </c>
      <c r="E627" s="1">
        <v>44140</v>
      </c>
      <c r="F627" s="1">
        <v>44140</v>
      </c>
      <c r="G627">
        <v>0</v>
      </c>
      <c r="H627">
        <v>107.17</v>
      </c>
      <c r="I627">
        <v>1286.04</v>
      </c>
      <c r="J627">
        <v>1000</v>
      </c>
      <c r="K627" t="s">
        <v>27</v>
      </c>
      <c r="L627">
        <v>1000</v>
      </c>
      <c r="M627">
        <v>4.42</v>
      </c>
      <c r="N627" t="s">
        <v>36</v>
      </c>
      <c r="O627">
        <v>53</v>
      </c>
      <c r="P627">
        <v>46</v>
      </c>
      <c r="Q627">
        <v>0</v>
      </c>
      <c r="R627">
        <v>7</v>
      </c>
      <c r="S627" t="s">
        <v>29</v>
      </c>
      <c r="T627" t="s">
        <v>50</v>
      </c>
      <c r="U627" t="s">
        <v>66</v>
      </c>
      <c r="V627" t="s">
        <v>39</v>
      </c>
      <c r="W627">
        <v>1</v>
      </c>
      <c r="X627">
        <v>0</v>
      </c>
      <c r="Y627" s="2">
        <f>Table1[[#This Row],[premium_yearly]]*Table1[[#This Row],[tenure_years]]</f>
        <v>5684.2968000000001</v>
      </c>
      <c r="Z627" s="2">
        <f>Table1[[#This Row],[total_collected_premiums]]*(1-$AD$2)</f>
        <v>4149.5366640000002</v>
      </c>
      <c r="AA627" s="2">
        <f>Table1[[#This Row],[retained_premium]]-Table1[[#This Row],[claim_amount_paid]]</f>
        <v>3149.5366640000002</v>
      </c>
    </row>
    <row r="628" spans="1:27" x14ac:dyDescent="0.35">
      <c r="A628" t="s">
        <v>1923</v>
      </c>
      <c r="B628" t="s">
        <v>1924</v>
      </c>
      <c r="C628" t="s">
        <v>1925</v>
      </c>
      <c r="D628" s="1">
        <v>43093</v>
      </c>
      <c r="E628" s="1">
        <v>44141</v>
      </c>
      <c r="F628" s="1">
        <v>44141</v>
      </c>
      <c r="G628">
        <v>0</v>
      </c>
      <c r="H628">
        <v>76.5</v>
      </c>
      <c r="I628">
        <v>918</v>
      </c>
      <c r="J628">
        <v>4000</v>
      </c>
      <c r="K628" t="s">
        <v>27</v>
      </c>
      <c r="L628">
        <v>4000</v>
      </c>
      <c r="M628">
        <v>4.67</v>
      </c>
      <c r="N628" t="s">
        <v>28</v>
      </c>
      <c r="O628">
        <v>56</v>
      </c>
      <c r="P628">
        <v>33</v>
      </c>
      <c r="Q628">
        <v>1</v>
      </c>
      <c r="R628">
        <v>6</v>
      </c>
      <c r="S628" t="s">
        <v>29</v>
      </c>
      <c r="T628" t="s">
        <v>44</v>
      </c>
      <c r="U628" t="s">
        <v>31</v>
      </c>
      <c r="V628" t="s">
        <v>39</v>
      </c>
      <c r="W628">
        <v>1</v>
      </c>
      <c r="X628">
        <v>1</v>
      </c>
      <c r="Y628" s="2">
        <f>Table1[[#This Row],[premium_yearly]]*Table1[[#This Row],[tenure_years]]</f>
        <v>4287.0599999999995</v>
      </c>
      <c r="Z628" s="2">
        <f>Table1[[#This Row],[total_collected_premiums]]*(1-$AD$2)</f>
        <v>3129.5537999999997</v>
      </c>
      <c r="AA628" s="2">
        <f>Table1[[#This Row],[retained_premium]]-Table1[[#This Row],[claim_amount_paid]]</f>
        <v>-870.44620000000032</v>
      </c>
    </row>
    <row r="629" spans="1:27" x14ac:dyDescent="0.35">
      <c r="A629" t="s">
        <v>1926</v>
      </c>
      <c r="B629" t="s">
        <v>1927</v>
      </c>
      <c r="C629" t="s">
        <v>1928</v>
      </c>
      <c r="D629" s="1">
        <v>42443</v>
      </c>
      <c r="E629" s="1">
        <v>44125</v>
      </c>
      <c r="F629" s="1">
        <v>44130</v>
      </c>
      <c r="G629">
        <v>5</v>
      </c>
      <c r="H629">
        <v>88.37</v>
      </c>
      <c r="I629">
        <v>1060.44</v>
      </c>
      <c r="J629">
        <v>4000</v>
      </c>
      <c r="K629" t="s">
        <v>27</v>
      </c>
      <c r="L629">
        <v>4000</v>
      </c>
      <c r="M629">
        <v>7.83</v>
      </c>
      <c r="N629" t="s">
        <v>28</v>
      </c>
      <c r="O629">
        <v>94</v>
      </c>
      <c r="P629">
        <v>28</v>
      </c>
      <c r="Q629">
        <v>0</v>
      </c>
      <c r="R629">
        <v>5</v>
      </c>
      <c r="S629" t="s">
        <v>29</v>
      </c>
      <c r="T629" t="s">
        <v>50</v>
      </c>
      <c r="U629" t="s">
        <v>66</v>
      </c>
      <c r="V629" t="s">
        <v>32</v>
      </c>
      <c r="W629">
        <v>1</v>
      </c>
      <c r="X629">
        <v>1</v>
      </c>
      <c r="Y629" s="2">
        <f>Table1[[#This Row],[premium_yearly]]*Table1[[#This Row],[tenure_years]]</f>
        <v>8303.2452000000012</v>
      </c>
      <c r="Z629" s="2">
        <f>Table1[[#This Row],[total_collected_premiums]]*(1-$AD$2)</f>
        <v>6061.3689960000011</v>
      </c>
      <c r="AA629" s="2">
        <f>Table1[[#This Row],[retained_premium]]-Table1[[#This Row],[claim_amount_paid]]</f>
        <v>2061.3689960000011</v>
      </c>
    </row>
    <row r="630" spans="1:27" x14ac:dyDescent="0.35">
      <c r="A630" t="s">
        <v>1929</v>
      </c>
      <c r="B630" t="s">
        <v>1930</v>
      </c>
      <c r="C630" t="s">
        <v>1931</v>
      </c>
      <c r="D630" s="1">
        <v>42542</v>
      </c>
      <c r="E630" s="1">
        <v>44135</v>
      </c>
      <c r="F630" s="1">
        <v>44138</v>
      </c>
      <c r="G630">
        <v>3</v>
      </c>
      <c r="H630">
        <v>74.06</v>
      </c>
      <c r="I630">
        <v>888.72</v>
      </c>
      <c r="J630">
        <v>8000</v>
      </c>
      <c r="K630" t="s">
        <v>27</v>
      </c>
      <c r="L630">
        <v>8000</v>
      </c>
      <c r="M630">
        <v>1.75</v>
      </c>
      <c r="N630" t="s">
        <v>49</v>
      </c>
      <c r="O630">
        <v>21</v>
      </c>
      <c r="P630">
        <v>49</v>
      </c>
      <c r="Q630">
        <v>1</v>
      </c>
      <c r="R630">
        <v>6</v>
      </c>
      <c r="S630" t="s">
        <v>65</v>
      </c>
      <c r="T630" t="s">
        <v>50</v>
      </c>
      <c r="U630" t="s">
        <v>38</v>
      </c>
      <c r="V630" t="s">
        <v>45</v>
      </c>
      <c r="W630">
        <v>1</v>
      </c>
      <c r="X630">
        <v>1</v>
      </c>
      <c r="Y630" s="2">
        <f>Table1[[#This Row],[premium_yearly]]*Table1[[#This Row],[tenure_years]]</f>
        <v>1555.26</v>
      </c>
      <c r="Z630" s="2">
        <f>Table1[[#This Row],[total_collected_premiums]]*(1-$AD$2)</f>
        <v>1135.3398</v>
      </c>
      <c r="AA630" s="2">
        <f>Table1[[#This Row],[retained_premium]]-Table1[[#This Row],[claim_amount_paid]]</f>
        <v>-6864.6602000000003</v>
      </c>
    </row>
    <row r="631" spans="1:27" x14ac:dyDescent="0.35">
      <c r="A631" t="s">
        <v>1932</v>
      </c>
      <c r="B631" t="s">
        <v>1933</v>
      </c>
      <c r="C631" t="s">
        <v>1934</v>
      </c>
      <c r="D631" s="1">
        <v>41995</v>
      </c>
      <c r="E631" s="1">
        <v>44138</v>
      </c>
      <c r="F631" s="1">
        <v>44140</v>
      </c>
      <c r="G631">
        <v>2</v>
      </c>
      <c r="H631">
        <v>114.7</v>
      </c>
      <c r="I631">
        <v>1376.4</v>
      </c>
      <c r="J631">
        <v>9000</v>
      </c>
      <c r="K631" t="s">
        <v>27</v>
      </c>
      <c r="L631">
        <v>9000</v>
      </c>
      <c r="M631">
        <v>2.58</v>
      </c>
      <c r="N631" t="s">
        <v>36</v>
      </c>
      <c r="O631">
        <v>31</v>
      </c>
      <c r="P631">
        <v>53</v>
      </c>
      <c r="Q631">
        <v>1</v>
      </c>
      <c r="R631">
        <v>2</v>
      </c>
      <c r="S631" t="s">
        <v>37</v>
      </c>
      <c r="T631" t="s">
        <v>44</v>
      </c>
      <c r="U631" t="s">
        <v>38</v>
      </c>
      <c r="V631" t="s">
        <v>39</v>
      </c>
      <c r="W631">
        <v>0</v>
      </c>
      <c r="X631">
        <v>1</v>
      </c>
      <c r="Y631" s="2">
        <f>Table1[[#This Row],[premium_yearly]]*Table1[[#This Row],[tenure_years]]</f>
        <v>3551.1120000000005</v>
      </c>
      <c r="Z631" s="2">
        <f>Table1[[#This Row],[total_collected_premiums]]*(1-$AD$2)</f>
        <v>2592.3117600000005</v>
      </c>
      <c r="AA631" s="2">
        <f>Table1[[#This Row],[retained_premium]]-Table1[[#This Row],[claim_amount_paid]]</f>
        <v>-6407.6882399999995</v>
      </c>
    </row>
    <row r="632" spans="1:27" x14ac:dyDescent="0.35">
      <c r="A632" t="s">
        <v>1935</v>
      </c>
      <c r="B632" t="s">
        <v>1936</v>
      </c>
      <c r="C632" t="s">
        <v>1937</v>
      </c>
      <c r="D632" s="1">
        <v>41177</v>
      </c>
      <c r="E632" s="1">
        <v>44138</v>
      </c>
      <c r="F632" s="1">
        <v>44140</v>
      </c>
      <c r="G632">
        <v>2</v>
      </c>
      <c r="H632">
        <v>125.65</v>
      </c>
      <c r="I632">
        <v>1507.8</v>
      </c>
      <c r="J632">
        <v>8000</v>
      </c>
      <c r="K632" t="s">
        <v>27</v>
      </c>
      <c r="L632">
        <v>8000</v>
      </c>
      <c r="M632">
        <v>7.08</v>
      </c>
      <c r="N632" t="s">
        <v>36</v>
      </c>
      <c r="O632">
        <v>85</v>
      </c>
      <c r="P632">
        <v>53</v>
      </c>
      <c r="Q632">
        <v>1</v>
      </c>
      <c r="R632">
        <v>5</v>
      </c>
      <c r="S632" t="s">
        <v>37</v>
      </c>
      <c r="T632" t="s">
        <v>30</v>
      </c>
      <c r="U632" t="s">
        <v>58</v>
      </c>
      <c r="V632" t="s">
        <v>32</v>
      </c>
      <c r="W632">
        <v>0</v>
      </c>
      <c r="X632">
        <v>1</v>
      </c>
      <c r="Y632" s="2">
        <f>Table1[[#This Row],[premium_yearly]]*Table1[[#This Row],[tenure_years]]</f>
        <v>10675.224</v>
      </c>
      <c r="Z632" s="2">
        <f>Table1[[#This Row],[total_collected_premiums]]*(1-$AD$2)</f>
        <v>7792.9135200000001</v>
      </c>
      <c r="AA632" s="2">
        <f>Table1[[#This Row],[retained_premium]]-Table1[[#This Row],[claim_amount_paid]]</f>
        <v>-207.08647999999994</v>
      </c>
    </row>
    <row r="633" spans="1:27" x14ac:dyDescent="0.35">
      <c r="A633" t="s">
        <v>1938</v>
      </c>
      <c r="B633" t="s">
        <v>1939</v>
      </c>
      <c r="C633" t="s">
        <v>1940</v>
      </c>
      <c r="D633" s="1">
        <v>42546</v>
      </c>
      <c r="E633" s="1">
        <v>44138</v>
      </c>
      <c r="F633" s="1">
        <v>44140</v>
      </c>
      <c r="G633">
        <v>2</v>
      </c>
      <c r="H633">
        <v>109.13</v>
      </c>
      <c r="I633">
        <v>1309.56</v>
      </c>
      <c r="J633">
        <v>4000</v>
      </c>
      <c r="K633" t="s">
        <v>27</v>
      </c>
      <c r="L633">
        <v>4000</v>
      </c>
      <c r="M633">
        <v>2.75</v>
      </c>
      <c r="N633" t="s">
        <v>36</v>
      </c>
      <c r="O633">
        <v>33</v>
      </c>
      <c r="P633">
        <v>62</v>
      </c>
      <c r="Q633">
        <v>0</v>
      </c>
      <c r="R633">
        <v>6</v>
      </c>
      <c r="S633" t="s">
        <v>65</v>
      </c>
      <c r="T633" t="s">
        <v>30</v>
      </c>
      <c r="U633" t="s">
        <v>88</v>
      </c>
      <c r="V633" t="s">
        <v>45</v>
      </c>
      <c r="W633">
        <v>1</v>
      </c>
      <c r="X633">
        <v>1</v>
      </c>
      <c r="Y633" s="2">
        <f>Table1[[#This Row],[premium_yearly]]*Table1[[#This Row],[tenure_years]]</f>
        <v>3601.29</v>
      </c>
      <c r="Z633" s="2">
        <f>Table1[[#This Row],[total_collected_premiums]]*(1-$AD$2)</f>
        <v>2628.9416999999999</v>
      </c>
      <c r="AA633" s="2">
        <f>Table1[[#This Row],[retained_premium]]-Table1[[#This Row],[claim_amount_paid]]</f>
        <v>-1371.0583000000001</v>
      </c>
    </row>
    <row r="634" spans="1:27" x14ac:dyDescent="0.35">
      <c r="A634" t="s">
        <v>1941</v>
      </c>
      <c r="B634" t="s">
        <v>1942</v>
      </c>
      <c r="C634" t="s">
        <v>1943</v>
      </c>
      <c r="D634" s="1">
        <v>40750</v>
      </c>
      <c r="E634" s="1">
        <v>44141</v>
      </c>
      <c r="F634" s="1">
        <v>44141</v>
      </c>
      <c r="G634">
        <v>0</v>
      </c>
      <c r="H634">
        <v>118.32</v>
      </c>
      <c r="I634">
        <v>1419.84</v>
      </c>
      <c r="J634">
        <v>4000</v>
      </c>
      <c r="K634" t="s">
        <v>27</v>
      </c>
      <c r="L634">
        <v>4000</v>
      </c>
      <c r="M634">
        <v>2.42</v>
      </c>
      <c r="N634" t="s">
        <v>49</v>
      </c>
      <c r="O634">
        <v>29</v>
      </c>
      <c r="P634">
        <v>47</v>
      </c>
      <c r="Q634">
        <v>1</v>
      </c>
      <c r="R634">
        <v>5</v>
      </c>
      <c r="S634" t="s">
        <v>37</v>
      </c>
      <c r="T634" t="s">
        <v>30</v>
      </c>
      <c r="U634" t="s">
        <v>31</v>
      </c>
      <c r="V634" t="s">
        <v>45</v>
      </c>
      <c r="W634">
        <v>1</v>
      </c>
      <c r="X634">
        <v>1</v>
      </c>
      <c r="Y634" s="2">
        <f>Table1[[#This Row],[premium_yearly]]*Table1[[#This Row],[tenure_years]]</f>
        <v>3436.0127999999995</v>
      </c>
      <c r="Z634" s="2">
        <f>Table1[[#This Row],[total_collected_premiums]]*(1-$AD$2)</f>
        <v>2508.2893439999998</v>
      </c>
      <c r="AA634" s="2">
        <f>Table1[[#This Row],[retained_premium]]-Table1[[#This Row],[claim_amount_paid]]</f>
        <v>-1491.7106560000002</v>
      </c>
    </row>
    <row r="635" spans="1:27" x14ac:dyDescent="0.35">
      <c r="A635" t="s">
        <v>1944</v>
      </c>
      <c r="B635" t="s">
        <v>1945</v>
      </c>
      <c r="C635" t="s">
        <v>1946</v>
      </c>
      <c r="D635" s="1">
        <v>41720</v>
      </c>
      <c r="E635" s="1">
        <v>44130</v>
      </c>
      <c r="F635" s="1">
        <v>44135</v>
      </c>
      <c r="G635">
        <v>5</v>
      </c>
      <c r="H635">
        <v>106.82</v>
      </c>
      <c r="I635">
        <v>1281.8399999999999</v>
      </c>
      <c r="J635">
        <v>5000</v>
      </c>
      <c r="K635" t="s">
        <v>27</v>
      </c>
      <c r="L635">
        <v>5000</v>
      </c>
      <c r="M635">
        <v>1.17</v>
      </c>
      <c r="N635" t="s">
        <v>36</v>
      </c>
      <c r="O635">
        <v>14</v>
      </c>
      <c r="P635">
        <v>42</v>
      </c>
      <c r="Q635">
        <v>1</v>
      </c>
      <c r="R635">
        <v>5</v>
      </c>
      <c r="S635" t="s">
        <v>65</v>
      </c>
      <c r="T635" t="s">
        <v>30</v>
      </c>
      <c r="U635" t="s">
        <v>31</v>
      </c>
      <c r="V635" t="s">
        <v>45</v>
      </c>
      <c r="W635">
        <v>1</v>
      </c>
      <c r="X635">
        <v>0</v>
      </c>
      <c r="Y635" s="2">
        <f>Table1[[#This Row],[premium_yearly]]*Table1[[#This Row],[tenure_years]]</f>
        <v>1499.7527999999998</v>
      </c>
      <c r="Z635" s="2">
        <f>Table1[[#This Row],[total_collected_premiums]]*(1-$AD$2)</f>
        <v>1094.8195439999997</v>
      </c>
      <c r="AA635" s="2">
        <f>Table1[[#This Row],[retained_premium]]-Table1[[#This Row],[claim_amount_paid]]</f>
        <v>-3905.180456</v>
      </c>
    </row>
    <row r="636" spans="1:27" x14ac:dyDescent="0.35">
      <c r="A636" t="s">
        <v>1947</v>
      </c>
      <c r="B636" t="s">
        <v>1948</v>
      </c>
      <c r="C636" t="s">
        <v>1949</v>
      </c>
      <c r="D636" s="1">
        <v>41839</v>
      </c>
      <c r="E636" s="1">
        <v>44142</v>
      </c>
      <c r="F636" s="1">
        <v>44142</v>
      </c>
      <c r="G636">
        <v>0</v>
      </c>
      <c r="H636">
        <v>111.26</v>
      </c>
      <c r="I636">
        <v>1335.12</v>
      </c>
      <c r="J636">
        <v>5000</v>
      </c>
      <c r="K636" t="s">
        <v>27</v>
      </c>
      <c r="L636">
        <v>5000</v>
      </c>
      <c r="M636">
        <v>2.08</v>
      </c>
      <c r="N636" t="s">
        <v>36</v>
      </c>
      <c r="O636">
        <v>25</v>
      </c>
      <c r="P636">
        <v>52</v>
      </c>
      <c r="Q636">
        <v>1</v>
      </c>
      <c r="R636">
        <v>2</v>
      </c>
      <c r="S636" t="s">
        <v>29</v>
      </c>
      <c r="T636" t="s">
        <v>30</v>
      </c>
      <c r="U636" t="s">
        <v>38</v>
      </c>
      <c r="V636" t="s">
        <v>32</v>
      </c>
      <c r="W636">
        <v>0</v>
      </c>
      <c r="X636">
        <v>0</v>
      </c>
      <c r="Y636" s="2">
        <f>Table1[[#This Row],[premium_yearly]]*Table1[[#This Row],[tenure_years]]</f>
        <v>2777.0495999999998</v>
      </c>
      <c r="Z636" s="2">
        <f>Table1[[#This Row],[total_collected_premiums]]*(1-$AD$2)</f>
        <v>2027.2462079999998</v>
      </c>
      <c r="AA636" s="2">
        <f>Table1[[#This Row],[retained_premium]]-Table1[[#This Row],[claim_amount_paid]]</f>
        <v>-2972.7537920000004</v>
      </c>
    </row>
    <row r="637" spans="1:27" x14ac:dyDescent="0.35">
      <c r="A637" t="s">
        <v>1950</v>
      </c>
      <c r="B637" t="s">
        <v>1951</v>
      </c>
      <c r="C637" t="s">
        <v>1952</v>
      </c>
      <c r="D637" s="1">
        <v>41117</v>
      </c>
      <c r="E637" s="1">
        <v>44140</v>
      </c>
      <c r="F637" s="1">
        <v>44141</v>
      </c>
      <c r="G637">
        <v>1</v>
      </c>
      <c r="H637">
        <v>83.16</v>
      </c>
      <c r="I637">
        <v>997.92</v>
      </c>
      <c r="J637">
        <v>3000</v>
      </c>
      <c r="K637" t="s">
        <v>27</v>
      </c>
      <c r="L637">
        <v>3000</v>
      </c>
      <c r="M637">
        <v>6.92</v>
      </c>
      <c r="N637" t="s">
        <v>28</v>
      </c>
      <c r="O637">
        <v>83</v>
      </c>
      <c r="P637">
        <v>60</v>
      </c>
      <c r="Q637">
        <v>0</v>
      </c>
      <c r="R637">
        <v>5</v>
      </c>
      <c r="S637" t="s">
        <v>29</v>
      </c>
      <c r="T637" t="s">
        <v>44</v>
      </c>
      <c r="U637" t="s">
        <v>31</v>
      </c>
      <c r="V637" t="s">
        <v>45</v>
      </c>
      <c r="W637">
        <v>1</v>
      </c>
      <c r="X637">
        <v>0</v>
      </c>
      <c r="Y637" s="2">
        <f>Table1[[#This Row],[premium_yearly]]*Table1[[#This Row],[tenure_years]]</f>
        <v>6905.6063999999997</v>
      </c>
      <c r="Z637" s="2">
        <f>Table1[[#This Row],[total_collected_premiums]]*(1-$AD$2)</f>
        <v>5041.0926719999998</v>
      </c>
      <c r="AA637" s="2">
        <f>Table1[[#This Row],[retained_premium]]-Table1[[#This Row],[claim_amount_paid]]</f>
        <v>2041.0926719999998</v>
      </c>
    </row>
    <row r="638" spans="1:27" x14ac:dyDescent="0.35">
      <c r="A638" t="s">
        <v>1953</v>
      </c>
      <c r="B638" t="s">
        <v>1954</v>
      </c>
      <c r="C638" t="s">
        <v>1955</v>
      </c>
      <c r="D638" s="1">
        <v>43456</v>
      </c>
      <c r="E638" s="1">
        <v>44126</v>
      </c>
      <c r="F638" s="1">
        <v>44131</v>
      </c>
      <c r="G638">
        <v>5</v>
      </c>
      <c r="H638">
        <v>137.94999999999999</v>
      </c>
      <c r="I638">
        <v>1655.4</v>
      </c>
      <c r="J638">
        <v>6000</v>
      </c>
      <c r="K638" t="s">
        <v>43</v>
      </c>
      <c r="L638">
        <v>0</v>
      </c>
      <c r="M638">
        <v>2.08</v>
      </c>
      <c r="N638" t="s">
        <v>36</v>
      </c>
      <c r="O638">
        <v>25</v>
      </c>
      <c r="P638">
        <v>48</v>
      </c>
      <c r="Q638">
        <v>1</v>
      </c>
      <c r="R638">
        <v>2</v>
      </c>
      <c r="S638" t="s">
        <v>65</v>
      </c>
      <c r="T638" t="s">
        <v>44</v>
      </c>
      <c r="U638" t="s">
        <v>31</v>
      </c>
      <c r="V638" t="s">
        <v>39</v>
      </c>
      <c r="W638">
        <v>1</v>
      </c>
      <c r="X638">
        <v>0</v>
      </c>
      <c r="Y638" s="2">
        <f>Table1[[#This Row],[premium_yearly]]*Table1[[#This Row],[tenure_years]]</f>
        <v>3443.2320000000004</v>
      </c>
      <c r="Z638" s="2">
        <f>Table1[[#This Row],[total_collected_premiums]]*(1-$AD$2)</f>
        <v>2513.5593600000002</v>
      </c>
      <c r="AA638" s="2">
        <f>Table1[[#This Row],[retained_premium]]-Table1[[#This Row],[claim_amount_paid]]</f>
        <v>2513.5593600000002</v>
      </c>
    </row>
    <row r="639" spans="1:27" x14ac:dyDescent="0.35">
      <c r="A639" t="s">
        <v>1956</v>
      </c>
      <c r="B639" t="s">
        <v>1957</v>
      </c>
      <c r="C639" t="s">
        <v>1958</v>
      </c>
      <c r="D639" s="1">
        <v>42737</v>
      </c>
      <c r="E639" s="1">
        <v>44125</v>
      </c>
      <c r="F639" s="1">
        <v>44130</v>
      </c>
      <c r="G639">
        <v>5</v>
      </c>
      <c r="H639">
        <v>132.18</v>
      </c>
      <c r="I639">
        <v>1586.16</v>
      </c>
      <c r="J639">
        <v>4000</v>
      </c>
      <c r="K639" t="s">
        <v>27</v>
      </c>
      <c r="L639">
        <v>4000</v>
      </c>
      <c r="M639">
        <v>9.17</v>
      </c>
      <c r="N639" t="s">
        <v>28</v>
      </c>
      <c r="O639">
        <v>110</v>
      </c>
      <c r="P639">
        <v>52</v>
      </c>
      <c r="Q639">
        <v>1</v>
      </c>
      <c r="R639">
        <v>7</v>
      </c>
      <c r="S639" t="s">
        <v>29</v>
      </c>
      <c r="T639" t="s">
        <v>30</v>
      </c>
      <c r="U639" t="s">
        <v>31</v>
      </c>
      <c r="V639" t="s">
        <v>32</v>
      </c>
      <c r="W639">
        <v>1</v>
      </c>
      <c r="X639">
        <v>1</v>
      </c>
      <c r="Y639" s="2">
        <f>Table1[[#This Row],[premium_yearly]]*Table1[[#This Row],[tenure_years]]</f>
        <v>14545.0872</v>
      </c>
      <c r="Z639" s="2">
        <f>Table1[[#This Row],[total_collected_premiums]]*(1-$AD$2)</f>
        <v>10617.913655999999</v>
      </c>
      <c r="AA639" s="2">
        <f>Table1[[#This Row],[retained_premium]]-Table1[[#This Row],[claim_amount_paid]]</f>
        <v>6617.9136559999988</v>
      </c>
    </row>
    <row r="640" spans="1:27" x14ac:dyDescent="0.35">
      <c r="A640" t="s">
        <v>1959</v>
      </c>
      <c r="B640" t="s">
        <v>1960</v>
      </c>
      <c r="C640" t="s">
        <v>1961</v>
      </c>
      <c r="D640" s="1">
        <v>42182</v>
      </c>
      <c r="E640" s="1">
        <v>44129</v>
      </c>
      <c r="F640" s="1">
        <v>44134</v>
      </c>
      <c r="G640">
        <v>5</v>
      </c>
      <c r="H640">
        <v>82.35</v>
      </c>
      <c r="I640">
        <v>988.2</v>
      </c>
      <c r="J640">
        <v>10000</v>
      </c>
      <c r="K640" t="s">
        <v>27</v>
      </c>
      <c r="L640">
        <v>10000</v>
      </c>
      <c r="M640">
        <v>3.25</v>
      </c>
      <c r="N640" t="s">
        <v>49</v>
      </c>
      <c r="O640">
        <v>39</v>
      </c>
      <c r="P640">
        <v>58</v>
      </c>
      <c r="Q640">
        <v>1</v>
      </c>
      <c r="R640">
        <v>7</v>
      </c>
      <c r="S640" t="s">
        <v>65</v>
      </c>
      <c r="T640" t="s">
        <v>30</v>
      </c>
      <c r="U640" t="s">
        <v>38</v>
      </c>
      <c r="V640" t="s">
        <v>45</v>
      </c>
      <c r="W640">
        <v>0</v>
      </c>
      <c r="X640">
        <v>1</v>
      </c>
      <c r="Y640" s="2">
        <f>Table1[[#This Row],[premium_yearly]]*Table1[[#This Row],[tenure_years]]</f>
        <v>3211.65</v>
      </c>
      <c r="Z640" s="2">
        <f>Table1[[#This Row],[total_collected_premiums]]*(1-$AD$2)</f>
        <v>2344.5045</v>
      </c>
      <c r="AA640" s="2">
        <f>Table1[[#This Row],[retained_premium]]-Table1[[#This Row],[claim_amount_paid]]</f>
        <v>-7655.4955</v>
      </c>
    </row>
    <row r="641" spans="1:27" x14ac:dyDescent="0.35">
      <c r="A641" t="s">
        <v>1962</v>
      </c>
      <c r="B641" t="s">
        <v>1963</v>
      </c>
      <c r="C641" t="s">
        <v>1964</v>
      </c>
      <c r="D641" s="1">
        <v>42174</v>
      </c>
      <c r="E641" s="1">
        <v>44132</v>
      </c>
      <c r="F641" s="1">
        <v>44137</v>
      </c>
      <c r="G641">
        <v>5</v>
      </c>
      <c r="H641">
        <v>77.67</v>
      </c>
      <c r="I641">
        <v>932.04</v>
      </c>
      <c r="J641">
        <v>2000</v>
      </c>
      <c r="K641" t="s">
        <v>27</v>
      </c>
      <c r="L641">
        <v>2000</v>
      </c>
      <c r="M641">
        <v>6.08</v>
      </c>
      <c r="N641" t="s">
        <v>36</v>
      </c>
      <c r="O641">
        <v>73</v>
      </c>
      <c r="P641">
        <v>60</v>
      </c>
      <c r="Q641">
        <v>1</v>
      </c>
      <c r="R641">
        <v>2</v>
      </c>
      <c r="S641" t="s">
        <v>29</v>
      </c>
      <c r="T641" t="s">
        <v>44</v>
      </c>
      <c r="U641" t="s">
        <v>31</v>
      </c>
      <c r="V641" t="s">
        <v>45</v>
      </c>
      <c r="W641">
        <v>1</v>
      </c>
      <c r="X641">
        <v>1</v>
      </c>
      <c r="Y641" s="2">
        <f>Table1[[#This Row],[premium_yearly]]*Table1[[#This Row],[tenure_years]]</f>
        <v>5666.8032000000003</v>
      </c>
      <c r="Z641" s="2">
        <f>Table1[[#This Row],[total_collected_premiums]]*(1-$AD$2)</f>
        <v>4136.7663359999997</v>
      </c>
      <c r="AA641" s="2">
        <f>Table1[[#This Row],[retained_premium]]-Table1[[#This Row],[claim_amount_paid]]</f>
        <v>2136.7663359999997</v>
      </c>
    </row>
    <row r="642" spans="1:27" x14ac:dyDescent="0.35">
      <c r="A642" t="s">
        <v>1965</v>
      </c>
      <c r="B642" t="s">
        <v>1966</v>
      </c>
      <c r="C642" t="s">
        <v>1967</v>
      </c>
      <c r="D642" s="1">
        <v>41025</v>
      </c>
      <c r="E642" s="1">
        <v>44140</v>
      </c>
      <c r="F642" s="1">
        <v>44141</v>
      </c>
      <c r="G642">
        <v>1</v>
      </c>
      <c r="H642">
        <v>129.1</v>
      </c>
      <c r="I642">
        <v>1549.2</v>
      </c>
      <c r="J642">
        <v>9000</v>
      </c>
      <c r="K642" t="s">
        <v>27</v>
      </c>
      <c r="L642">
        <v>9000</v>
      </c>
      <c r="M642">
        <v>6.75</v>
      </c>
      <c r="N642" t="s">
        <v>28</v>
      </c>
      <c r="O642">
        <v>81</v>
      </c>
      <c r="P642">
        <v>64</v>
      </c>
      <c r="Q642">
        <v>0</v>
      </c>
      <c r="R642">
        <v>3</v>
      </c>
      <c r="S642" t="s">
        <v>65</v>
      </c>
      <c r="T642" t="s">
        <v>30</v>
      </c>
      <c r="U642" t="s">
        <v>31</v>
      </c>
      <c r="V642" t="s">
        <v>39</v>
      </c>
      <c r="W642">
        <v>0</v>
      </c>
      <c r="X642">
        <v>1</v>
      </c>
      <c r="Y642" s="2">
        <f>Table1[[#This Row],[premium_yearly]]*Table1[[#This Row],[tenure_years]]</f>
        <v>10457.1</v>
      </c>
      <c r="Z642" s="2">
        <f>Table1[[#This Row],[total_collected_premiums]]*(1-$AD$2)</f>
        <v>7633.683</v>
      </c>
      <c r="AA642" s="2">
        <f>Table1[[#This Row],[retained_premium]]-Table1[[#This Row],[claim_amount_paid]]</f>
        <v>-1366.317</v>
      </c>
    </row>
    <row r="643" spans="1:27" x14ac:dyDescent="0.35">
      <c r="A643" t="s">
        <v>1968</v>
      </c>
      <c r="B643" t="s">
        <v>1969</v>
      </c>
      <c r="C643" t="s">
        <v>1970</v>
      </c>
      <c r="D643" s="1">
        <v>43184</v>
      </c>
      <c r="E643" s="1">
        <v>44131</v>
      </c>
      <c r="F643" s="1">
        <v>44136</v>
      </c>
      <c r="G643">
        <v>5</v>
      </c>
      <c r="H643">
        <v>98.79</v>
      </c>
      <c r="I643">
        <v>1185.48</v>
      </c>
      <c r="J643">
        <v>9000</v>
      </c>
      <c r="K643" t="s">
        <v>27</v>
      </c>
      <c r="L643">
        <v>9000</v>
      </c>
      <c r="M643">
        <v>2.83</v>
      </c>
      <c r="N643" t="s">
        <v>36</v>
      </c>
      <c r="O643">
        <v>34</v>
      </c>
      <c r="P643">
        <v>57</v>
      </c>
      <c r="Q643">
        <v>1</v>
      </c>
      <c r="R643">
        <v>5</v>
      </c>
      <c r="S643" t="s">
        <v>37</v>
      </c>
      <c r="T643" t="s">
        <v>30</v>
      </c>
      <c r="U643" t="s">
        <v>38</v>
      </c>
      <c r="V643" t="s">
        <v>45</v>
      </c>
      <c r="W643">
        <v>1</v>
      </c>
      <c r="X643">
        <v>0</v>
      </c>
      <c r="Y643" s="2">
        <f>Table1[[#This Row],[premium_yearly]]*Table1[[#This Row],[tenure_years]]</f>
        <v>3354.9084000000003</v>
      </c>
      <c r="Z643" s="2">
        <f>Table1[[#This Row],[total_collected_premiums]]*(1-$AD$2)</f>
        <v>2449.0831320000002</v>
      </c>
      <c r="AA643" s="2">
        <f>Table1[[#This Row],[retained_premium]]-Table1[[#This Row],[claim_amount_paid]]</f>
        <v>-6550.9168680000002</v>
      </c>
    </row>
    <row r="644" spans="1:27" x14ac:dyDescent="0.35">
      <c r="A644" t="s">
        <v>1971</v>
      </c>
      <c r="B644" t="s">
        <v>1972</v>
      </c>
      <c r="C644" t="s">
        <v>1973</v>
      </c>
      <c r="D644" s="1">
        <v>43361</v>
      </c>
      <c r="E644" s="1">
        <v>44126</v>
      </c>
      <c r="F644" s="1">
        <v>44131</v>
      </c>
      <c r="G644">
        <v>5</v>
      </c>
      <c r="H644">
        <v>120.74</v>
      </c>
      <c r="I644">
        <v>1448.88</v>
      </c>
      <c r="J644">
        <v>7000</v>
      </c>
      <c r="K644" t="s">
        <v>27</v>
      </c>
      <c r="L644">
        <v>7000</v>
      </c>
      <c r="M644">
        <v>7</v>
      </c>
      <c r="N644" t="s">
        <v>49</v>
      </c>
      <c r="O644">
        <v>84</v>
      </c>
      <c r="P644">
        <v>64</v>
      </c>
      <c r="Q644">
        <v>0</v>
      </c>
      <c r="R644">
        <v>4</v>
      </c>
      <c r="S644" t="s">
        <v>65</v>
      </c>
      <c r="T644" t="s">
        <v>30</v>
      </c>
      <c r="U644" t="s">
        <v>38</v>
      </c>
      <c r="V644" t="s">
        <v>32</v>
      </c>
      <c r="W644">
        <v>1</v>
      </c>
      <c r="X644">
        <v>1</v>
      </c>
      <c r="Y644" s="2">
        <f>Table1[[#This Row],[premium_yearly]]*Table1[[#This Row],[tenure_years]]</f>
        <v>10142.16</v>
      </c>
      <c r="Z644" s="2">
        <f>Table1[[#This Row],[total_collected_premiums]]*(1-$AD$2)</f>
        <v>7403.7767999999996</v>
      </c>
      <c r="AA644" s="2">
        <f>Table1[[#This Row],[retained_premium]]-Table1[[#This Row],[claim_amount_paid]]</f>
        <v>403.77679999999964</v>
      </c>
    </row>
    <row r="645" spans="1:27" x14ac:dyDescent="0.35">
      <c r="A645" t="s">
        <v>1974</v>
      </c>
      <c r="B645" t="s">
        <v>1975</v>
      </c>
      <c r="C645" t="s">
        <v>1976</v>
      </c>
      <c r="D645" s="1">
        <v>41333</v>
      </c>
      <c r="E645" s="1">
        <v>44146</v>
      </c>
      <c r="F645" s="1">
        <v>44146</v>
      </c>
      <c r="G645">
        <v>0</v>
      </c>
      <c r="H645">
        <v>112.97</v>
      </c>
      <c r="I645">
        <v>1355.64</v>
      </c>
      <c r="J645">
        <v>5000</v>
      </c>
      <c r="K645" t="s">
        <v>27</v>
      </c>
      <c r="L645">
        <v>5000</v>
      </c>
      <c r="M645">
        <v>2.5</v>
      </c>
      <c r="N645" t="s">
        <v>28</v>
      </c>
      <c r="O645">
        <v>30</v>
      </c>
      <c r="P645">
        <v>52</v>
      </c>
      <c r="Q645">
        <v>1</v>
      </c>
      <c r="R645">
        <v>6</v>
      </c>
      <c r="S645" t="s">
        <v>65</v>
      </c>
      <c r="T645" t="s">
        <v>30</v>
      </c>
      <c r="U645" t="s">
        <v>31</v>
      </c>
      <c r="V645" t="s">
        <v>45</v>
      </c>
      <c r="W645">
        <v>1</v>
      </c>
      <c r="X645">
        <v>0</v>
      </c>
      <c r="Y645" s="2">
        <f>Table1[[#This Row],[premium_yearly]]*Table1[[#This Row],[tenure_years]]</f>
        <v>3389.1000000000004</v>
      </c>
      <c r="Z645" s="2">
        <f>Table1[[#This Row],[total_collected_premiums]]*(1-$AD$2)</f>
        <v>2474.0430000000001</v>
      </c>
      <c r="AA645" s="2">
        <f>Table1[[#This Row],[retained_premium]]-Table1[[#This Row],[claim_amount_paid]]</f>
        <v>-2525.9569999999999</v>
      </c>
    </row>
    <row r="646" spans="1:27" x14ac:dyDescent="0.35">
      <c r="A646" t="s">
        <v>1977</v>
      </c>
      <c r="B646" t="s">
        <v>1978</v>
      </c>
      <c r="C646" t="s">
        <v>1979</v>
      </c>
      <c r="D646" s="1">
        <v>42316</v>
      </c>
      <c r="E646" s="1">
        <v>44144</v>
      </c>
      <c r="F646" s="1">
        <v>44144</v>
      </c>
      <c r="G646">
        <v>0</v>
      </c>
      <c r="H646">
        <v>88.66</v>
      </c>
      <c r="I646">
        <v>1063.92</v>
      </c>
      <c r="J646">
        <v>7000</v>
      </c>
      <c r="K646" t="s">
        <v>27</v>
      </c>
      <c r="L646">
        <v>7000</v>
      </c>
      <c r="M646">
        <v>6.33</v>
      </c>
      <c r="N646" t="s">
        <v>36</v>
      </c>
      <c r="O646">
        <v>76</v>
      </c>
      <c r="P646">
        <v>46</v>
      </c>
      <c r="Q646">
        <v>1</v>
      </c>
      <c r="R646">
        <v>4</v>
      </c>
      <c r="S646" t="s">
        <v>65</v>
      </c>
      <c r="T646" t="s">
        <v>50</v>
      </c>
      <c r="U646" t="s">
        <v>31</v>
      </c>
      <c r="V646" t="s">
        <v>32</v>
      </c>
      <c r="W646">
        <v>1</v>
      </c>
      <c r="X646">
        <v>1</v>
      </c>
      <c r="Y646" s="2">
        <f>Table1[[#This Row],[premium_yearly]]*Table1[[#This Row],[tenure_years]]</f>
        <v>6734.6136000000006</v>
      </c>
      <c r="Z646" s="2">
        <f>Table1[[#This Row],[total_collected_premiums]]*(1-$AD$2)</f>
        <v>4916.2679280000002</v>
      </c>
      <c r="AA646" s="2">
        <f>Table1[[#This Row],[retained_premium]]-Table1[[#This Row],[claim_amount_paid]]</f>
        <v>-2083.7320719999998</v>
      </c>
    </row>
    <row r="647" spans="1:27" x14ac:dyDescent="0.35">
      <c r="A647" t="s">
        <v>1980</v>
      </c>
      <c r="B647" t="s">
        <v>1981</v>
      </c>
      <c r="C647" t="s">
        <v>1982</v>
      </c>
      <c r="D647" s="1">
        <v>43025</v>
      </c>
      <c r="E647" s="1">
        <v>44132</v>
      </c>
      <c r="F647" s="1">
        <v>44137</v>
      </c>
      <c r="G647">
        <v>5</v>
      </c>
      <c r="H647">
        <v>77.150000000000006</v>
      </c>
      <c r="I647">
        <v>925.8</v>
      </c>
      <c r="J647">
        <v>3000</v>
      </c>
      <c r="K647" t="s">
        <v>27</v>
      </c>
      <c r="L647">
        <v>3000</v>
      </c>
      <c r="M647">
        <v>0.57999999999999996</v>
      </c>
      <c r="N647" t="s">
        <v>36</v>
      </c>
      <c r="O647">
        <v>7</v>
      </c>
      <c r="P647">
        <v>40</v>
      </c>
      <c r="Q647">
        <v>1</v>
      </c>
      <c r="R647">
        <v>4</v>
      </c>
      <c r="S647" t="s">
        <v>29</v>
      </c>
      <c r="T647" t="s">
        <v>44</v>
      </c>
      <c r="U647" t="s">
        <v>66</v>
      </c>
      <c r="V647" t="s">
        <v>45</v>
      </c>
      <c r="W647">
        <v>0</v>
      </c>
      <c r="X647">
        <v>1</v>
      </c>
      <c r="Y647" s="2">
        <f>Table1[[#This Row],[premium_yearly]]*Table1[[#This Row],[tenure_years]]</f>
        <v>536.96399999999994</v>
      </c>
      <c r="Z647" s="2">
        <f>Table1[[#This Row],[total_collected_premiums]]*(1-$AD$2)</f>
        <v>391.98371999999995</v>
      </c>
      <c r="AA647" s="2">
        <f>Table1[[#This Row],[retained_premium]]-Table1[[#This Row],[claim_amount_paid]]</f>
        <v>-2608.0162799999998</v>
      </c>
    </row>
    <row r="648" spans="1:27" x14ac:dyDescent="0.35">
      <c r="A648" t="s">
        <v>1983</v>
      </c>
      <c r="B648" t="s">
        <v>1984</v>
      </c>
      <c r="C648" t="s">
        <v>1985</v>
      </c>
      <c r="D648" s="1">
        <v>40948</v>
      </c>
      <c r="E648" s="1">
        <v>44137</v>
      </c>
      <c r="F648" s="1">
        <v>44142</v>
      </c>
      <c r="G648">
        <v>5</v>
      </c>
      <c r="H648">
        <v>122.56</v>
      </c>
      <c r="I648">
        <v>1470.72</v>
      </c>
      <c r="J648">
        <v>9000</v>
      </c>
      <c r="K648" t="s">
        <v>27</v>
      </c>
      <c r="L648">
        <v>9000</v>
      </c>
      <c r="M648">
        <v>9.75</v>
      </c>
      <c r="N648" t="s">
        <v>49</v>
      </c>
      <c r="O648">
        <v>117</v>
      </c>
      <c r="P648">
        <v>64</v>
      </c>
      <c r="Q648">
        <v>1</v>
      </c>
      <c r="R648">
        <v>7</v>
      </c>
      <c r="S648" t="s">
        <v>65</v>
      </c>
      <c r="T648" t="s">
        <v>30</v>
      </c>
      <c r="U648" t="s">
        <v>66</v>
      </c>
      <c r="V648" t="s">
        <v>45</v>
      </c>
      <c r="W648">
        <v>1</v>
      </c>
      <c r="X648">
        <v>1</v>
      </c>
      <c r="Y648" s="2">
        <f>Table1[[#This Row],[premium_yearly]]*Table1[[#This Row],[tenure_years]]</f>
        <v>14339.52</v>
      </c>
      <c r="Z648" s="2">
        <f>Table1[[#This Row],[total_collected_premiums]]*(1-$AD$2)</f>
        <v>10467.8496</v>
      </c>
      <c r="AA648" s="2">
        <f>Table1[[#This Row],[retained_premium]]-Table1[[#This Row],[claim_amount_paid]]</f>
        <v>1467.8495999999996</v>
      </c>
    </row>
    <row r="649" spans="1:27" x14ac:dyDescent="0.35">
      <c r="A649" t="s">
        <v>1986</v>
      </c>
      <c r="B649" t="s">
        <v>1987</v>
      </c>
      <c r="C649" t="s">
        <v>1988</v>
      </c>
      <c r="D649" s="1">
        <v>42407</v>
      </c>
      <c r="E649" s="1">
        <v>44130</v>
      </c>
      <c r="F649" s="1">
        <v>44135</v>
      </c>
      <c r="G649">
        <v>5</v>
      </c>
      <c r="H649">
        <v>121.48</v>
      </c>
      <c r="I649">
        <v>1457.76</v>
      </c>
      <c r="J649">
        <v>7000</v>
      </c>
      <c r="K649" t="s">
        <v>27</v>
      </c>
      <c r="L649">
        <v>7000</v>
      </c>
      <c r="M649">
        <v>8.25</v>
      </c>
      <c r="N649" t="s">
        <v>49</v>
      </c>
      <c r="O649">
        <v>99</v>
      </c>
      <c r="P649">
        <v>40</v>
      </c>
      <c r="Q649">
        <v>1</v>
      </c>
      <c r="R649">
        <v>2</v>
      </c>
      <c r="S649" t="s">
        <v>65</v>
      </c>
      <c r="T649" t="s">
        <v>50</v>
      </c>
      <c r="U649" t="s">
        <v>31</v>
      </c>
      <c r="V649" t="s">
        <v>32</v>
      </c>
      <c r="W649">
        <v>1</v>
      </c>
      <c r="X649">
        <v>1</v>
      </c>
      <c r="Y649" s="2">
        <f>Table1[[#This Row],[premium_yearly]]*Table1[[#This Row],[tenure_years]]</f>
        <v>12026.52</v>
      </c>
      <c r="Z649" s="2">
        <f>Table1[[#This Row],[total_collected_premiums]]*(1-$AD$2)</f>
        <v>8779.3595999999998</v>
      </c>
      <c r="AA649" s="2">
        <f>Table1[[#This Row],[retained_premium]]-Table1[[#This Row],[claim_amount_paid]]</f>
        <v>1779.3595999999998</v>
      </c>
    </row>
    <row r="650" spans="1:27" x14ac:dyDescent="0.35">
      <c r="A650" t="s">
        <v>1989</v>
      </c>
      <c r="B650" t="s">
        <v>1990</v>
      </c>
      <c r="C650" t="s">
        <v>1991</v>
      </c>
      <c r="D650" s="1">
        <v>40439</v>
      </c>
      <c r="E650" s="1">
        <v>44144</v>
      </c>
      <c r="F650" s="1">
        <v>44145</v>
      </c>
      <c r="G650">
        <v>1</v>
      </c>
      <c r="H650">
        <v>87.89</v>
      </c>
      <c r="I650">
        <v>1054.68</v>
      </c>
      <c r="J650">
        <v>7000</v>
      </c>
      <c r="K650" t="s">
        <v>27</v>
      </c>
      <c r="L650">
        <v>7000</v>
      </c>
      <c r="M650">
        <v>5.5</v>
      </c>
      <c r="N650" t="s">
        <v>28</v>
      </c>
      <c r="O650">
        <v>66</v>
      </c>
      <c r="P650">
        <v>32</v>
      </c>
      <c r="Q650">
        <v>0</v>
      </c>
      <c r="R650">
        <v>6</v>
      </c>
      <c r="S650" t="s">
        <v>65</v>
      </c>
      <c r="T650" t="s">
        <v>30</v>
      </c>
      <c r="U650" t="s">
        <v>38</v>
      </c>
      <c r="V650" t="s">
        <v>32</v>
      </c>
      <c r="W650">
        <v>0</v>
      </c>
      <c r="X650">
        <v>0</v>
      </c>
      <c r="Y650" s="2">
        <f>Table1[[#This Row],[premium_yearly]]*Table1[[#This Row],[tenure_years]]</f>
        <v>5800.7400000000007</v>
      </c>
      <c r="Z650" s="2">
        <f>Table1[[#This Row],[total_collected_premiums]]*(1-$AD$2)</f>
        <v>4234.5402000000004</v>
      </c>
      <c r="AA650" s="2">
        <f>Table1[[#This Row],[retained_premium]]-Table1[[#This Row],[claim_amount_paid]]</f>
        <v>-2765.4597999999996</v>
      </c>
    </row>
    <row r="651" spans="1:27" x14ac:dyDescent="0.35">
      <c r="A651" t="s">
        <v>1992</v>
      </c>
      <c r="B651" t="s">
        <v>1993</v>
      </c>
      <c r="C651" t="s">
        <v>1994</v>
      </c>
      <c r="D651" s="1">
        <v>42768</v>
      </c>
      <c r="E651" s="1">
        <v>44143</v>
      </c>
      <c r="F651" s="1">
        <v>44145</v>
      </c>
      <c r="G651">
        <v>2</v>
      </c>
      <c r="H651">
        <v>85.74</v>
      </c>
      <c r="I651">
        <v>1028.8800000000001</v>
      </c>
      <c r="J651">
        <v>3000</v>
      </c>
      <c r="K651" t="s">
        <v>27</v>
      </c>
      <c r="L651">
        <v>3000</v>
      </c>
      <c r="M651">
        <v>3.83</v>
      </c>
      <c r="N651" t="s">
        <v>49</v>
      </c>
      <c r="O651">
        <v>46</v>
      </c>
      <c r="P651">
        <v>49</v>
      </c>
      <c r="Q651">
        <v>1</v>
      </c>
      <c r="R651">
        <v>7</v>
      </c>
      <c r="S651" t="s">
        <v>29</v>
      </c>
      <c r="T651" t="s">
        <v>50</v>
      </c>
      <c r="U651" t="s">
        <v>38</v>
      </c>
      <c r="V651" t="s">
        <v>39</v>
      </c>
      <c r="W651">
        <v>1</v>
      </c>
      <c r="X651">
        <v>0</v>
      </c>
      <c r="Y651" s="2">
        <f>Table1[[#This Row],[premium_yearly]]*Table1[[#This Row],[tenure_years]]</f>
        <v>3940.6104000000005</v>
      </c>
      <c r="Z651" s="2">
        <f>Table1[[#This Row],[total_collected_premiums]]*(1-$AD$2)</f>
        <v>2876.6455920000003</v>
      </c>
      <c r="AA651" s="2">
        <f>Table1[[#This Row],[retained_premium]]-Table1[[#This Row],[claim_amount_paid]]</f>
        <v>-123.35440799999969</v>
      </c>
    </row>
    <row r="652" spans="1:27" x14ac:dyDescent="0.35">
      <c r="A652" t="s">
        <v>1995</v>
      </c>
      <c r="B652" t="s">
        <v>1996</v>
      </c>
      <c r="C652" t="s">
        <v>1997</v>
      </c>
      <c r="D652" s="1">
        <v>40626</v>
      </c>
      <c r="E652" s="1">
        <v>44134</v>
      </c>
      <c r="F652" s="1">
        <v>44139</v>
      </c>
      <c r="G652">
        <v>5</v>
      </c>
      <c r="H652">
        <v>124.89</v>
      </c>
      <c r="I652">
        <v>1498.68</v>
      </c>
      <c r="J652">
        <v>8000</v>
      </c>
      <c r="K652" t="s">
        <v>27</v>
      </c>
      <c r="L652">
        <v>8000</v>
      </c>
      <c r="M652">
        <v>4.25</v>
      </c>
      <c r="N652" t="s">
        <v>28</v>
      </c>
      <c r="O652">
        <v>51</v>
      </c>
      <c r="P652">
        <v>25</v>
      </c>
      <c r="Q652">
        <v>1</v>
      </c>
      <c r="R652">
        <v>5</v>
      </c>
      <c r="S652" t="s">
        <v>29</v>
      </c>
      <c r="T652" t="s">
        <v>30</v>
      </c>
      <c r="U652" t="s">
        <v>31</v>
      </c>
      <c r="V652" t="s">
        <v>45</v>
      </c>
      <c r="W652">
        <v>0</v>
      </c>
      <c r="X652">
        <v>1</v>
      </c>
      <c r="Y652" s="2">
        <f>Table1[[#This Row],[premium_yearly]]*Table1[[#This Row],[tenure_years]]</f>
        <v>6369.39</v>
      </c>
      <c r="Z652" s="2">
        <f>Table1[[#This Row],[total_collected_premiums]]*(1-$AD$2)</f>
        <v>4649.6547</v>
      </c>
      <c r="AA652" s="2">
        <f>Table1[[#This Row],[retained_premium]]-Table1[[#This Row],[claim_amount_paid]]</f>
        <v>-3350.3453</v>
      </c>
    </row>
    <row r="653" spans="1:27" x14ac:dyDescent="0.35">
      <c r="A653" t="s">
        <v>1998</v>
      </c>
      <c r="B653" t="s">
        <v>1999</v>
      </c>
      <c r="C653" t="s">
        <v>2000</v>
      </c>
      <c r="D653" s="1">
        <v>41207</v>
      </c>
      <c r="E653" s="1">
        <v>44132</v>
      </c>
      <c r="F653" s="1">
        <v>44137</v>
      </c>
      <c r="G653">
        <v>5</v>
      </c>
      <c r="H653">
        <v>96.28</v>
      </c>
      <c r="I653">
        <v>1155.3599999999999</v>
      </c>
      <c r="J653">
        <v>5000</v>
      </c>
      <c r="K653" t="s">
        <v>27</v>
      </c>
      <c r="L653">
        <v>5000</v>
      </c>
      <c r="M653">
        <v>9.08</v>
      </c>
      <c r="N653" t="s">
        <v>36</v>
      </c>
      <c r="O653">
        <v>109</v>
      </c>
      <c r="P653">
        <v>35</v>
      </c>
      <c r="Q653">
        <v>1</v>
      </c>
      <c r="R653">
        <v>6</v>
      </c>
      <c r="S653" t="s">
        <v>29</v>
      </c>
      <c r="T653" t="s">
        <v>50</v>
      </c>
      <c r="U653" t="s">
        <v>38</v>
      </c>
      <c r="V653" t="s">
        <v>39</v>
      </c>
      <c r="W653">
        <v>1</v>
      </c>
      <c r="X653">
        <v>0</v>
      </c>
      <c r="Y653" s="2">
        <f>Table1[[#This Row],[premium_yearly]]*Table1[[#This Row],[tenure_years]]</f>
        <v>10490.668799999999</v>
      </c>
      <c r="Z653" s="2">
        <f>Table1[[#This Row],[total_collected_premiums]]*(1-$AD$2)</f>
        <v>7658.1882239999995</v>
      </c>
      <c r="AA653" s="2">
        <f>Table1[[#This Row],[retained_premium]]-Table1[[#This Row],[claim_amount_paid]]</f>
        <v>2658.1882239999995</v>
      </c>
    </row>
    <row r="654" spans="1:27" x14ac:dyDescent="0.35">
      <c r="A654" t="s">
        <v>2001</v>
      </c>
      <c r="B654" t="s">
        <v>2002</v>
      </c>
      <c r="C654" t="s">
        <v>2003</v>
      </c>
      <c r="D654" s="1">
        <v>40591</v>
      </c>
      <c r="E654" s="1">
        <v>44131</v>
      </c>
      <c r="F654" s="1">
        <v>44136</v>
      </c>
      <c r="G654">
        <v>5</v>
      </c>
      <c r="H654">
        <v>91.82</v>
      </c>
      <c r="I654">
        <v>1101.8399999999999</v>
      </c>
      <c r="J654">
        <v>4000</v>
      </c>
      <c r="K654" t="s">
        <v>43</v>
      </c>
      <c r="L654">
        <v>0</v>
      </c>
      <c r="M654">
        <v>7.75</v>
      </c>
      <c r="N654" t="s">
        <v>49</v>
      </c>
      <c r="O654">
        <v>93</v>
      </c>
      <c r="P654">
        <v>43</v>
      </c>
      <c r="Q654">
        <v>1</v>
      </c>
      <c r="R654">
        <v>7</v>
      </c>
      <c r="S654" t="s">
        <v>65</v>
      </c>
      <c r="T654" t="s">
        <v>50</v>
      </c>
      <c r="U654" t="s">
        <v>38</v>
      </c>
      <c r="V654" t="s">
        <v>32</v>
      </c>
      <c r="W654">
        <v>1</v>
      </c>
      <c r="X654">
        <v>1</v>
      </c>
      <c r="Y654" s="2">
        <f>Table1[[#This Row],[premium_yearly]]*Table1[[#This Row],[tenure_years]]</f>
        <v>8539.26</v>
      </c>
      <c r="Z654" s="2">
        <f>Table1[[#This Row],[total_collected_premiums]]*(1-$AD$2)</f>
        <v>6233.6598000000004</v>
      </c>
      <c r="AA654" s="2">
        <f>Table1[[#This Row],[retained_premium]]-Table1[[#This Row],[claim_amount_paid]]</f>
        <v>6233.6598000000004</v>
      </c>
    </row>
    <row r="655" spans="1:27" x14ac:dyDescent="0.35">
      <c r="A655" t="s">
        <v>2004</v>
      </c>
      <c r="B655" t="s">
        <v>2005</v>
      </c>
      <c r="C655" t="s">
        <v>2006</v>
      </c>
      <c r="D655" s="1">
        <v>41702</v>
      </c>
      <c r="E655" s="1">
        <v>44134</v>
      </c>
      <c r="F655" s="1">
        <v>44139</v>
      </c>
      <c r="G655">
        <v>5</v>
      </c>
      <c r="H655">
        <v>85.35</v>
      </c>
      <c r="I655">
        <v>1024.2</v>
      </c>
      <c r="J655">
        <v>3000</v>
      </c>
      <c r="K655" t="s">
        <v>27</v>
      </c>
      <c r="L655">
        <v>3000</v>
      </c>
      <c r="M655">
        <v>4.42</v>
      </c>
      <c r="N655" t="s">
        <v>36</v>
      </c>
      <c r="O655">
        <v>53</v>
      </c>
      <c r="P655">
        <v>25</v>
      </c>
      <c r="Q655">
        <v>1</v>
      </c>
      <c r="R655">
        <v>6</v>
      </c>
      <c r="S655" t="s">
        <v>37</v>
      </c>
      <c r="T655" t="s">
        <v>50</v>
      </c>
      <c r="U655" t="s">
        <v>88</v>
      </c>
      <c r="V655" t="s">
        <v>45</v>
      </c>
      <c r="W655">
        <v>1</v>
      </c>
      <c r="X655">
        <v>0</v>
      </c>
      <c r="Y655" s="2">
        <f>Table1[[#This Row],[premium_yearly]]*Table1[[#This Row],[tenure_years]]</f>
        <v>4526.9639999999999</v>
      </c>
      <c r="Z655" s="2">
        <f>Table1[[#This Row],[total_collected_premiums]]*(1-$AD$2)</f>
        <v>3304.68372</v>
      </c>
      <c r="AA655" s="2">
        <f>Table1[[#This Row],[retained_premium]]-Table1[[#This Row],[claim_amount_paid]]</f>
        <v>304.68371999999999</v>
      </c>
    </row>
    <row r="656" spans="1:27" x14ac:dyDescent="0.35">
      <c r="A656" t="s">
        <v>2007</v>
      </c>
      <c r="B656" t="s">
        <v>2008</v>
      </c>
      <c r="C656" t="s">
        <v>2009</v>
      </c>
      <c r="D656" s="1">
        <v>41112</v>
      </c>
      <c r="E656" s="1">
        <v>44135</v>
      </c>
      <c r="F656" s="1">
        <v>44140</v>
      </c>
      <c r="G656">
        <v>5</v>
      </c>
      <c r="H656">
        <v>75.97</v>
      </c>
      <c r="I656">
        <v>911.64</v>
      </c>
      <c r="J656">
        <v>10000</v>
      </c>
      <c r="K656" t="s">
        <v>27</v>
      </c>
      <c r="L656">
        <v>10000</v>
      </c>
      <c r="M656">
        <v>5.33</v>
      </c>
      <c r="N656" t="s">
        <v>36</v>
      </c>
      <c r="O656">
        <v>64</v>
      </c>
      <c r="P656">
        <v>58</v>
      </c>
      <c r="Q656">
        <v>1</v>
      </c>
      <c r="R656">
        <v>2</v>
      </c>
      <c r="S656" t="s">
        <v>65</v>
      </c>
      <c r="T656" t="s">
        <v>30</v>
      </c>
      <c r="U656" t="s">
        <v>58</v>
      </c>
      <c r="V656" t="s">
        <v>32</v>
      </c>
      <c r="W656">
        <v>1</v>
      </c>
      <c r="X656">
        <v>0</v>
      </c>
      <c r="Y656" s="2">
        <f>Table1[[#This Row],[premium_yearly]]*Table1[[#This Row],[tenure_years]]</f>
        <v>4859.0411999999997</v>
      </c>
      <c r="Z656" s="2">
        <f>Table1[[#This Row],[total_collected_premiums]]*(1-$AD$2)</f>
        <v>3547.1000759999997</v>
      </c>
      <c r="AA656" s="2">
        <f>Table1[[#This Row],[retained_premium]]-Table1[[#This Row],[claim_amount_paid]]</f>
        <v>-6452.8999240000003</v>
      </c>
    </row>
    <row r="657" spans="1:27" x14ac:dyDescent="0.35">
      <c r="A657" t="s">
        <v>2010</v>
      </c>
      <c r="B657" t="s">
        <v>2011</v>
      </c>
      <c r="C657" t="s">
        <v>2012</v>
      </c>
      <c r="D657" s="1">
        <v>41781</v>
      </c>
      <c r="E657" s="1">
        <v>44137</v>
      </c>
      <c r="F657" s="1">
        <v>44142</v>
      </c>
      <c r="G657">
        <v>5</v>
      </c>
      <c r="H657">
        <v>93.88</v>
      </c>
      <c r="I657">
        <v>1126.56</v>
      </c>
      <c r="J657">
        <v>3000</v>
      </c>
      <c r="K657" t="s">
        <v>27</v>
      </c>
      <c r="L657">
        <v>3000</v>
      </c>
      <c r="M657">
        <v>1.25</v>
      </c>
      <c r="N657" t="s">
        <v>28</v>
      </c>
      <c r="O657">
        <v>15</v>
      </c>
      <c r="P657">
        <v>51</v>
      </c>
      <c r="Q657">
        <v>1</v>
      </c>
      <c r="R657">
        <v>3</v>
      </c>
      <c r="S657" t="s">
        <v>29</v>
      </c>
      <c r="T657" t="s">
        <v>44</v>
      </c>
      <c r="U657" t="s">
        <v>58</v>
      </c>
      <c r="V657" t="s">
        <v>45</v>
      </c>
      <c r="W657">
        <v>1</v>
      </c>
      <c r="X657">
        <v>1</v>
      </c>
      <c r="Y657" s="2">
        <f>Table1[[#This Row],[premium_yearly]]*Table1[[#This Row],[tenure_years]]</f>
        <v>1408.1999999999998</v>
      </c>
      <c r="Z657" s="2">
        <f>Table1[[#This Row],[total_collected_premiums]]*(1-$AD$2)</f>
        <v>1027.9859999999999</v>
      </c>
      <c r="AA657" s="2">
        <f>Table1[[#This Row],[retained_premium]]-Table1[[#This Row],[claim_amount_paid]]</f>
        <v>-1972.0140000000001</v>
      </c>
    </row>
    <row r="658" spans="1:27" x14ac:dyDescent="0.35">
      <c r="A658" t="s">
        <v>2013</v>
      </c>
      <c r="B658" t="s">
        <v>2014</v>
      </c>
      <c r="C658" t="s">
        <v>2015</v>
      </c>
      <c r="D658" s="1">
        <v>41546</v>
      </c>
      <c r="E658" s="1">
        <v>44140</v>
      </c>
      <c r="F658" s="1">
        <v>44143</v>
      </c>
      <c r="G658">
        <v>3</v>
      </c>
      <c r="H658">
        <v>126.36</v>
      </c>
      <c r="I658">
        <v>1516.32</v>
      </c>
      <c r="J658">
        <v>2000</v>
      </c>
      <c r="K658" t="s">
        <v>27</v>
      </c>
      <c r="L658">
        <v>2000</v>
      </c>
      <c r="M658">
        <v>1.5</v>
      </c>
      <c r="N658" t="s">
        <v>49</v>
      </c>
      <c r="O658">
        <v>18</v>
      </c>
      <c r="P658">
        <v>63</v>
      </c>
      <c r="Q658">
        <v>0</v>
      </c>
      <c r="R658">
        <v>2</v>
      </c>
      <c r="S658" t="s">
        <v>65</v>
      </c>
      <c r="T658" t="s">
        <v>50</v>
      </c>
      <c r="U658" t="s">
        <v>38</v>
      </c>
      <c r="V658" t="s">
        <v>39</v>
      </c>
      <c r="W658">
        <v>0</v>
      </c>
      <c r="X658">
        <v>1</v>
      </c>
      <c r="Y658" s="2">
        <f>Table1[[#This Row],[premium_yearly]]*Table1[[#This Row],[tenure_years]]</f>
        <v>2274.48</v>
      </c>
      <c r="Z658" s="2">
        <f>Table1[[#This Row],[total_collected_premiums]]*(1-$AD$2)</f>
        <v>1660.3704</v>
      </c>
      <c r="AA658" s="2">
        <f>Table1[[#This Row],[retained_premium]]-Table1[[#This Row],[claim_amount_paid]]</f>
        <v>-339.62959999999998</v>
      </c>
    </row>
    <row r="659" spans="1:27" x14ac:dyDescent="0.35">
      <c r="A659" t="s">
        <v>2016</v>
      </c>
      <c r="B659" t="s">
        <v>2017</v>
      </c>
      <c r="C659" t="s">
        <v>2018</v>
      </c>
      <c r="D659" s="1">
        <v>42069</v>
      </c>
      <c r="E659" s="1">
        <v>44138</v>
      </c>
      <c r="F659" s="1">
        <v>44143</v>
      </c>
      <c r="G659">
        <v>5</v>
      </c>
      <c r="H659">
        <v>84.58</v>
      </c>
      <c r="I659">
        <v>1014.96</v>
      </c>
      <c r="J659">
        <v>5000</v>
      </c>
      <c r="K659" t="s">
        <v>27</v>
      </c>
      <c r="L659">
        <v>5000</v>
      </c>
      <c r="M659">
        <v>0.5</v>
      </c>
      <c r="N659" t="s">
        <v>49</v>
      </c>
      <c r="O659">
        <v>6</v>
      </c>
      <c r="P659">
        <v>60</v>
      </c>
      <c r="Q659">
        <v>0</v>
      </c>
      <c r="R659">
        <v>4</v>
      </c>
      <c r="S659" t="s">
        <v>65</v>
      </c>
      <c r="T659" t="s">
        <v>50</v>
      </c>
      <c r="U659" t="s">
        <v>38</v>
      </c>
      <c r="V659" t="s">
        <v>39</v>
      </c>
      <c r="W659">
        <v>1</v>
      </c>
      <c r="X659">
        <v>1</v>
      </c>
      <c r="Y659" s="2">
        <f>Table1[[#This Row],[premium_yearly]]*Table1[[#This Row],[tenure_years]]</f>
        <v>507.48</v>
      </c>
      <c r="Z659" s="2">
        <f>Table1[[#This Row],[total_collected_premiums]]*(1-$AD$2)</f>
        <v>370.46039999999999</v>
      </c>
      <c r="AA659" s="2">
        <f>Table1[[#This Row],[retained_premium]]-Table1[[#This Row],[claim_amount_paid]]</f>
        <v>-4629.5396000000001</v>
      </c>
    </row>
    <row r="660" spans="1:27" x14ac:dyDescent="0.35">
      <c r="A660" t="s">
        <v>2019</v>
      </c>
      <c r="B660" t="s">
        <v>2020</v>
      </c>
      <c r="C660" t="s">
        <v>2021</v>
      </c>
      <c r="D660" s="1">
        <v>42331</v>
      </c>
      <c r="E660" s="1">
        <v>44135</v>
      </c>
      <c r="F660" s="1">
        <v>44140</v>
      </c>
      <c r="G660">
        <v>5</v>
      </c>
      <c r="H660">
        <v>74.739999999999995</v>
      </c>
      <c r="I660">
        <v>896.88</v>
      </c>
      <c r="J660">
        <v>7000</v>
      </c>
      <c r="K660" t="s">
        <v>27</v>
      </c>
      <c r="L660">
        <v>7000</v>
      </c>
      <c r="M660">
        <v>2.08</v>
      </c>
      <c r="N660" t="s">
        <v>49</v>
      </c>
      <c r="O660">
        <v>25</v>
      </c>
      <c r="P660">
        <v>39</v>
      </c>
      <c r="Q660">
        <v>1</v>
      </c>
      <c r="R660">
        <v>2</v>
      </c>
      <c r="S660" t="s">
        <v>29</v>
      </c>
      <c r="T660" t="s">
        <v>50</v>
      </c>
      <c r="U660" t="s">
        <v>38</v>
      </c>
      <c r="V660" t="s">
        <v>45</v>
      </c>
      <c r="W660">
        <v>0</v>
      </c>
      <c r="X660">
        <v>0</v>
      </c>
      <c r="Y660" s="2">
        <f>Table1[[#This Row],[premium_yearly]]*Table1[[#This Row],[tenure_years]]</f>
        <v>1865.5104000000001</v>
      </c>
      <c r="Z660" s="2">
        <f>Table1[[#This Row],[total_collected_premiums]]*(1-$AD$2)</f>
        <v>1361.822592</v>
      </c>
      <c r="AA660" s="2">
        <f>Table1[[#This Row],[retained_premium]]-Table1[[#This Row],[claim_amount_paid]]</f>
        <v>-5638.1774079999996</v>
      </c>
    </row>
    <row r="661" spans="1:27" x14ac:dyDescent="0.35">
      <c r="A661" t="s">
        <v>2022</v>
      </c>
      <c r="B661" t="s">
        <v>2023</v>
      </c>
      <c r="C661" t="s">
        <v>2024</v>
      </c>
      <c r="D661" s="1">
        <v>41062</v>
      </c>
      <c r="E661" s="1">
        <v>44148</v>
      </c>
      <c r="F661" s="1">
        <v>44148</v>
      </c>
      <c r="G661">
        <v>0</v>
      </c>
      <c r="H661">
        <v>97.41</v>
      </c>
      <c r="I661">
        <v>1168.92</v>
      </c>
      <c r="J661">
        <v>10000</v>
      </c>
      <c r="K661" t="s">
        <v>27</v>
      </c>
      <c r="L661">
        <v>10000</v>
      </c>
      <c r="M661">
        <v>5.83</v>
      </c>
      <c r="N661" t="s">
        <v>28</v>
      </c>
      <c r="O661">
        <v>70</v>
      </c>
      <c r="P661">
        <v>57</v>
      </c>
      <c r="Q661">
        <v>1</v>
      </c>
      <c r="R661">
        <v>5</v>
      </c>
      <c r="S661" t="s">
        <v>29</v>
      </c>
      <c r="T661" t="s">
        <v>30</v>
      </c>
      <c r="U661" t="s">
        <v>38</v>
      </c>
      <c r="V661" t="s">
        <v>45</v>
      </c>
      <c r="W661">
        <v>1</v>
      </c>
      <c r="X661">
        <v>1</v>
      </c>
      <c r="Y661" s="2">
        <f>Table1[[#This Row],[premium_yearly]]*Table1[[#This Row],[tenure_years]]</f>
        <v>6814.8036000000002</v>
      </c>
      <c r="Z661" s="2">
        <f>Table1[[#This Row],[total_collected_premiums]]*(1-$AD$2)</f>
        <v>4974.8066280000003</v>
      </c>
      <c r="AA661" s="2">
        <f>Table1[[#This Row],[retained_premium]]-Table1[[#This Row],[claim_amount_paid]]</f>
        <v>-5025.1933719999997</v>
      </c>
    </row>
    <row r="662" spans="1:27" x14ac:dyDescent="0.35">
      <c r="A662" t="s">
        <v>2025</v>
      </c>
      <c r="B662" t="s">
        <v>2026</v>
      </c>
      <c r="C662" t="s">
        <v>2027</v>
      </c>
      <c r="D662" s="1">
        <v>42199</v>
      </c>
      <c r="E662" s="1">
        <v>44139</v>
      </c>
      <c r="F662" s="1">
        <v>44144</v>
      </c>
      <c r="G662">
        <v>5</v>
      </c>
      <c r="H662">
        <v>104.96</v>
      </c>
      <c r="I662">
        <v>1259.52</v>
      </c>
      <c r="J662">
        <v>7000</v>
      </c>
      <c r="K662" t="s">
        <v>27</v>
      </c>
      <c r="L662">
        <v>7000</v>
      </c>
      <c r="M662">
        <v>7.67</v>
      </c>
      <c r="N662" t="s">
        <v>36</v>
      </c>
      <c r="O662">
        <v>92</v>
      </c>
      <c r="P662">
        <v>38</v>
      </c>
      <c r="Q662">
        <v>0</v>
      </c>
      <c r="R662">
        <v>2</v>
      </c>
      <c r="S662" t="s">
        <v>29</v>
      </c>
      <c r="T662" t="s">
        <v>30</v>
      </c>
      <c r="U662" t="s">
        <v>88</v>
      </c>
      <c r="V662" t="s">
        <v>45</v>
      </c>
      <c r="W662">
        <v>0</v>
      </c>
      <c r="X662">
        <v>1</v>
      </c>
      <c r="Y662" s="2">
        <f>Table1[[#This Row],[premium_yearly]]*Table1[[#This Row],[tenure_years]]</f>
        <v>9660.518399999999</v>
      </c>
      <c r="Z662" s="2">
        <f>Table1[[#This Row],[total_collected_premiums]]*(1-$AD$2)</f>
        <v>7052.1784319999988</v>
      </c>
      <c r="AA662" s="2">
        <f>Table1[[#This Row],[retained_premium]]-Table1[[#This Row],[claim_amount_paid]]</f>
        <v>52.178431999998793</v>
      </c>
    </row>
    <row r="663" spans="1:27" x14ac:dyDescent="0.35">
      <c r="A663" t="s">
        <v>2028</v>
      </c>
      <c r="B663" t="s">
        <v>2029</v>
      </c>
      <c r="C663" t="s">
        <v>2030</v>
      </c>
      <c r="D663" s="1">
        <v>43392</v>
      </c>
      <c r="E663" s="1">
        <v>44146</v>
      </c>
      <c r="F663" s="1">
        <v>44147</v>
      </c>
      <c r="G663">
        <v>1</v>
      </c>
      <c r="H663">
        <v>112.08</v>
      </c>
      <c r="I663">
        <v>1344.96</v>
      </c>
      <c r="J663">
        <v>1000</v>
      </c>
      <c r="K663" t="s">
        <v>27</v>
      </c>
      <c r="L663">
        <v>1000</v>
      </c>
      <c r="M663">
        <v>2.75</v>
      </c>
      <c r="N663" t="s">
        <v>36</v>
      </c>
      <c r="O663">
        <v>33</v>
      </c>
      <c r="P663">
        <v>51</v>
      </c>
      <c r="Q663">
        <v>1</v>
      </c>
      <c r="R663">
        <v>7</v>
      </c>
      <c r="S663" t="s">
        <v>29</v>
      </c>
      <c r="T663" t="s">
        <v>44</v>
      </c>
      <c r="U663" t="s">
        <v>38</v>
      </c>
      <c r="V663" t="s">
        <v>45</v>
      </c>
      <c r="W663">
        <v>0</v>
      </c>
      <c r="X663">
        <v>1</v>
      </c>
      <c r="Y663" s="2">
        <f>Table1[[#This Row],[premium_yearly]]*Table1[[#This Row],[tenure_years]]</f>
        <v>3698.6400000000003</v>
      </c>
      <c r="Z663" s="2">
        <f>Table1[[#This Row],[total_collected_premiums]]*(1-$AD$2)</f>
        <v>2700.0072</v>
      </c>
      <c r="AA663" s="2">
        <f>Table1[[#This Row],[retained_premium]]-Table1[[#This Row],[claim_amount_paid]]</f>
        <v>1700.0072</v>
      </c>
    </row>
    <row r="664" spans="1:27" x14ac:dyDescent="0.35">
      <c r="A664" t="s">
        <v>2031</v>
      </c>
      <c r="B664" t="s">
        <v>2032</v>
      </c>
      <c r="C664" t="s">
        <v>2033</v>
      </c>
      <c r="D664" s="1">
        <v>43246</v>
      </c>
      <c r="E664" s="1">
        <v>44134</v>
      </c>
      <c r="F664" s="1">
        <v>44139</v>
      </c>
      <c r="G664">
        <v>5</v>
      </c>
      <c r="H664">
        <v>111.52</v>
      </c>
      <c r="I664">
        <v>1338.24</v>
      </c>
      <c r="J664">
        <v>5000</v>
      </c>
      <c r="K664" t="s">
        <v>27</v>
      </c>
      <c r="L664">
        <v>5000</v>
      </c>
      <c r="M664">
        <v>4.25</v>
      </c>
      <c r="N664" t="s">
        <v>28</v>
      </c>
      <c r="O664">
        <v>51</v>
      </c>
      <c r="P664">
        <v>40</v>
      </c>
      <c r="Q664">
        <v>0</v>
      </c>
      <c r="R664">
        <v>5</v>
      </c>
      <c r="S664" t="s">
        <v>29</v>
      </c>
      <c r="T664" t="s">
        <v>44</v>
      </c>
      <c r="U664" t="s">
        <v>38</v>
      </c>
      <c r="V664" t="s">
        <v>45</v>
      </c>
      <c r="W664">
        <v>1</v>
      </c>
      <c r="X664">
        <v>1</v>
      </c>
      <c r="Y664" s="2">
        <f>Table1[[#This Row],[premium_yearly]]*Table1[[#This Row],[tenure_years]]</f>
        <v>5687.52</v>
      </c>
      <c r="Z664" s="2">
        <f>Table1[[#This Row],[total_collected_premiums]]*(1-$AD$2)</f>
        <v>4151.8896000000004</v>
      </c>
      <c r="AA664" s="2">
        <f>Table1[[#This Row],[retained_premium]]-Table1[[#This Row],[claim_amount_paid]]</f>
        <v>-848.11039999999957</v>
      </c>
    </row>
    <row r="665" spans="1:27" x14ac:dyDescent="0.35">
      <c r="A665" t="s">
        <v>2034</v>
      </c>
      <c r="B665" t="s">
        <v>2035</v>
      </c>
      <c r="C665" t="s">
        <v>2036</v>
      </c>
      <c r="D665" s="1">
        <v>42407</v>
      </c>
      <c r="E665" s="1">
        <v>44148</v>
      </c>
      <c r="F665" s="1">
        <v>44148</v>
      </c>
      <c r="G665">
        <v>0</v>
      </c>
      <c r="H665">
        <v>88.51</v>
      </c>
      <c r="I665">
        <v>1062.1199999999999</v>
      </c>
      <c r="J665">
        <v>7000</v>
      </c>
      <c r="K665" t="s">
        <v>27</v>
      </c>
      <c r="L665">
        <v>7000</v>
      </c>
      <c r="M665">
        <v>8.17</v>
      </c>
      <c r="N665" t="s">
        <v>49</v>
      </c>
      <c r="O665">
        <v>98</v>
      </c>
      <c r="P665">
        <v>52</v>
      </c>
      <c r="Q665">
        <v>1</v>
      </c>
      <c r="R665">
        <v>5</v>
      </c>
      <c r="S665" t="s">
        <v>29</v>
      </c>
      <c r="T665" t="s">
        <v>44</v>
      </c>
      <c r="U665" t="s">
        <v>66</v>
      </c>
      <c r="V665" t="s">
        <v>45</v>
      </c>
      <c r="W665">
        <v>0</v>
      </c>
      <c r="X665">
        <v>1</v>
      </c>
      <c r="Y665" s="2">
        <f>Table1[[#This Row],[premium_yearly]]*Table1[[#This Row],[tenure_years]]</f>
        <v>8677.5203999999994</v>
      </c>
      <c r="Z665" s="2">
        <f>Table1[[#This Row],[total_collected_premiums]]*(1-$AD$2)</f>
        <v>6334.5898919999991</v>
      </c>
      <c r="AA665" s="2">
        <f>Table1[[#This Row],[retained_premium]]-Table1[[#This Row],[claim_amount_paid]]</f>
        <v>-665.41010800000095</v>
      </c>
    </row>
    <row r="666" spans="1:27" x14ac:dyDescent="0.35">
      <c r="A666" t="s">
        <v>2037</v>
      </c>
      <c r="B666" t="s">
        <v>2038</v>
      </c>
      <c r="C666" t="s">
        <v>2039</v>
      </c>
      <c r="D666" s="1">
        <v>42024</v>
      </c>
      <c r="E666" s="1">
        <v>44142</v>
      </c>
      <c r="F666" s="1">
        <v>44145</v>
      </c>
      <c r="G666">
        <v>3</v>
      </c>
      <c r="H666">
        <v>124.55</v>
      </c>
      <c r="I666">
        <v>1494.6</v>
      </c>
      <c r="J666">
        <v>3000</v>
      </c>
      <c r="K666" t="s">
        <v>27</v>
      </c>
      <c r="L666">
        <v>3000</v>
      </c>
      <c r="M666">
        <v>3.92</v>
      </c>
      <c r="N666" t="s">
        <v>49</v>
      </c>
      <c r="O666">
        <v>47</v>
      </c>
      <c r="P666">
        <v>33</v>
      </c>
      <c r="Q666">
        <v>1</v>
      </c>
      <c r="R666">
        <v>6</v>
      </c>
      <c r="S666" t="s">
        <v>37</v>
      </c>
      <c r="T666" t="s">
        <v>50</v>
      </c>
      <c r="U666" t="s">
        <v>38</v>
      </c>
      <c r="V666" t="s">
        <v>45</v>
      </c>
      <c r="W666">
        <v>1</v>
      </c>
      <c r="X666">
        <v>1</v>
      </c>
      <c r="Y666" s="2">
        <f>Table1[[#This Row],[premium_yearly]]*Table1[[#This Row],[tenure_years]]</f>
        <v>5858.8319999999994</v>
      </c>
      <c r="Z666" s="2">
        <f>Table1[[#This Row],[total_collected_premiums]]*(1-$AD$2)</f>
        <v>4276.9473599999992</v>
      </c>
      <c r="AA666" s="2">
        <f>Table1[[#This Row],[retained_premium]]-Table1[[#This Row],[claim_amount_paid]]</f>
        <v>1276.9473599999992</v>
      </c>
    </row>
    <row r="667" spans="1:27" x14ac:dyDescent="0.35">
      <c r="A667" t="s">
        <v>2040</v>
      </c>
      <c r="B667" t="s">
        <v>2041</v>
      </c>
      <c r="C667" t="s">
        <v>2042</v>
      </c>
      <c r="D667" s="1">
        <v>40831</v>
      </c>
      <c r="E667" s="1">
        <v>44136</v>
      </c>
      <c r="F667" s="1">
        <v>44141</v>
      </c>
      <c r="G667">
        <v>5</v>
      </c>
      <c r="H667">
        <v>96.56</v>
      </c>
      <c r="I667">
        <v>1158.72</v>
      </c>
      <c r="J667">
        <v>3000</v>
      </c>
      <c r="K667" t="s">
        <v>27</v>
      </c>
      <c r="L667">
        <v>3000</v>
      </c>
      <c r="M667">
        <v>7</v>
      </c>
      <c r="N667" t="s">
        <v>36</v>
      </c>
      <c r="O667">
        <v>84</v>
      </c>
      <c r="P667">
        <v>46</v>
      </c>
      <c r="Q667">
        <v>0</v>
      </c>
      <c r="R667">
        <v>6</v>
      </c>
      <c r="S667" t="s">
        <v>29</v>
      </c>
      <c r="T667" t="s">
        <v>30</v>
      </c>
      <c r="U667" t="s">
        <v>66</v>
      </c>
      <c r="V667" t="s">
        <v>45</v>
      </c>
      <c r="W667">
        <v>1</v>
      </c>
      <c r="X667">
        <v>1</v>
      </c>
      <c r="Y667" s="2">
        <f>Table1[[#This Row],[premium_yearly]]*Table1[[#This Row],[tenure_years]]</f>
        <v>8111.04</v>
      </c>
      <c r="Z667" s="2">
        <f>Table1[[#This Row],[total_collected_premiums]]*(1-$AD$2)</f>
        <v>5921.0591999999997</v>
      </c>
      <c r="AA667" s="2">
        <f>Table1[[#This Row],[retained_premium]]-Table1[[#This Row],[claim_amount_paid]]</f>
        <v>2921.0591999999997</v>
      </c>
    </row>
    <row r="668" spans="1:27" x14ac:dyDescent="0.35">
      <c r="A668" t="s">
        <v>2043</v>
      </c>
      <c r="B668" t="s">
        <v>2044</v>
      </c>
      <c r="C668" t="s">
        <v>2045</v>
      </c>
      <c r="D668" s="1">
        <v>43662</v>
      </c>
      <c r="E668" s="1">
        <v>44148</v>
      </c>
      <c r="F668" s="1">
        <v>44148</v>
      </c>
      <c r="G668">
        <v>0</v>
      </c>
      <c r="H668">
        <v>78.069999999999993</v>
      </c>
      <c r="I668">
        <v>936.84</v>
      </c>
      <c r="J668">
        <v>2000</v>
      </c>
      <c r="K668" t="s">
        <v>43</v>
      </c>
      <c r="L668">
        <v>0</v>
      </c>
      <c r="M668">
        <v>2</v>
      </c>
      <c r="N668" t="s">
        <v>28</v>
      </c>
      <c r="O668">
        <v>24</v>
      </c>
      <c r="P668">
        <v>36</v>
      </c>
      <c r="Q668">
        <v>1</v>
      </c>
      <c r="R668">
        <v>2</v>
      </c>
      <c r="S668" t="s">
        <v>65</v>
      </c>
      <c r="T668" t="s">
        <v>44</v>
      </c>
      <c r="U668" t="s">
        <v>88</v>
      </c>
      <c r="V668" t="s">
        <v>45</v>
      </c>
      <c r="W668">
        <v>1</v>
      </c>
      <c r="X668">
        <v>1</v>
      </c>
      <c r="Y668" s="2">
        <f>Table1[[#This Row],[premium_yearly]]*Table1[[#This Row],[tenure_years]]</f>
        <v>1873.68</v>
      </c>
      <c r="Z668" s="2">
        <f>Table1[[#This Row],[total_collected_premiums]]*(1-$AD$2)</f>
        <v>1367.7864</v>
      </c>
      <c r="AA668" s="2">
        <f>Table1[[#This Row],[retained_premium]]-Table1[[#This Row],[claim_amount_paid]]</f>
        <v>1367.7864</v>
      </c>
    </row>
    <row r="669" spans="1:27" x14ac:dyDescent="0.35">
      <c r="A669" t="s">
        <v>2046</v>
      </c>
      <c r="B669" t="s">
        <v>2047</v>
      </c>
      <c r="C669" t="s">
        <v>2048</v>
      </c>
      <c r="D669" s="1">
        <v>41133</v>
      </c>
      <c r="E669" s="1">
        <v>44145</v>
      </c>
      <c r="F669" s="1">
        <v>44147</v>
      </c>
      <c r="G669">
        <v>2</v>
      </c>
      <c r="H669">
        <v>72.56</v>
      </c>
      <c r="I669">
        <v>870.72</v>
      </c>
      <c r="J669">
        <v>1000</v>
      </c>
      <c r="K669" t="s">
        <v>27</v>
      </c>
      <c r="L669">
        <v>1000</v>
      </c>
      <c r="M669">
        <v>4.92</v>
      </c>
      <c r="N669" t="s">
        <v>49</v>
      </c>
      <c r="O669">
        <v>59</v>
      </c>
      <c r="P669">
        <v>46</v>
      </c>
      <c r="Q669">
        <v>1</v>
      </c>
      <c r="R669">
        <v>4</v>
      </c>
      <c r="S669" t="s">
        <v>29</v>
      </c>
      <c r="T669" t="s">
        <v>44</v>
      </c>
      <c r="U669" t="s">
        <v>58</v>
      </c>
      <c r="V669" t="s">
        <v>45</v>
      </c>
      <c r="W669">
        <v>1</v>
      </c>
      <c r="X669">
        <v>1</v>
      </c>
      <c r="Y669" s="2">
        <f>Table1[[#This Row],[premium_yearly]]*Table1[[#This Row],[tenure_years]]</f>
        <v>4283.9423999999999</v>
      </c>
      <c r="Z669" s="2">
        <f>Table1[[#This Row],[total_collected_premiums]]*(1-$AD$2)</f>
        <v>3127.2779519999999</v>
      </c>
      <c r="AA669" s="2">
        <f>Table1[[#This Row],[retained_premium]]-Table1[[#This Row],[claim_amount_paid]]</f>
        <v>2127.2779519999999</v>
      </c>
    </row>
    <row r="670" spans="1:27" x14ac:dyDescent="0.35">
      <c r="A670" t="s">
        <v>2049</v>
      </c>
      <c r="B670" t="s">
        <v>2050</v>
      </c>
      <c r="C670" t="s">
        <v>2051</v>
      </c>
      <c r="D670" s="1">
        <v>43744</v>
      </c>
      <c r="E670" s="1">
        <v>44148</v>
      </c>
      <c r="F670" s="1">
        <v>44149</v>
      </c>
      <c r="G670">
        <v>1</v>
      </c>
      <c r="H670">
        <v>88.61</v>
      </c>
      <c r="I670">
        <v>1063.32</v>
      </c>
      <c r="J670">
        <v>2000</v>
      </c>
      <c r="K670" t="s">
        <v>27</v>
      </c>
      <c r="L670">
        <v>2000</v>
      </c>
      <c r="M670">
        <v>6.5</v>
      </c>
      <c r="N670" t="s">
        <v>36</v>
      </c>
      <c r="O670">
        <v>78</v>
      </c>
      <c r="P670">
        <v>42</v>
      </c>
      <c r="Q670">
        <v>1</v>
      </c>
      <c r="R670">
        <v>3</v>
      </c>
      <c r="S670" t="s">
        <v>65</v>
      </c>
      <c r="T670" t="s">
        <v>44</v>
      </c>
      <c r="U670" t="s">
        <v>38</v>
      </c>
      <c r="V670" t="s">
        <v>39</v>
      </c>
      <c r="W670">
        <v>1</v>
      </c>
      <c r="X670">
        <v>1</v>
      </c>
      <c r="Y670" s="2">
        <f>Table1[[#This Row],[premium_yearly]]*Table1[[#This Row],[tenure_years]]</f>
        <v>6911.58</v>
      </c>
      <c r="Z670" s="2">
        <f>Table1[[#This Row],[total_collected_premiums]]*(1-$AD$2)</f>
        <v>5045.4533999999994</v>
      </c>
      <c r="AA670" s="2">
        <f>Table1[[#This Row],[retained_premium]]-Table1[[#This Row],[claim_amount_paid]]</f>
        <v>3045.4533999999994</v>
      </c>
    </row>
    <row r="671" spans="1:27" x14ac:dyDescent="0.35">
      <c r="A671" t="s">
        <v>2052</v>
      </c>
      <c r="B671" t="s">
        <v>2053</v>
      </c>
      <c r="C671" t="s">
        <v>2054</v>
      </c>
      <c r="D671" s="1">
        <v>43546</v>
      </c>
      <c r="E671" s="1">
        <v>44145</v>
      </c>
      <c r="F671" s="1">
        <v>44147</v>
      </c>
      <c r="G671">
        <v>2</v>
      </c>
      <c r="H671">
        <v>97.27</v>
      </c>
      <c r="I671">
        <v>1167.24</v>
      </c>
      <c r="J671">
        <v>8000</v>
      </c>
      <c r="K671" t="s">
        <v>27</v>
      </c>
      <c r="L671">
        <v>8000</v>
      </c>
      <c r="M671">
        <v>2.67</v>
      </c>
      <c r="N671" t="s">
        <v>36</v>
      </c>
      <c r="O671">
        <v>32</v>
      </c>
      <c r="P671">
        <v>37</v>
      </c>
      <c r="Q671">
        <v>0</v>
      </c>
      <c r="R671">
        <v>3</v>
      </c>
      <c r="S671" t="s">
        <v>65</v>
      </c>
      <c r="T671" t="s">
        <v>30</v>
      </c>
      <c r="U671" t="s">
        <v>88</v>
      </c>
      <c r="V671" t="s">
        <v>39</v>
      </c>
      <c r="W671">
        <v>1</v>
      </c>
      <c r="X671">
        <v>0</v>
      </c>
      <c r="Y671" s="2">
        <f>Table1[[#This Row],[premium_yearly]]*Table1[[#This Row],[tenure_years]]</f>
        <v>3116.5308</v>
      </c>
      <c r="Z671" s="2">
        <f>Table1[[#This Row],[total_collected_premiums]]*(1-$AD$2)</f>
        <v>2275.0674840000001</v>
      </c>
      <c r="AA671" s="2">
        <f>Table1[[#This Row],[retained_premium]]-Table1[[#This Row],[claim_amount_paid]]</f>
        <v>-5724.9325159999999</v>
      </c>
    </row>
    <row r="672" spans="1:27" x14ac:dyDescent="0.35">
      <c r="A672" t="s">
        <v>2055</v>
      </c>
      <c r="B672" t="s">
        <v>2056</v>
      </c>
      <c r="C672" t="s">
        <v>2057</v>
      </c>
      <c r="D672" s="1">
        <v>42676</v>
      </c>
      <c r="E672" s="1">
        <v>44140</v>
      </c>
      <c r="F672" s="1">
        <v>44145</v>
      </c>
      <c r="G672">
        <v>5</v>
      </c>
      <c r="H672">
        <v>139.26</v>
      </c>
      <c r="I672">
        <v>1671.12</v>
      </c>
      <c r="J672">
        <v>2000</v>
      </c>
      <c r="K672" t="s">
        <v>27</v>
      </c>
      <c r="L672">
        <v>2000</v>
      </c>
      <c r="M672">
        <v>3.92</v>
      </c>
      <c r="N672" t="s">
        <v>28</v>
      </c>
      <c r="O672">
        <v>47</v>
      </c>
      <c r="P672">
        <v>41</v>
      </c>
      <c r="Q672">
        <v>1</v>
      </c>
      <c r="R672">
        <v>7</v>
      </c>
      <c r="S672" t="s">
        <v>29</v>
      </c>
      <c r="T672" t="s">
        <v>50</v>
      </c>
      <c r="U672" t="s">
        <v>51</v>
      </c>
      <c r="V672" t="s">
        <v>39</v>
      </c>
      <c r="W672">
        <v>1</v>
      </c>
      <c r="X672">
        <v>0</v>
      </c>
      <c r="Y672" s="2">
        <f>Table1[[#This Row],[premium_yearly]]*Table1[[#This Row],[tenure_years]]</f>
        <v>6550.7903999999999</v>
      </c>
      <c r="Z672" s="2">
        <f>Table1[[#This Row],[total_collected_premiums]]*(1-$AD$2)</f>
        <v>4782.0769919999993</v>
      </c>
      <c r="AA672" s="2">
        <f>Table1[[#This Row],[retained_premium]]-Table1[[#This Row],[claim_amount_paid]]</f>
        <v>2782.0769919999993</v>
      </c>
    </row>
    <row r="673" spans="1:27" x14ac:dyDescent="0.35">
      <c r="A673" t="s">
        <v>2058</v>
      </c>
      <c r="B673" t="s">
        <v>2059</v>
      </c>
      <c r="C673" t="s">
        <v>2060</v>
      </c>
      <c r="D673" s="1">
        <v>42065</v>
      </c>
      <c r="E673" s="1">
        <v>44135</v>
      </c>
      <c r="F673" s="1">
        <v>44140</v>
      </c>
      <c r="G673">
        <v>5</v>
      </c>
      <c r="H673">
        <v>122.73</v>
      </c>
      <c r="I673">
        <v>1472.76</v>
      </c>
      <c r="J673">
        <v>9000</v>
      </c>
      <c r="K673" t="s">
        <v>27</v>
      </c>
      <c r="L673">
        <v>9000</v>
      </c>
      <c r="M673">
        <v>6.5</v>
      </c>
      <c r="N673" t="s">
        <v>36</v>
      </c>
      <c r="O673">
        <v>78</v>
      </c>
      <c r="P673">
        <v>42</v>
      </c>
      <c r="Q673">
        <v>0</v>
      </c>
      <c r="R673">
        <v>7</v>
      </c>
      <c r="S673" t="s">
        <v>65</v>
      </c>
      <c r="T673" t="s">
        <v>44</v>
      </c>
      <c r="U673" t="s">
        <v>38</v>
      </c>
      <c r="V673" t="s">
        <v>32</v>
      </c>
      <c r="W673">
        <v>1</v>
      </c>
      <c r="X673">
        <v>0</v>
      </c>
      <c r="Y673" s="2">
        <f>Table1[[#This Row],[premium_yearly]]*Table1[[#This Row],[tenure_years]]</f>
        <v>9572.94</v>
      </c>
      <c r="Z673" s="2">
        <f>Table1[[#This Row],[total_collected_premiums]]*(1-$AD$2)</f>
        <v>6988.2462000000005</v>
      </c>
      <c r="AA673" s="2">
        <f>Table1[[#This Row],[retained_premium]]-Table1[[#This Row],[claim_amount_paid]]</f>
        <v>-2011.7537999999995</v>
      </c>
    </row>
    <row r="674" spans="1:27" x14ac:dyDescent="0.35">
      <c r="A674" t="s">
        <v>2061</v>
      </c>
      <c r="B674" t="s">
        <v>2062</v>
      </c>
      <c r="C674" t="s">
        <v>2063</v>
      </c>
      <c r="D674" s="1">
        <v>41764</v>
      </c>
      <c r="E674" s="1">
        <v>44140</v>
      </c>
      <c r="F674" s="1">
        <v>44145</v>
      </c>
      <c r="G674">
        <v>5</v>
      </c>
      <c r="H674">
        <v>98.27</v>
      </c>
      <c r="I674">
        <v>1179.24</v>
      </c>
      <c r="J674">
        <v>7000</v>
      </c>
      <c r="K674" t="s">
        <v>27</v>
      </c>
      <c r="L674">
        <v>7000</v>
      </c>
      <c r="M674">
        <v>6.67</v>
      </c>
      <c r="N674" t="s">
        <v>36</v>
      </c>
      <c r="O674">
        <v>80</v>
      </c>
      <c r="P674">
        <v>46</v>
      </c>
      <c r="Q674">
        <v>1</v>
      </c>
      <c r="R674">
        <v>5</v>
      </c>
      <c r="S674" t="s">
        <v>65</v>
      </c>
      <c r="T674" t="s">
        <v>30</v>
      </c>
      <c r="U674" t="s">
        <v>51</v>
      </c>
      <c r="V674" t="s">
        <v>45</v>
      </c>
      <c r="W674">
        <v>1</v>
      </c>
      <c r="X674">
        <v>0</v>
      </c>
      <c r="Y674" s="2">
        <f>Table1[[#This Row],[premium_yearly]]*Table1[[#This Row],[tenure_years]]</f>
        <v>7865.5307999999995</v>
      </c>
      <c r="Z674" s="2">
        <f>Table1[[#This Row],[total_collected_premiums]]*(1-$AD$2)</f>
        <v>5741.8374839999997</v>
      </c>
      <c r="AA674" s="2">
        <f>Table1[[#This Row],[retained_premium]]-Table1[[#This Row],[claim_amount_paid]]</f>
        <v>-1258.1625160000003</v>
      </c>
    </row>
    <row r="675" spans="1:27" x14ac:dyDescent="0.35">
      <c r="A675" t="s">
        <v>2064</v>
      </c>
      <c r="B675" t="s">
        <v>2065</v>
      </c>
      <c r="C675" t="s">
        <v>2066</v>
      </c>
      <c r="D675" s="1">
        <v>42486</v>
      </c>
      <c r="E675" s="1">
        <v>44151</v>
      </c>
      <c r="F675" s="1">
        <v>44151</v>
      </c>
      <c r="G675">
        <v>0</v>
      </c>
      <c r="H675">
        <v>78.02</v>
      </c>
      <c r="I675">
        <v>936.24</v>
      </c>
      <c r="J675">
        <v>2000</v>
      </c>
      <c r="K675" t="s">
        <v>27</v>
      </c>
      <c r="L675">
        <v>2000</v>
      </c>
      <c r="M675">
        <v>4.42</v>
      </c>
      <c r="N675" t="s">
        <v>36</v>
      </c>
      <c r="O675">
        <v>53</v>
      </c>
      <c r="P675">
        <v>60</v>
      </c>
      <c r="Q675">
        <v>1</v>
      </c>
      <c r="R675">
        <v>4</v>
      </c>
      <c r="S675" t="s">
        <v>29</v>
      </c>
      <c r="T675" t="s">
        <v>30</v>
      </c>
      <c r="U675" t="s">
        <v>38</v>
      </c>
      <c r="V675" t="s">
        <v>45</v>
      </c>
      <c r="W675">
        <v>0</v>
      </c>
      <c r="X675">
        <v>0</v>
      </c>
      <c r="Y675" s="2">
        <f>Table1[[#This Row],[premium_yearly]]*Table1[[#This Row],[tenure_years]]</f>
        <v>4138.1808000000001</v>
      </c>
      <c r="Z675" s="2">
        <f>Table1[[#This Row],[total_collected_premiums]]*(1-$AD$2)</f>
        <v>3020.8719839999999</v>
      </c>
      <c r="AA675" s="2">
        <f>Table1[[#This Row],[retained_premium]]-Table1[[#This Row],[claim_amount_paid]]</f>
        <v>1020.8719839999999</v>
      </c>
    </row>
    <row r="676" spans="1:27" x14ac:dyDescent="0.35">
      <c r="A676" t="s">
        <v>2067</v>
      </c>
      <c r="B676" t="s">
        <v>2068</v>
      </c>
      <c r="C676" t="s">
        <v>2069</v>
      </c>
      <c r="D676" s="1">
        <v>40533</v>
      </c>
      <c r="E676" s="1">
        <v>44152</v>
      </c>
      <c r="F676" s="1">
        <v>44152</v>
      </c>
      <c r="G676">
        <v>0</v>
      </c>
      <c r="H676">
        <v>133.19999999999999</v>
      </c>
      <c r="I676">
        <v>1598.4</v>
      </c>
      <c r="J676">
        <v>1000</v>
      </c>
      <c r="K676" t="s">
        <v>27</v>
      </c>
      <c r="L676">
        <v>1000</v>
      </c>
      <c r="M676">
        <v>3.67</v>
      </c>
      <c r="N676" t="s">
        <v>28</v>
      </c>
      <c r="O676">
        <v>44</v>
      </c>
      <c r="P676">
        <v>48</v>
      </c>
      <c r="Q676">
        <v>1</v>
      </c>
      <c r="R676">
        <v>4</v>
      </c>
      <c r="S676" t="s">
        <v>29</v>
      </c>
      <c r="T676" t="s">
        <v>50</v>
      </c>
      <c r="U676" t="s">
        <v>38</v>
      </c>
      <c r="V676" t="s">
        <v>45</v>
      </c>
      <c r="W676">
        <v>1</v>
      </c>
      <c r="X676">
        <v>1</v>
      </c>
      <c r="Y676" s="2">
        <f>Table1[[#This Row],[premium_yearly]]*Table1[[#This Row],[tenure_years]]</f>
        <v>5866.1280000000006</v>
      </c>
      <c r="Z676" s="2">
        <f>Table1[[#This Row],[total_collected_premiums]]*(1-$AD$2)</f>
        <v>4282.2734399999999</v>
      </c>
      <c r="AA676" s="2">
        <f>Table1[[#This Row],[retained_premium]]-Table1[[#This Row],[claim_amount_paid]]</f>
        <v>3282.2734399999999</v>
      </c>
    </row>
    <row r="677" spans="1:27" x14ac:dyDescent="0.35">
      <c r="A677" t="s">
        <v>2070</v>
      </c>
      <c r="B677" t="s">
        <v>2071</v>
      </c>
      <c r="C677" t="s">
        <v>2072</v>
      </c>
      <c r="D677" s="1">
        <v>41698</v>
      </c>
      <c r="E677" s="1">
        <v>44134</v>
      </c>
      <c r="F677" s="1">
        <v>44139</v>
      </c>
      <c r="G677">
        <v>5</v>
      </c>
      <c r="H677">
        <v>133.46</v>
      </c>
      <c r="I677">
        <v>1601.52</v>
      </c>
      <c r="J677">
        <v>9000</v>
      </c>
      <c r="K677" t="s">
        <v>43</v>
      </c>
      <c r="L677">
        <v>0</v>
      </c>
      <c r="M677">
        <v>3.58</v>
      </c>
      <c r="N677" t="s">
        <v>49</v>
      </c>
      <c r="O677">
        <v>43</v>
      </c>
      <c r="P677">
        <v>44</v>
      </c>
      <c r="Q677">
        <v>1</v>
      </c>
      <c r="R677">
        <v>5</v>
      </c>
      <c r="S677" t="s">
        <v>29</v>
      </c>
      <c r="T677" t="s">
        <v>50</v>
      </c>
      <c r="U677" t="s">
        <v>38</v>
      </c>
      <c r="V677" t="s">
        <v>39</v>
      </c>
      <c r="W677">
        <v>1</v>
      </c>
      <c r="X677">
        <v>0</v>
      </c>
      <c r="Y677" s="2">
        <f>Table1[[#This Row],[premium_yearly]]*Table1[[#This Row],[tenure_years]]</f>
        <v>5733.4416000000001</v>
      </c>
      <c r="Z677" s="2">
        <f>Table1[[#This Row],[total_collected_premiums]]*(1-$AD$2)</f>
        <v>4185.4123680000002</v>
      </c>
      <c r="AA677" s="2">
        <f>Table1[[#This Row],[retained_premium]]-Table1[[#This Row],[claim_amount_paid]]</f>
        <v>4185.4123680000002</v>
      </c>
    </row>
    <row r="678" spans="1:27" x14ac:dyDescent="0.35">
      <c r="A678" t="s">
        <v>2073</v>
      </c>
      <c r="B678" t="s">
        <v>2074</v>
      </c>
      <c r="C678" t="s">
        <v>2075</v>
      </c>
      <c r="D678" s="1">
        <v>41782</v>
      </c>
      <c r="E678" s="1">
        <v>44133</v>
      </c>
      <c r="F678" s="1">
        <v>44138</v>
      </c>
      <c r="G678">
        <v>5</v>
      </c>
      <c r="H678">
        <v>99.07</v>
      </c>
      <c r="I678">
        <v>1188.8399999999999</v>
      </c>
      <c r="J678">
        <v>6000</v>
      </c>
      <c r="K678" t="s">
        <v>27</v>
      </c>
      <c r="L678">
        <v>6000</v>
      </c>
      <c r="M678">
        <v>1.92</v>
      </c>
      <c r="N678" t="s">
        <v>49</v>
      </c>
      <c r="O678">
        <v>23</v>
      </c>
      <c r="P678">
        <v>60</v>
      </c>
      <c r="Q678">
        <v>1</v>
      </c>
      <c r="R678">
        <v>3</v>
      </c>
      <c r="S678" t="s">
        <v>29</v>
      </c>
      <c r="T678" t="s">
        <v>30</v>
      </c>
      <c r="U678" t="s">
        <v>66</v>
      </c>
      <c r="V678" t="s">
        <v>32</v>
      </c>
      <c r="W678">
        <v>1</v>
      </c>
      <c r="X678">
        <v>1</v>
      </c>
      <c r="Y678" s="2">
        <f>Table1[[#This Row],[premium_yearly]]*Table1[[#This Row],[tenure_years]]</f>
        <v>2282.5727999999999</v>
      </c>
      <c r="Z678" s="2">
        <f>Table1[[#This Row],[total_collected_premiums]]*(1-$AD$2)</f>
        <v>1666.2781439999999</v>
      </c>
      <c r="AA678" s="2">
        <f>Table1[[#This Row],[retained_premium]]-Table1[[#This Row],[claim_amount_paid]]</f>
        <v>-4333.7218560000001</v>
      </c>
    </row>
    <row r="679" spans="1:27" x14ac:dyDescent="0.35">
      <c r="A679" t="s">
        <v>2076</v>
      </c>
      <c r="B679" t="s">
        <v>2077</v>
      </c>
      <c r="C679" t="s">
        <v>2078</v>
      </c>
      <c r="D679" s="1">
        <v>43122</v>
      </c>
      <c r="E679" s="1">
        <v>44143</v>
      </c>
      <c r="F679" s="1">
        <v>44146</v>
      </c>
      <c r="G679">
        <v>3</v>
      </c>
      <c r="H679">
        <v>109.17</v>
      </c>
      <c r="I679">
        <v>1310.04</v>
      </c>
      <c r="J679">
        <v>7000</v>
      </c>
      <c r="K679" t="s">
        <v>27</v>
      </c>
      <c r="L679">
        <v>7000</v>
      </c>
      <c r="M679">
        <v>5.92</v>
      </c>
      <c r="N679" t="s">
        <v>49</v>
      </c>
      <c r="O679">
        <v>71</v>
      </c>
      <c r="P679">
        <v>37</v>
      </c>
      <c r="Q679">
        <v>1</v>
      </c>
      <c r="R679">
        <v>4</v>
      </c>
      <c r="S679" t="s">
        <v>65</v>
      </c>
      <c r="T679" t="s">
        <v>30</v>
      </c>
      <c r="U679" t="s">
        <v>31</v>
      </c>
      <c r="V679" t="s">
        <v>45</v>
      </c>
      <c r="W679">
        <v>1</v>
      </c>
      <c r="X679">
        <v>1</v>
      </c>
      <c r="Y679" s="2">
        <f>Table1[[#This Row],[premium_yearly]]*Table1[[#This Row],[tenure_years]]</f>
        <v>7755.4367999999995</v>
      </c>
      <c r="Z679" s="2">
        <f>Table1[[#This Row],[total_collected_premiums]]*(1-$AD$2)</f>
        <v>5661.4688639999995</v>
      </c>
      <c r="AA679" s="2">
        <f>Table1[[#This Row],[retained_premium]]-Table1[[#This Row],[claim_amount_paid]]</f>
        <v>-1338.5311360000005</v>
      </c>
    </row>
    <row r="680" spans="1:27" x14ac:dyDescent="0.35">
      <c r="A680" t="s">
        <v>2079</v>
      </c>
      <c r="B680" t="s">
        <v>2080</v>
      </c>
      <c r="C680" t="s">
        <v>2081</v>
      </c>
      <c r="D680" s="1">
        <v>42605</v>
      </c>
      <c r="E680" s="1">
        <v>44146</v>
      </c>
      <c r="F680" s="1">
        <v>44148</v>
      </c>
      <c r="G680">
        <v>2</v>
      </c>
      <c r="H680">
        <v>112.11</v>
      </c>
      <c r="I680">
        <v>1345.32</v>
      </c>
      <c r="J680">
        <v>10000</v>
      </c>
      <c r="K680" t="s">
        <v>27</v>
      </c>
      <c r="L680">
        <v>10000</v>
      </c>
      <c r="M680">
        <v>4.92</v>
      </c>
      <c r="N680" t="s">
        <v>36</v>
      </c>
      <c r="O680">
        <v>59</v>
      </c>
      <c r="P680">
        <v>44</v>
      </c>
      <c r="Q680">
        <v>1</v>
      </c>
      <c r="R680">
        <v>7</v>
      </c>
      <c r="S680" t="s">
        <v>65</v>
      </c>
      <c r="T680" t="s">
        <v>44</v>
      </c>
      <c r="U680" t="s">
        <v>66</v>
      </c>
      <c r="V680" t="s">
        <v>45</v>
      </c>
      <c r="W680">
        <v>0</v>
      </c>
      <c r="X680">
        <v>0</v>
      </c>
      <c r="Y680" s="2">
        <f>Table1[[#This Row],[premium_yearly]]*Table1[[#This Row],[tenure_years]]</f>
        <v>6618.9743999999992</v>
      </c>
      <c r="Z680" s="2">
        <f>Table1[[#This Row],[total_collected_premiums]]*(1-$AD$2)</f>
        <v>4831.8513119999989</v>
      </c>
      <c r="AA680" s="2">
        <f>Table1[[#This Row],[retained_premium]]-Table1[[#This Row],[claim_amount_paid]]</f>
        <v>-5168.1486880000011</v>
      </c>
    </row>
    <row r="681" spans="1:27" x14ac:dyDescent="0.35">
      <c r="A681" t="s">
        <v>2082</v>
      </c>
      <c r="B681" t="s">
        <v>2083</v>
      </c>
      <c r="C681" t="s">
        <v>2084</v>
      </c>
      <c r="D681" s="1">
        <v>43479</v>
      </c>
      <c r="E681" s="1">
        <v>44145</v>
      </c>
      <c r="F681" s="1">
        <v>44148</v>
      </c>
      <c r="G681">
        <v>3</v>
      </c>
      <c r="H681">
        <v>115.06</v>
      </c>
      <c r="I681">
        <v>1380.72</v>
      </c>
      <c r="J681">
        <v>4000</v>
      </c>
      <c r="K681" t="s">
        <v>27</v>
      </c>
      <c r="L681">
        <v>4000</v>
      </c>
      <c r="M681">
        <v>1.25</v>
      </c>
      <c r="N681" t="s">
        <v>36</v>
      </c>
      <c r="O681">
        <v>15</v>
      </c>
      <c r="P681">
        <v>26</v>
      </c>
      <c r="Q681">
        <v>1</v>
      </c>
      <c r="R681">
        <v>2</v>
      </c>
      <c r="S681" t="s">
        <v>65</v>
      </c>
      <c r="T681" t="s">
        <v>50</v>
      </c>
      <c r="U681" t="s">
        <v>58</v>
      </c>
      <c r="V681" t="s">
        <v>39</v>
      </c>
      <c r="W681">
        <v>1</v>
      </c>
      <c r="X681">
        <v>1</v>
      </c>
      <c r="Y681" s="2">
        <f>Table1[[#This Row],[premium_yearly]]*Table1[[#This Row],[tenure_years]]</f>
        <v>1725.9</v>
      </c>
      <c r="Z681" s="2">
        <f>Table1[[#This Row],[total_collected_premiums]]*(1-$AD$2)</f>
        <v>1259.9069999999999</v>
      </c>
      <c r="AA681" s="2">
        <f>Table1[[#This Row],[retained_premium]]-Table1[[#This Row],[claim_amount_paid]]</f>
        <v>-2740.0929999999998</v>
      </c>
    </row>
    <row r="682" spans="1:27" x14ac:dyDescent="0.35">
      <c r="A682" t="s">
        <v>2085</v>
      </c>
      <c r="B682" t="s">
        <v>2086</v>
      </c>
      <c r="C682" t="s">
        <v>2087</v>
      </c>
      <c r="D682" s="1">
        <v>40868</v>
      </c>
      <c r="E682" s="1">
        <v>44150</v>
      </c>
      <c r="F682" s="1">
        <v>44150</v>
      </c>
      <c r="G682">
        <v>0</v>
      </c>
      <c r="H682">
        <v>103.08</v>
      </c>
      <c r="I682">
        <v>1236.96</v>
      </c>
      <c r="J682">
        <v>2000</v>
      </c>
      <c r="K682" t="s">
        <v>27</v>
      </c>
      <c r="L682">
        <v>2000</v>
      </c>
      <c r="M682">
        <v>7.67</v>
      </c>
      <c r="N682" t="s">
        <v>49</v>
      </c>
      <c r="O682">
        <v>92</v>
      </c>
      <c r="P682">
        <v>38</v>
      </c>
      <c r="Q682">
        <v>1</v>
      </c>
      <c r="R682">
        <v>5</v>
      </c>
      <c r="S682" t="s">
        <v>29</v>
      </c>
      <c r="T682" t="s">
        <v>44</v>
      </c>
      <c r="U682" t="s">
        <v>38</v>
      </c>
      <c r="V682" t="s">
        <v>45</v>
      </c>
      <c r="W682">
        <v>1</v>
      </c>
      <c r="X682">
        <v>1</v>
      </c>
      <c r="Y682" s="2">
        <f>Table1[[#This Row],[premium_yearly]]*Table1[[#This Row],[tenure_years]]</f>
        <v>9487.4832000000006</v>
      </c>
      <c r="Z682" s="2">
        <f>Table1[[#This Row],[total_collected_premiums]]*(1-$AD$2)</f>
        <v>6925.862736</v>
      </c>
      <c r="AA682" s="2">
        <f>Table1[[#This Row],[retained_premium]]-Table1[[#This Row],[claim_amount_paid]]</f>
        <v>4925.862736</v>
      </c>
    </row>
    <row r="683" spans="1:27" x14ac:dyDescent="0.35">
      <c r="A683" t="s">
        <v>2088</v>
      </c>
      <c r="B683" t="s">
        <v>2089</v>
      </c>
      <c r="C683" t="s">
        <v>2090</v>
      </c>
      <c r="D683" s="1">
        <v>41283</v>
      </c>
      <c r="E683" s="1">
        <v>44140</v>
      </c>
      <c r="F683" s="1">
        <v>44145</v>
      </c>
      <c r="G683">
        <v>5</v>
      </c>
      <c r="H683">
        <v>85.67</v>
      </c>
      <c r="I683">
        <v>1028.04</v>
      </c>
      <c r="J683">
        <v>6000</v>
      </c>
      <c r="K683" t="s">
        <v>27</v>
      </c>
      <c r="L683">
        <v>6000</v>
      </c>
      <c r="M683">
        <v>9.75</v>
      </c>
      <c r="N683" t="s">
        <v>28</v>
      </c>
      <c r="O683">
        <v>117</v>
      </c>
      <c r="P683">
        <v>29</v>
      </c>
      <c r="Q683">
        <v>1</v>
      </c>
      <c r="R683">
        <v>5</v>
      </c>
      <c r="S683" t="s">
        <v>37</v>
      </c>
      <c r="T683" t="s">
        <v>30</v>
      </c>
      <c r="U683" t="s">
        <v>31</v>
      </c>
      <c r="V683" t="s">
        <v>32</v>
      </c>
      <c r="W683">
        <v>0</v>
      </c>
      <c r="X683">
        <v>1</v>
      </c>
      <c r="Y683" s="2">
        <f>Table1[[#This Row],[premium_yearly]]*Table1[[#This Row],[tenure_years]]</f>
        <v>10023.39</v>
      </c>
      <c r="Z683" s="2">
        <f>Table1[[#This Row],[total_collected_premiums]]*(1-$AD$2)</f>
        <v>7317.0746999999992</v>
      </c>
      <c r="AA683" s="2">
        <f>Table1[[#This Row],[retained_premium]]-Table1[[#This Row],[claim_amount_paid]]</f>
        <v>1317.0746999999992</v>
      </c>
    </row>
    <row r="684" spans="1:27" x14ac:dyDescent="0.35">
      <c r="A684" t="s">
        <v>2091</v>
      </c>
      <c r="B684" t="s">
        <v>2092</v>
      </c>
      <c r="C684" t="s">
        <v>2093</v>
      </c>
      <c r="D684" s="1">
        <v>40579</v>
      </c>
      <c r="E684" s="1">
        <v>44136</v>
      </c>
      <c r="F684" s="1">
        <v>44141</v>
      </c>
      <c r="G684">
        <v>5</v>
      </c>
      <c r="H684">
        <v>83.02</v>
      </c>
      <c r="I684">
        <v>996.24</v>
      </c>
      <c r="J684">
        <v>8000</v>
      </c>
      <c r="K684" t="s">
        <v>27</v>
      </c>
      <c r="L684">
        <v>8000</v>
      </c>
      <c r="M684">
        <v>3.67</v>
      </c>
      <c r="N684" t="s">
        <v>49</v>
      </c>
      <c r="O684">
        <v>44</v>
      </c>
      <c r="P684">
        <v>50</v>
      </c>
      <c r="Q684">
        <v>1</v>
      </c>
      <c r="R684">
        <v>2</v>
      </c>
      <c r="S684" t="s">
        <v>37</v>
      </c>
      <c r="T684" t="s">
        <v>50</v>
      </c>
      <c r="U684" t="s">
        <v>38</v>
      </c>
      <c r="V684" t="s">
        <v>39</v>
      </c>
      <c r="W684">
        <v>0</v>
      </c>
      <c r="X684">
        <v>0</v>
      </c>
      <c r="Y684" s="2">
        <f>Table1[[#This Row],[premium_yearly]]*Table1[[#This Row],[tenure_years]]</f>
        <v>3656.2008000000001</v>
      </c>
      <c r="Z684" s="2">
        <f>Table1[[#This Row],[total_collected_premiums]]*(1-$AD$2)</f>
        <v>2669.0265840000002</v>
      </c>
      <c r="AA684" s="2">
        <f>Table1[[#This Row],[retained_premium]]-Table1[[#This Row],[claim_amount_paid]]</f>
        <v>-5330.9734159999998</v>
      </c>
    </row>
    <row r="685" spans="1:27" x14ac:dyDescent="0.35">
      <c r="A685" t="s">
        <v>2094</v>
      </c>
      <c r="B685" t="s">
        <v>2095</v>
      </c>
      <c r="C685" t="s">
        <v>2096</v>
      </c>
      <c r="D685" s="1">
        <v>42293</v>
      </c>
      <c r="E685" s="1">
        <v>44142</v>
      </c>
      <c r="F685" s="1">
        <v>44147</v>
      </c>
      <c r="G685">
        <v>5</v>
      </c>
      <c r="H685">
        <v>133.97999999999999</v>
      </c>
      <c r="I685">
        <v>1607.76</v>
      </c>
      <c r="J685">
        <v>1000</v>
      </c>
      <c r="K685" t="s">
        <v>27</v>
      </c>
      <c r="L685">
        <v>1000</v>
      </c>
      <c r="M685">
        <v>9.25</v>
      </c>
      <c r="N685" t="s">
        <v>36</v>
      </c>
      <c r="O685">
        <v>111</v>
      </c>
      <c r="P685">
        <v>64</v>
      </c>
      <c r="Q685">
        <v>0</v>
      </c>
      <c r="R685">
        <v>7</v>
      </c>
      <c r="S685" t="s">
        <v>65</v>
      </c>
      <c r="T685" t="s">
        <v>30</v>
      </c>
      <c r="U685" t="s">
        <v>38</v>
      </c>
      <c r="V685" t="s">
        <v>45</v>
      </c>
      <c r="W685">
        <v>1</v>
      </c>
      <c r="X685">
        <v>1</v>
      </c>
      <c r="Y685" s="2">
        <f>Table1[[#This Row],[premium_yearly]]*Table1[[#This Row],[tenure_years]]</f>
        <v>14871.78</v>
      </c>
      <c r="Z685" s="2">
        <f>Table1[[#This Row],[total_collected_premiums]]*(1-$AD$2)</f>
        <v>10856.3994</v>
      </c>
      <c r="AA685" s="2">
        <f>Table1[[#This Row],[retained_premium]]-Table1[[#This Row],[claim_amount_paid]]</f>
        <v>9856.3994000000002</v>
      </c>
    </row>
    <row r="686" spans="1:27" x14ac:dyDescent="0.35">
      <c r="A686" t="s">
        <v>2097</v>
      </c>
      <c r="B686" t="s">
        <v>2098</v>
      </c>
      <c r="C686" t="s">
        <v>2099</v>
      </c>
      <c r="D686" s="1">
        <v>42135</v>
      </c>
      <c r="E686" s="1">
        <v>44144</v>
      </c>
      <c r="F686" s="1">
        <v>44147</v>
      </c>
      <c r="G686">
        <v>3</v>
      </c>
      <c r="H686">
        <v>98.22</v>
      </c>
      <c r="I686">
        <v>1178.6400000000001</v>
      </c>
      <c r="J686">
        <v>2000</v>
      </c>
      <c r="K686" t="s">
        <v>27</v>
      </c>
      <c r="L686">
        <v>2000</v>
      </c>
      <c r="M686">
        <v>9.67</v>
      </c>
      <c r="N686" t="s">
        <v>49</v>
      </c>
      <c r="O686">
        <v>116</v>
      </c>
      <c r="P686">
        <v>47</v>
      </c>
      <c r="Q686">
        <v>1</v>
      </c>
      <c r="R686">
        <v>6</v>
      </c>
      <c r="S686" t="s">
        <v>65</v>
      </c>
      <c r="T686" t="s">
        <v>30</v>
      </c>
      <c r="U686" t="s">
        <v>58</v>
      </c>
      <c r="V686" t="s">
        <v>32</v>
      </c>
      <c r="W686">
        <v>0</v>
      </c>
      <c r="X686">
        <v>1</v>
      </c>
      <c r="Y686" s="2">
        <f>Table1[[#This Row],[premium_yearly]]*Table1[[#This Row],[tenure_years]]</f>
        <v>11397.4488</v>
      </c>
      <c r="Z686" s="2">
        <f>Table1[[#This Row],[total_collected_premiums]]*(1-$AD$2)</f>
        <v>8320.1376239999991</v>
      </c>
      <c r="AA686" s="2">
        <f>Table1[[#This Row],[retained_premium]]-Table1[[#This Row],[claim_amount_paid]]</f>
        <v>6320.1376239999991</v>
      </c>
    </row>
    <row r="687" spans="1:27" x14ac:dyDescent="0.35">
      <c r="A687" t="s">
        <v>2100</v>
      </c>
      <c r="B687" t="s">
        <v>2101</v>
      </c>
      <c r="C687" t="s">
        <v>2102</v>
      </c>
      <c r="D687" s="1">
        <v>43599</v>
      </c>
      <c r="E687" s="1">
        <v>44140</v>
      </c>
      <c r="F687" s="1">
        <v>44145</v>
      </c>
      <c r="G687">
        <v>5</v>
      </c>
      <c r="H687">
        <v>126.65</v>
      </c>
      <c r="I687">
        <v>1519.8</v>
      </c>
      <c r="J687">
        <v>9000</v>
      </c>
      <c r="K687" t="s">
        <v>27</v>
      </c>
      <c r="L687">
        <v>9000</v>
      </c>
      <c r="M687">
        <v>3.33</v>
      </c>
      <c r="N687" t="s">
        <v>36</v>
      </c>
      <c r="O687">
        <v>40</v>
      </c>
      <c r="P687">
        <v>49</v>
      </c>
      <c r="Q687">
        <v>0</v>
      </c>
      <c r="R687">
        <v>7</v>
      </c>
      <c r="S687" t="s">
        <v>65</v>
      </c>
      <c r="T687" t="s">
        <v>50</v>
      </c>
      <c r="U687" t="s">
        <v>31</v>
      </c>
      <c r="V687" t="s">
        <v>45</v>
      </c>
      <c r="W687">
        <v>0</v>
      </c>
      <c r="X687">
        <v>1</v>
      </c>
      <c r="Y687" s="2">
        <f>Table1[[#This Row],[premium_yearly]]*Table1[[#This Row],[tenure_years]]</f>
        <v>5060.9340000000002</v>
      </c>
      <c r="Z687" s="2">
        <f>Table1[[#This Row],[total_collected_premiums]]*(1-$AD$2)</f>
        <v>3694.48182</v>
      </c>
      <c r="AA687" s="2">
        <f>Table1[[#This Row],[retained_premium]]-Table1[[#This Row],[claim_amount_paid]]</f>
        <v>-5305.51818</v>
      </c>
    </row>
    <row r="688" spans="1:27" x14ac:dyDescent="0.35">
      <c r="A688" t="s">
        <v>2103</v>
      </c>
      <c r="B688" t="s">
        <v>2104</v>
      </c>
      <c r="C688" t="s">
        <v>2105</v>
      </c>
      <c r="D688" s="1">
        <v>42198</v>
      </c>
      <c r="E688" s="1">
        <v>44146</v>
      </c>
      <c r="F688" s="1">
        <v>44149</v>
      </c>
      <c r="G688">
        <v>3</v>
      </c>
      <c r="H688">
        <v>71.53</v>
      </c>
      <c r="I688">
        <v>858.36</v>
      </c>
      <c r="J688">
        <v>2000</v>
      </c>
      <c r="K688" t="s">
        <v>27</v>
      </c>
      <c r="L688">
        <v>2000</v>
      </c>
      <c r="M688">
        <v>8.92</v>
      </c>
      <c r="N688" t="s">
        <v>49</v>
      </c>
      <c r="O688">
        <v>107</v>
      </c>
      <c r="P688">
        <v>31</v>
      </c>
      <c r="Q688">
        <v>1</v>
      </c>
      <c r="R688">
        <v>3</v>
      </c>
      <c r="S688" t="s">
        <v>37</v>
      </c>
      <c r="T688" t="s">
        <v>50</v>
      </c>
      <c r="U688" t="s">
        <v>66</v>
      </c>
      <c r="V688" t="s">
        <v>39</v>
      </c>
      <c r="W688">
        <v>1</v>
      </c>
      <c r="X688">
        <v>0</v>
      </c>
      <c r="Y688" s="2">
        <f>Table1[[#This Row],[premium_yearly]]*Table1[[#This Row],[tenure_years]]</f>
        <v>7656.5712000000003</v>
      </c>
      <c r="Z688" s="2">
        <f>Table1[[#This Row],[total_collected_premiums]]*(1-$AD$2)</f>
        <v>5589.2969760000005</v>
      </c>
      <c r="AA688" s="2">
        <f>Table1[[#This Row],[retained_premium]]-Table1[[#This Row],[claim_amount_paid]]</f>
        <v>3589.2969760000005</v>
      </c>
    </row>
    <row r="689" spans="1:27" x14ac:dyDescent="0.35">
      <c r="A689" t="s">
        <v>2106</v>
      </c>
      <c r="B689" t="s">
        <v>2107</v>
      </c>
      <c r="C689" t="s">
        <v>2108</v>
      </c>
      <c r="D689" s="1">
        <v>43721</v>
      </c>
      <c r="E689" s="1">
        <v>44151</v>
      </c>
      <c r="F689" s="1">
        <v>44152</v>
      </c>
      <c r="G689">
        <v>1</v>
      </c>
      <c r="H689">
        <v>117.06</v>
      </c>
      <c r="I689">
        <v>1404.72</v>
      </c>
      <c r="J689">
        <v>10000</v>
      </c>
      <c r="K689" t="s">
        <v>27</v>
      </c>
      <c r="L689">
        <v>10000</v>
      </c>
      <c r="M689">
        <v>2.5</v>
      </c>
      <c r="N689" t="s">
        <v>36</v>
      </c>
      <c r="O689">
        <v>30</v>
      </c>
      <c r="P689">
        <v>34</v>
      </c>
      <c r="Q689">
        <v>1</v>
      </c>
      <c r="R689">
        <v>2</v>
      </c>
      <c r="S689" t="s">
        <v>29</v>
      </c>
      <c r="T689" t="s">
        <v>50</v>
      </c>
      <c r="U689" t="s">
        <v>38</v>
      </c>
      <c r="V689" t="s">
        <v>32</v>
      </c>
      <c r="W689">
        <v>1</v>
      </c>
      <c r="X689">
        <v>0</v>
      </c>
      <c r="Y689" s="2">
        <f>Table1[[#This Row],[premium_yearly]]*Table1[[#This Row],[tenure_years]]</f>
        <v>3511.8</v>
      </c>
      <c r="Z689" s="2">
        <f>Table1[[#This Row],[total_collected_premiums]]*(1-$AD$2)</f>
        <v>2563.614</v>
      </c>
      <c r="AA689" s="2">
        <f>Table1[[#This Row],[retained_premium]]-Table1[[#This Row],[claim_amount_paid]]</f>
        <v>-7436.3860000000004</v>
      </c>
    </row>
    <row r="690" spans="1:27" x14ac:dyDescent="0.35">
      <c r="A690" t="s">
        <v>2109</v>
      </c>
      <c r="B690" t="s">
        <v>2110</v>
      </c>
      <c r="C690" t="s">
        <v>2111</v>
      </c>
      <c r="D690" s="1">
        <v>43388</v>
      </c>
      <c r="E690" s="1">
        <v>44137</v>
      </c>
      <c r="F690" s="1">
        <v>44142</v>
      </c>
      <c r="G690">
        <v>5</v>
      </c>
      <c r="H690">
        <v>73.72</v>
      </c>
      <c r="I690">
        <v>884.64</v>
      </c>
      <c r="J690">
        <v>7000</v>
      </c>
      <c r="K690" t="s">
        <v>43</v>
      </c>
      <c r="L690">
        <v>0</v>
      </c>
      <c r="M690">
        <v>7.25</v>
      </c>
      <c r="N690" t="s">
        <v>36</v>
      </c>
      <c r="O690">
        <v>87</v>
      </c>
      <c r="P690">
        <v>44</v>
      </c>
      <c r="Q690">
        <v>1</v>
      </c>
      <c r="R690">
        <v>5</v>
      </c>
      <c r="S690" t="s">
        <v>29</v>
      </c>
      <c r="T690" t="s">
        <v>50</v>
      </c>
      <c r="U690" t="s">
        <v>38</v>
      </c>
      <c r="V690" t="s">
        <v>32</v>
      </c>
      <c r="W690">
        <v>1</v>
      </c>
      <c r="X690">
        <v>0</v>
      </c>
      <c r="Y690" s="2">
        <f>Table1[[#This Row],[premium_yearly]]*Table1[[#This Row],[tenure_years]]</f>
        <v>6413.64</v>
      </c>
      <c r="Z690" s="2">
        <f>Table1[[#This Row],[total_collected_premiums]]*(1-$AD$2)</f>
        <v>4681.9571999999998</v>
      </c>
      <c r="AA690" s="2">
        <f>Table1[[#This Row],[retained_premium]]-Table1[[#This Row],[claim_amount_paid]]</f>
        <v>4681.9571999999998</v>
      </c>
    </row>
    <row r="691" spans="1:27" x14ac:dyDescent="0.35">
      <c r="A691" t="s">
        <v>2112</v>
      </c>
      <c r="B691" t="s">
        <v>2113</v>
      </c>
      <c r="C691" t="s">
        <v>2114</v>
      </c>
      <c r="D691" s="1">
        <v>42463</v>
      </c>
      <c r="E691" s="1">
        <v>44137</v>
      </c>
      <c r="F691" s="1">
        <v>44142</v>
      </c>
      <c r="G691">
        <v>5</v>
      </c>
      <c r="H691">
        <v>78.36</v>
      </c>
      <c r="I691">
        <v>940.32</v>
      </c>
      <c r="J691">
        <v>1000</v>
      </c>
      <c r="K691" t="s">
        <v>27</v>
      </c>
      <c r="L691">
        <v>1000</v>
      </c>
      <c r="M691">
        <v>2.08</v>
      </c>
      <c r="N691" t="s">
        <v>36</v>
      </c>
      <c r="O691">
        <v>25</v>
      </c>
      <c r="P691">
        <v>51</v>
      </c>
      <c r="Q691">
        <v>1</v>
      </c>
      <c r="R691">
        <v>4</v>
      </c>
      <c r="S691" t="s">
        <v>65</v>
      </c>
      <c r="T691" t="s">
        <v>30</v>
      </c>
      <c r="U691" t="s">
        <v>88</v>
      </c>
      <c r="V691" t="s">
        <v>39</v>
      </c>
      <c r="W691">
        <v>1</v>
      </c>
      <c r="X691">
        <v>1</v>
      </c>
      <c r="Y691" s="2">
        <f>Table1[[#This Row],[premium_yearly]]*Table1[[#This Row],[tenure_years]]</f>
        <v>1955.8656000000001</v>
      </c>
      <c r="Z691" s="2">
        <f>Table1[[#This Row],[total_collected_premiums]]*(1-$AD$2)</f>
        <v>1427.781888</v>
      </c>
      <c r="AA691" s="2">
        <f>Table1[[#This Row],[retained_premium]]-Table1[[#This Row],[claim_amount_paid]]</f>
        <v>427.78188799999998</v>
      </c>
    </row>
    <row r="692" spans="1:27" x14ac:dyDescent="0.35">
      <c r="A692" t="s">
        <v>2115</v>
      </c>
      <c r="B692" t="s">
        <v>2116</v>
      </c>
      <c r="C692" t="s">
        <v>2117</v>
      </c>
      <c r="D692" s="1">
        <v>43465</v>
      </c>
      <c r="E692" s="1">
        <v>44136</v>
      </c>
      <c r="F692" s="1">
        <v>44141</v>
      </c>
      <c r="G692">
        <v>5</v>
      </c>
      <c r="H692">
        <v>129.63</v>
      </c>
      <c r="I692">
        <v>1555.56</v>
      </c>
      <c r="J692">
        <v>9000</v>
      </c>
      <c r="K692" t="s">
        <v>27</v>
      </c>
      <c r="L692">
        <v>9000</v>
      </c>
      <c r="M692">
        <v>6.5</v>
      </c>
      <c r="N692" t="s">
        <v>28</v>
      </c>
      <c r="O692">
        <v>78</v>
      </c>
      <c r="P692">
        <v>40</v>
      </c>
      <c r="Q692">
        <v>0</v>
      </c>
      <c r="R692">
        <v>6</v>
      </c>
      <c r="S692" t="s">
        <v>65</v>
      </c>
      <c r="T692" t="s">
        <v>30</v>
      </c>
      <c r="U692" t="s">
        <v>31</v>
      </c>
      <c r="V692" t="s">
        <v>32</v>
      </c>
      <c r="W692">
        <v>1</v>
      </c>
      <c r="X692">
        <v>1</v>
      </c>
      <c r="Y692" s="2">
        <f>Table1[[#This Row],[premium_yearly]]*Table1[[#This Row],[tenure_years]]</f>
        <v>10111.14</v>
      </c>
      <c r="Z692" s="2">
        <f>Table1[[#This Row],[total_collected_premiums]]*(1-$AD$2)</f>
        <v>7381.1321999999991</v>
      </c>
      <c r="AA692" s="2">
        <f>Table1[[#This Row],[retained_premium]]-Table1[[#This Row],[claim_amount_paid]]</f>
        <v>-1618.8678000000009</v>
      </c>
    </row>
    <row r="693" spans="1:27" x14ac:dyDescent="0.35">
      <c r="A693" t="s">
        <v>2118</v>
      </c>
      <c r="B693" t="s">
        <v>2119</v>
      </c>
      <c r="C693" t="s">
        <v>2120</v>
      </c>
      <c r="D693" s="1">
        <v>42773</v>
      </c>
      <c r="E693" s="1">
        <v>44136</v>
      </c>
      <c r="F693" s="1">
        <v>44141</v>
      </c>
      <c r="G693">
        <v>5</v>
      </c>
      <c r="H693">
        <v>110.1</v>
      </c>
      <c r="I693">
        <v>1321.2</v>
      </c>
      <c r="J693">
        <v>2000</v>
      </c>
      <c r="K693" t="s">
        <v>27</v>
      </c>
      <c r="L693">
        <v>2000</v>
      </c>
      <c r="M693">
        <v>5.5</v>
      </c>
      <c r="N693" t="s">
        <v>49</v>
      </c>
      <c r="O693">
        <v>66</v>
      </c>
      <c r="P693">
        <v>52</v>
      </c>
      <c r="Q693">
        <v>1</v>
      </c>
      <c r="R693">
        <v>6</v>
      </c>
      <c r="S693" t="s">
        <v>29</v>
      </c>
      <c r="T693" t="s">
        <v>50</v>
      </c>
      <c r="U693" t="s">
        <v>31</v>
      </c>
      <c r="V693" t="s">
        <v>39</v>
      </c>
      <c r="W693">
        <v>1</v>
      </c>
      <c r="X693">
        <v>0</v>
      </c>
      <c r="Y693" s="2">
        <f>Table1[[#This Row],[premium_yearly]]*Table1[[#This Row],[tenure_years]]</f>
        <v>7266.6</v>
      </c>
      <c r="Z693" s="2">
        <f>Table1[[#This Row],[total_collected_premiums]]*(1-$AD$2)</f>
        <v>5304.6180000000004</v>
      </c>
      <c r="AA693" s="2">
        <f>Table1[[#This Row],[retained_premium]]-Table1[[#This Row],[claim_amount_paid]]</f>
        <v>3304.6180000000004</v>
      </c>
    </row>
    <row r="694" spans="1:27" x14ac:dyDescent="0.35">
      <c r="A694" t="s">
        <v>2121</v>
      </c>
      <c r="B694" t="s">
        <v>2122</v>
      </c>
      <c r="C694" t="s">
        <v>2123</v>
      </c>
      <c r="D694" s="1">
        <v>43210</v>
      </c>
      <c r="E694" s="1">
        <v>44138</v>
      </c>
      <c r="F694" s="1">
        <v>44143</v>
      </c>
      <c r="G694">
        <v>5</v>
      </c>
      <c r="H694">
        <v>93.78</v>
      </c>
      <c r="I694">
        <v>1125.3599999999999</v>
      </c>
      <c r="J694">
        <v>4000</v>
      </c>
      <c r="K694" t="s">
        <v>27</v>
      </c>
      <c r="L694">
        <v>4000</v>
      </c>
      <c r="M694">
        <v>5.67</v>
      </c>
      <c r="N694" t="s">
        <v>49</v>
      </c>
      <c r="O694">
        <v>68</v>
      </c>
      <c r="P694">
        <v>55</v>
      </c>
      <c r="Q694">
        <v>1</v>
      </c>
      <c r="R694">
        <v>7</v>
      </c>
      <c r="S694" t="s">
        <v>29</v>
      </c>
      <c r="T694" t="s">
        <v>30</v>
      </c>
      <c r="U694" t="s">
        <v>38</v>
      </c>
      <c r="V694" t="s">
        <v>45</v>
      </c>
      <c r="W694">
        <v>1</v>
      </c>
      <c r="X694">
        <v>1</v>
      </c>
      <c r="Y694" s="2">
        <f>Table1[[#This Row],[premium_yearly]]*Table1[[#This Row],[tenure_years]]</f>
        <v>6380.7911999999997</v>
      </c>
      <c r="Z694" s="2">
        <f>Table1[[#This Row],[total_collected_premiums]]*(1-$AD$2)</f>
        <v>4657.9775759999993</v>
      </c>
      <c r="AA694" s="2">
        <f>Table1[[#This Row],[retained_premium]]-Table1[[#This Row],[claim_amount_paid]]</f>
        <v>657.97757599999932</v>
      </c>
    </row>
    <row r="695" spans="1:27" x14ac:dyDescent="0.35">
      <c r="A695" t="s">
        <v>2124</v>
      </c>
      <c r="B695" t="s">
        <v>2125</v>
      </c>
      <c r="C695" t="s">
        <v>2126</v>
      </c>
      <c r="D695" s="1">
        <v>42786</v>
      </c>
      <c r="E695" s="1">
        <v>44149</v>
      </c>
      <c r="F695" s="1">
        <v>44152</v>
      </c>
      <c r="G695">
        <v>3</v>
      </c>
      <c r="H695">
        <v>73.760000000000005</v>
      </c>
      <c r="I695">
        <v>885.12</v>
      </c>
      <c r="J695">
        <v>3000</v>
      </c>
      <c r="K695" t="s">
        <v>27</v>
      </c>
      <c r="L695">
        <v>3000</v>
      </c>
      <c r="M695">
        <v>7.67</v>
      </c>
      <c r="N695" t="s">
        <v>49</v>
      </c>
      <c r="O695">
        <v>92</v>
      </c>
      <c r="P695">
        <v>28</v>
      </c>
      <c r="Q695">
        <v>0</v>
      </c>
      <c r="R695">
        <v>4</v>
      </c>
      <c r="S695" t="s">
        <v>65</v>
      </c>
      <c r="T695" t="s">
        <v>30</v>
      </c>
      <c r="U695" t="s">
        <v>38</v>
      </c>
      <c r="V695" t="s">
        <v>32</v>
      </c>
      <c r="W695">
        <v>1</v>
      </c>
      <c r="X695">
        <v>1</v>
      </c>
      <c r="Y695" s="2">
        <f>Table1[[#This Row],[premium_yearly]]*Table1[[#This Row],[tenure_years]]</f>
        <v>6788.8703999999998</v>
      </c>
      <c r="Z695" s="2">
        <f>Table1[[#This Row],[total_collected_premiums]]*(1-$AD$2)</f>
        <v>4955.8753919999999</v>
      </c>
      <c r="AA695" s="2">
        <f>Table1[[#This Row],[retained_premium]]-Table1[[#This Row],[claim_amount_paid]]</f>
        <v>1955.8753919999999</v>
      </c>
    </row>
    <row r="696" spans="1:27" x14ac:dyDescent="0.35">
      <c r="A696" t="s">
        <v>2127</v>
      </c>
      <c r="B696" t="s">
        <v>2128</v>
      </c>
      <c r="C696" t="s">
        <v>2129</v>
      </c>
      <c r="D696" s="1">
        <v>40530</v>
      </c>
      <c r="E696" s="1">
        <v>44140</v>
      </c>
      <c r="F696" s="1">
        <v>44145</v>
      </c>
      <c r="G696">
        <v>5</v>
      </c>
      <c r="H696">
        <v>93.81</v>
      </c>
      <c r="I696">
        <v>1125.72</v>
      </c>
      <c r="J696">
        <v>7000</v>
      </c>
      <c r="K696" t="s">
        <v>27</v>
      </c>
      <c r="L696">
        <v>7000</v>
      </c>
      <c r="M696">
        <v>1.75</v>
      </c>
      <c r="N696" t="s">
        <v>49</v>
      </c>
      <c r="O696">
        <v>21</v>
      </c>
      <c r="P696">
        <v>64</v>
      </c>
      <c r="Q696">
        <v>1</v>
      </c>
      <c r="R696">
        <v>7</v>
      </c>
      <c r="S696" t="s">
        <v>65</v>
      </c>
      <c r="T696" t="s">
        <v>30</v>
      </c>
      <c r="U696" t="s">
        <v>88</v>
      </c>
      <c r="V696" t="s">
        <v>39</v>
      </c>
      <c r="W696">
        <v>1</v>
      </c>
      <c r="X696">
        <v>0</v>
      </c>
      <c r="Y696" s="2">
        <f>Table1[[#This Row],[premium_yearly]]*Table1[[#This Row],[tenure_years]]</f>
        <v>1970.01</v>
      </c>
      <c r="Z696" s="2">
        <f>Table1[[#This Row],[total_collected_premiums]]*(1-$AD$2)</f>
        <v>1438.1072999999999</v>
      </c>
      <c r="AA696" s="2">
        <f>Table1[[#This Row],[retained_premium]]-Table1[[#This Row],[claim_amount_paid]]</f>
        <v>-5561.8927000000003</v>
      </c>
    </row>
    <row r="697" spans="1:27" x14ac:dyDescent="0.35">
      <c r="A697" t="s">
        <v>2130</v>
      </c>
      <c r="B697" t="s">
        <v>2131</v>
      </c>
      <c r="C697" t="s">
        <v>2132</v>
      </c>
      <c r="D697" s="1">
        <v>41952</v>
      </c>
      <c r="E697" s="1">
        <v>44152</v>
      </c>
      <c r="F697" s="1">
        <v>44154</v>
      </c>
      <c r="G697">
        <v>2</v>
      </c>
      <c r="H697">
        <v>95.8</v>
      </c>
      <c r="I697">
        <v>1149.5999999999999</v>
      </c>
      <c r="J697">
        <v>2000</v>
      </c>
      <c r="K697" t="s">
        <v>27</v>
      </c>
      <c r="L697">
        <v>2000</v>
      </c>
      <c r="M697">
        <v>2.42</v>
      </c>
      <c r="N697" t="s">
        <v>36</v>
      </c>
      <c r="O697">
        <v>29</v>
      </c>
      <c r="P697">
        <v>37</v>
      </c>
      <c r="Q697">
        <v>0</v>
      </c>
      <c r="R697">
        <v>2</v>
      </c>
      <c r="S697" t="s">
        <v>65</v>
      </c>
      <c r="T697" t="s">
        <v>30</v>
      </c>
      <c r="U697" t="s">
        <v>31</v>
      </c>
      <c r="V697" t="s">
        <v>32</v>
      </c>
      <c r="W697">
        <v>1</v>
      </c>
      <c r="X697">
        <v>1</v>
      </c>
      <c r="Y697" s="2">
        <f>Table1[[#This Row],[premium_yearly]]*Table1[[#This Row],[tenure_years]]</f>
        <v>2782.0319999999997</v>
      </c>
      <c r="Z697" s="2">
        <f>Table1[[#This Row],[total_collected_premiums]]*(1-$AD$2)</f>
        <v>2030.8833599999998</v>
      </c>
      <c r="AA697" s="2">
        <f>Table1[[#This Row],[retained_premium]]-Table1[[#This Row],[claim_amount_paid]]</f>
        <v>30.883359999999811</v>
      </c>
    </row>
    <row r="698" spans="1:27" x14ac:dyDescent="0.35">
      <c r="A698" t="s">
        <v>2133</v>
      </c>
      <c r="B698" t="s">
        <v>2134</v>
      </c>
      <c r="C698" t="s">
        <v>2135</v>
      </c>
      <c r="D698" s="1">
        <v>41664</v>
      </c>
      <c r="E698" s="1">
        <v>44154</v>
      </c>
      <c r="F698" s="1">
        <v>44155</v>
      </c>
      <c r="G698">
        <v>1</v>
      </c>
      <c r="H698">
        <v>124.72</v>
      </c>
      <c r="I698">
        <v>1496.64</v>
      </c>
      <c r="J698">
        <v>4000</v>
      </c>
      <c r="K698" t="s">
        <v>27</v>
      </c>
      <c r="L698">
        <v>4000</v>
      </c>
      <c r="M698">
        <v>1.33</v>
      </c>
      <c r="N698" t="s">
        <v>49</v>
      </c>
      <c r="O698">
        <v>16</v>
      </c>
      <c r="P698">
        <v>58</v>
      </c>
      <c r="Q698">
        <v>1</v>
      </c>
      <c r="R698">
        <v>5</v>
      </c>
      <c r="S698" t="s">
        <v>29</v>
      </c>
      <c r="T698" t="s">
        <v>30</v>
      </c>
      <c r="U698" t="s">
        <v>88</v>
      </c>
      <c r="V698" t="s">
        <v>32</v>
      </c>
      <c r="W698">
        <v>1</v>
      </c>
      <c r="X698">
        <v>1</v>
      </c>
      <c r="Y698" s="2">
        <f>Table1[[#This Row],[premium_yearly]]*Table1[[#This Row],[tenure_years]]</f>
        <v>1990.5312000000001</v>
      </c>
      <c r="Z698" s="2">
        <f>Table1[[#This Row],[total_collected_premiums]]*(1-$AD$2)</f>
        <v>1453.0877760000001</v>
      </c>
      <c r="AA698" s="2">
        <f>Table1[[#This Row],[retained_premium]]-Table1[[#This Row],[claim_amount_paid]]</f>
        <v>-2546.9122239999997</v>
      </c>
    </row>
    <row r="699" spans="1:27" x14ac:dyDescent="0.35">
      <c r="A699" t="s">
        <v>2136</v>
      </c>
      <c r="B699" t="s">
        <v>2137</v>
      </c>
      <c r="C699" t="s">
        <v>2138</v>
      </c>
      <c r="D699" s="1">
        <v>42861</v>
      </c>
      <c r="E699" s="1">
        <v>44156</v>
      </c>
      <c r="F699" s="1">
        <v>44156</v>
      </c>
      <c r="G699">
        <v>0</v>
      </c>
      <c r="H699">
        <v>103.01</v>
      </c>
      <c r="I699">
        <v>1236.1199999999999</v>
      </c>
      <c r="J699">
        <v>5000</v>
      </c>
      <c r="K699" t="s">
        <v>27</v>
      </c>
      <c r="L699">
        <v>5000</v>
      </c>
      <c r="M699">
        <v>2.58</v>
      </c>
      <c r="N699" t="s">
        <v>28</v>
      </c>
      <c r="O699">
        <v>31</v>
      </c>
      <c r="P699">
        <v>53</v>
      </c>
      <c r="Q699">
        <v>1</v>
      </c>
      <c r="R699">
        <v>4</v>
      </c>
      <c r="S699" t="s">
        <v>65</v>
      </c>
      <c r="T699" t="s">
        <v>30</v>
      </c>
      <c r="U699" t="s">
        <v>38</v>
      </c>
      <c r="V699" t="s">
        <v>45</v>
      </c>
      <c r="W699">
        <v>0</v>
      </c>
      <c r="X699">
        <v>1</v>
      </c>
      <c r="Y699" s="2">
        <f>Table1[[#This Row],[premium_yearly]]*Table1[[#This Row],[tenure_years]]</f>
        <v>3189.1895999999997</v>
      </c>
      <c r="Z699" s="2">
        <f>Table1[[#This Row],[total_collected_premiums]]*(1-$AD$2)</f>
        <v>2328.1084079999996</v>
      </c>
      <c r="AA699" s="2">
        <f>Table1[[#This Row],[retained_premium]]-Table1[[#This Row],[claim_amount_paid]]</f>
        <v>-2671.8915920000004</v>
      </c>
    </row>
    <row r="700" spans="1:27" x14ac:dyDescent="0.35">
      <c r="A700" t="s">
        <v>2139</v>
      </c>
      <c r="B700" t="s">
        <v>2140</v>
      </c>
      <c r="C700" t="s">
        <v>2141</v>
      </c>
      <c r="D700" s="1">
        <v>41897</v>
      </c>
      <c r="E700" s="1">
        <v>44144</v>
      </c>
      <c r="F700" s="1">
        <v>44149</v>
      </c>
      <c r="G700">
        <v>5</v>
      </c>
      <c r="H700">
        <v>117.05</v>
      </c>
      <c r="I700">
        <v>1404.6</v>
      </c>
      <c r="J700">
        <v>9000</v>
      </c>
      <c r="K700" t="s">
        <v>27</v>
      </c>
      <c r="L700">
        <v>9000</v>
      </c>
      <c r="M700">
        <v>9.08</v>
      </c>
      <c r="N700" t="s">
        <v>49</v>
      </c>
      <c r="O700">
        <v>109</v>
      </c>
      <c r="P700">
        <v>42</v>
      </c>
      <c r="Q700">
        <v>1</v>
      </c>
      <c r="R700">
        <v>6</v>
      </c>
      <c r="S700" t="s">
        <v>37</v>
      </c>
      <c r="T700" t="s">
        <v>30</v>
      </c>
      <c r="U700" t="s">
        <v>66</v>
      </c>
      <c r="V700" t="s">
        <v>32</v>
      </c>
      <c r="W700">
        <v>1</v>
      </c>
      <c r="X700">
        <v>1</v>
      </c>
      <c r="Y700" s="2">
        <f>Table1[[#This Row],[premium_yearly]]*Table1[[#This Row],[tenure_years]]</f>
        <v>12753.768</v>
      </c>
      <c r="Z700" s="2">
        <f>Table1[[#This Row],[total_collected_premiums]]*(1-$AD$2)</f>
        <v>9310.2506400000002</v>
      </c>
      <c r="AA700" s="2">
        <f>Table1[[#This Row],[retained_premium]]-Table1[[#This Row],[claim_amount_paid]]</f>
        <v>310.2506400000002</v>
      </c>
    </row>
    <row r="701" spans="1:27" x14ac:dyDescent="0.35">
      <c r="A701" t="s">
        <v>2142</v>
      </c>
      <c r="B701" t="s">
        <v>2143</v>
      </c>
      <c r="C701" t="s">
        <v>2144</v>
      </c>
      <c r="D701" s="1">
        <v>40704</v>
      </c>
      <c r="E701" s="1">
        <v>44147</v>
      </c>
      <c r="F701" s="1">
        <v>44152</v>
      </c>
      <c r="G701">
        <v>5</v>
      </c>
      <c r="H701">
        <v>118.5</v>
      </c>
      <c r="I701">
        <v>1422</v>
      </c>
      <c r="J701">
        <v>9000</v>
      </c>
      <c r="K701" t="s">
        <v>27</v>
      </c>
      <c r="L701">
        <v>9000</v>
      </c>
      <c r="M701">
        <v>5.67</v>
      </c>
      <c r="N701" t="s">
        <v>28</v>
      </c>
      <c r="O701">
        <v>68</v>
      </c>
      <c r="P701">
        <v>54</v>
      </c>
      <c r="Q701">
        <v>1</v>
      </c>
      <c r="R701">
        <v>3</v>
      </c>
      <c r="S701" t="s">
        <v>29</v>
      </c>
      <c r="T701" t="s">
        <v>50</v>
      </c>
      <c r="U701" t="s">
        <v>38</v>
      </c>
      <c r="V701" t="s">
        <v>32</v>
      </c>
      <c r="W701">
        <v>1</v>
      </c>
      <c r="X701">
        <v>0</v>
      </c>
      <c r="Y701" s="2">
        <f>Table1[[#This Row],[premium_yearly]]*Table1[[#This Row],[tenure_years]]</f>
        <v>8062.74</v>
      </c>
      <c r="Z701" s="2">
        <f>Table1[[#This Row],[total_collected_premiums]]*(1-$AD$2)</f>
        <v>5885.8001999999997</v>
      </c>
      <c r="AA701" s="2">
        <f>Table1[[#This Row],[retained_premium]]-Table1[[#This Row],[claim_amount_paid]]</f>
        <v>-3114.1998000000003</v>
      </c>
    </row>
    <row r="702" spans="1:27" x14ac:dyDescent="0.35">
      <c r="A702" t="s">
        <v>2145</v>
      </c>
      <c r="B702" t="s">
        <v>2146</v>
      </c>
      <c r="C702" t="s">
        <v>2147</v>
      </c>
      <c r="D702" s="1">
        <v>40456</v>
      </c>
      <c r="E702" s="1">
        <v>44150</v>
      </c>
      <c r="F702" s="1">
        <v>44153</v>
      </c>
      <c r="G702">
        <v>3</v>
      </c>
      <c r="H702">
        <v>113.07</v>
      </c>
      <c r="I702">
        <v>1356.84</v>
      </c>
      <c r="J702">
        <v>3000</v>
      </c>
      <c r="K702" t="s">
        <v>43</v>
      </c>
      <c r="L702">
        <v>0</v>
      </c>
      <c r="M702">
        <v>9.75</v>
      </c>
      <c r="N702" t="s">
        <v>36</v>
      </c>
      <c r="O702">
        <v>117</v>
      </c>
      <c r="P702">
        <v>51</v>
      </c>
      <c r="Q702">
        <v>0</v>
      </c>
      <c r="R702">
        <v>5</v>
      </c>
      <c r="S702" t="s">
        <v>65</v>
      </c>
      <c r="T702" t="s">
        <v>30</v>
      </c>
      <c r="U702" t="s">
        <v>58</v>
      </c>
      <c r="V702" t="s">
        <v>32</v>
      </c>
      <c r="W702">
        <v>0</v>
      </c>
      <c r="X702">
        <v>1</v>
      </c>
      <c r="Y702" s="2">
        <f>Table1[[#This Row],[premium_yearly]]*Table1[[#This Row],[tenure_years]]</f>
        <v>13229.189999999999</v>
      </c>
      <c r="Z702" s="2">
        <f>Table1[[#This Row],[total_collected_premiums]]*(1-$AD$2)</f>
        <v>9657.3086999999996</v>
      </c>
      <c r="AA702" s="2">
        <f>Table1[[#This Row],[retained_premium]]-Table1[[#This Row],[claim_amount_paid]]</f>
        <v>9657.3086999999996</v>
      </c>
    </row>
    <row r="703" spans="1:27" x14ac:dyDescent="0.35">
      <c r="A703" t="s">
        <v>2148</v>
      </c>
      <c r="B703" t="s">
        <v>2149</v>
      </c>
      <c r="C703" t="s">
        <v>2150</v>
      </c>
      <c r="D703" s="1">
        <v>40931</v>
      </c>
      <c r="E703" s="1">
        <v>44142</v>
      </c>
      <c r="F703" s="1">
        <v>44147</v>
      </c>
      <c r="G703">
        <v>5</v>
      </c>
      <c r="H703">
        <v>83.81</v>
      </c>
      <c r="I703">
        <v>1005.72</v>
      </c>
      <c r="J703">
        <v>3000</v>
      </c>
      <c r="K703" t="s">
        <v>43</v>
      </c>
      <c r="L703">
        <v>0</v>
      </c>
      <c r="M703">
        <v>1.75</v>
      </c>
      <c r="N703" t="s">
        <v>36</v>
      </c>
      <c r="O703">
        <v>21</v>
      </c>
      <c r="P703">
        <v>42</v>
      </c>
      <c r="Q703">
        <v>1</v>
      </c>
      <c r="R703">
        <v>5</v>
      </c>
      <c r="S703" t="s">
        <v>29</v>
      </c>
      <c r="T703" t="s">
        <v>50</v>
      </c>
      <c r="U703" t="s">
        <v>107</v>
      </c>
      <c r="V703" t="s">
        <v>32</v>
      </c>
      <c r="W703">
        <v>1</v>
      </c>
      <c r="X703">
        <v>1</v>
      </c>
      <c r="Y703" s="2">
        <f>Table1[[#This Row],[premium_yearly]]*Table1[[#This Row],[tenure_years]]</f>
        <v>1760.01</v>
      </c>
      <c r="Z703" s="2">
        <f>Table1[[#This Row],[total_collected_premiums]]*(1-$AD$2)</f>
        <v>1284.8072999999999</v>
      </c>
      <c r="AA703" s="2">
        <f>Table1[[#This Row],[retained_premium]]-Table1[[#This Row],[claim_amount_paid]]</f>
        <v>1284.8072999999999</v>
      </c>
    </row>
    <row r="704" spans="1:27" x14ac:dyDescent="0.35">
      <c r="A704" t="s">
        <v>2151</v>
      </c>
      <c r="B704" t="s">
        <v>2152</v>
      </c>
      <c r="C704" t="s">
        <v>2153</v>
      </c>
      <c r="D704" s="1">
        <v>42319</v>
      </c>
      <c r="E704" s="1">
        <v>44142</v>
      </c>
      <c r="F704" s="1">
        <v>44147</v>
      </c>
      <c r="G704">
        <v>5</v>
      </c>
      <c r="H704">
        <v>101.2</v>
      </c>
      <c r="I704">
        <v>1214.4000000000001</v>
      </c>
      <c r="J704">
        <v>4000</v>
      </c>
      <c r="K704" t="s">
        <v>27</v>
      </c>
      <c r="L704">
        <v>4000</v>
      </c>
      <c r="M704">
        <v>8.5</v>
      </c>
      <c r="N704" t="s">
        <v>49</v>
      </c>
      <c r="O704">
        <v>102</v>
      </c>
      <c r="P704">
        <v>53</v>
      </c>
      <c r="Q704">
        <v>0</v>
      </c>
      <c r="R704">
        <v>5</v>
      </c>
      <c r="S704" t="s">
        <v>29</v>
      </c>
      <c r="T704" t="s">
        <v>50</v>
      </c>
      <c r="U704" t="s">
        <v>38</v>
      </c>
      <c r="V704" t="s">
        <v>32</v>
      </c>
      <c r="W704">
        <v>0</v>
      </c>
      <c r="X704">
        <v>0</v>
      </c>
      <c r="Y704" s="2">
        <f>Table1[[#This Row],[premium_yearly]]*Table1[[#This Row],[tenure_years]]</f>
        <v>10322.400000000001</v>
      </c>
      <c r="Z704" s="2">
        <f>Table1[[#This Row],[total_collected_premiums]]*(1-$AD$2)</f>
        <v>7535.3520000000008</v>
      </c>
      <c r="AA704" s="2">
        <f>Table1[[#This Row],[retained_premium]]-Table1[[#This Row],[claim_amount_paid]]</f>
        <v>3535.3520000000008</v>
      </c>
    </row>
    <row r="705" spans="1:27" x14ac:dyDescent="0.35">
      <c r="A705" t="s">
        <v>2154</v>
      </c>
      <c r="B705" t="s">
        <v>2155</v>
      </c>
      <c r="C705" t="s">
        <v>2156</v>
      </c>
      <c r="D705" s="1">
        <v>41721</v>
      </c>
      <c r="E705" s="1">
        <v>44141</v>
      </c>
      <c r="F705" s="1">
        <v>44146</v>
      </c>
      <c r="G705">
        <v>5</v>
      </c>
      <c r="H705">
        <v>133</v>
      </c>
      <c r="I705">
        <v>1596</v>
      </c>
      <c r="J705">
        <v>5000</v>
      </c>
      <c r="K705" t="s">
        <v>27</v>
      </c>
      <c r="L705">
        <v>5000</v>
      </c>
      <c r="M705">
        <v>6.58</v>
      </c>
      <c r="N705" t="s">
        <v>49</v>
      </c>
      <c r="O705">
        <v>79</v>
      </c>
      <c r="P705">
        <v>28</v>
      </c>
      <c r="Q705">
        <v>1</v>
      </c>
      <c r="R705">
        <v>4</v>
      </c>
      <c r="S705" t="s">
        <v>29</v>
      </c>
      <c r="T705" t="s">
        <v>30</v>
      </c>
      <c r="U705" t="s">
        <v>38</v>
      </c>
      <c r="V705" t="s">
        <v>45</v>
      </c>
      <c r="W705">
        <v>1</v>
      </c>
      <c r="X705">
        <v>0</v>
      </c>
      <c r="Y705" s="2">
        <f>Table1[[#This Row],[premium_yearly]]*Table1[[#This Row],[tenure_years]]</f>
        <v>10501.68</v>
      </c>
      <c r="Z705" s="2">
        <f>Table1[[#This Row],[total_collected_premiums]]*(1-$AD$2)</f>
        <v>7666.2264000000005</v>
      </c>
      <c r="AA705" s="2">
        <f>Table1[[#This Row],[retained_premium]]-Table1[[#This Row],[claim_amount_paid]]</f>
        <v>2666.2264000000005</v>
      </c>
    </row>
    <row r="706" spans="1:27" x14ac:dyDescent="0.35">
      <c r="A706" t="s">
        <v>2157</v>
      </c>
      <c r="B706" t="s">
        <v>2158</v>
      </c>
      <c r="C706" t="s">
        <v>2159</v>
      </c>
      <c r="D706" s="1">
        <v>40514</v>
      </c>
      <c r="E706" s="1">
        <v>44151</v>
      </c>
      <c r="F706" s="1">
        <v>44154</v>
      </c>
      <c r="G706">
        <v>3</v>
      </c>
      <c r="H706">
        <v>133.06</v>
      </c>
      <c r="I706">
        <v>1596.72</v>
      </c>
      <c r="J706">
        <v>4000</v>
      </c>
      <c r="K706" t="s">
        <v>27</v>
      </c>
      <c r="L706">
        <v>4000</v>
      </c>
      <c r="M706">
        <v>8.25</v>
      </c>
      <c r="N706" t="s">
        <v>36</v>
      </c>
      <c r="O706">
        <v>99</v>
      </c>
      <c r="P706">
        <v>63</v>
      </c>
      <c r="Q706">
        <v>0</v>
      </c>
      <c r="R706">
        <v>3</v>
      </c>
      <c r="S706" t="s">
        <v>29</v>
      </c>
      <c r="T706" t="s">
        <v>44</v>
      </c>
      <c r="U706" t="s">
        <v>66</v>
      </c>
      <c r="V706" t="s">
        <v>45</v>
      </c>
      <c r="W706">
        <v>1</v>
      </c>
      <c r="X706">
        <v>0</v>
      </c>
      <c r="Y706" s="2">
        <f>Table1[[#This Row],[premium_yearly]]*Table1[[#This Row],[tenure_years]]</f>
        <v>13172.94</v>
      </c>
      <c r="Z706" s="2">
        <f>Table1[[#This Row],[total_collected_premiums]]*(1-$AD$2)</f>
        <v>9616.2461999999996</v>
      </c>
      <c r="AA706" s="2">
        <f>Table1[[#This Row],[retained_premium]]-Table1[[#This Row],[claim_amount_paid]]</f>
        <v>5616.2461999999996</v>
      </c>
    </row>
    <row r="707" spans="1:27" x14ac:dyDescent="0.35">
      <c r="A707" t="s">
        <v>2160</v>
      </c>
      <c r="B707" t="s">
        <v>2161</v>
      </c>
      <c r="C707" t="s">
        <v>2162</v>
      </c>
      <c r="D707" s="1">
        <v>43280</v>
      </c>
      <c r="E707" s="1">
        <v>44158</v>
      </c>
      <c r="F707" s="1">
        <v>44158</v>
      </c>
      <c r="G707">
        <v>0</v>
      </c>
      <c r="H707">
        <v>107.24</v>
      </c>
      <c r="I707">
        <v>1286.8800000000001</v>
      </c>
      <c r="J707">
        <v>2000</v>
      </c>
      <c r="K707" t="s">
        <v>27</v>
      </c>
      <c r="L707">
        <v>2000</v>
      </c>
      <c r="M707">
        <v>6.5</v>
      </c>
      <c r="N707" t="s">
        <v>49</v>
      </c>
      <c r="O707">
        <v>78</v>
      </c>
      <c r="P707">
        <v>52</v>
      </c>
      <c r="Q707">
        <v>1</v>
      </c>
      <c r="R707">
        <v>7</v>
      </c>
      <c r="S707" t="s">
        <v>29</v>
      </c>
      <c r="T707" t="s">
        <v>44</v>
      </c>
      <c r="U707" t="s">
        <v>66</v>
      </c>
      <c r="V707" t="s">
        <v>39</v>
      </c>
      <c r="W707">
        <v>1</v>
      </c>
      <c r="X707">
        <v>0</v>
      </c>
      <c r="Y707" s="2">
        <f>Table1[[#This Row],[premium_yearly]]*Table1[[#This Row],[tenure_years]]</f>
        <v>8364.7200000000012</v>
      </c>
      <c r="Z707" s="2">
        <f>Table1[[#This Row],[total_collected_premiums]]*(1-$AD$2)</f>
        <v>6106.2456000000011</v>
      </c>
      <c r="AA707" s="2">
        <f>Table1[[#This Row],[retained_premium]]-Table1[[#This Row],[claim_amount_paid]]</f>
        <v>4106.2456000000011</v>
      </c>
    </row>
    <row r="708" spans="1:27" x14ac:dyDescent="0.35">
      <c r="A708" t="s">
        <v>2163</v>
      </c>
      <c r="B708" t="s">
        <v>2164</v>
      </c>
      <c r="C708" t="s">
        <v>2165</v>
      </c>
      <c r="D708" s="1">
        <v>42467</v>
      </c>
      <c r="E708" s="1">
        <v>44149</v>
      </c>
      <c r="F708" s="1">
        <v>44154</v>
      </c>
      <c r="G708">
        <v>5</v>
      </c>
      <c r="H708">
        <v>82.8</v>
      </c>
      <c r="I708">
        <v>993.6</v>
      </c>
      <c r="J708">
        <v>1000</v>
      </c>
      <c r="K708" t="s">
        <v>27</v>
      </c>
      <c r="L708">
        <v>1000</v>
      </c>
      <c r="M708">
        <v>8.25</v>
      </c>
      <c r="N708" t="s">
        <v>49</v>
      </c>
      <c r="O708">
        <v>99</v>
      </c>
      <c r="P708">
        <v>39</v>
      </c>
      <c r="Q708">
        <v>0</v>
      </c>
      <c r="R708">
        <v>6</v>
      </c>
      <c r="S708" t="s">
        <v>37</v>
      </c>
      <c r="T708" t="s">
        <v>30</v>
      </c>
      <c r="U708" t="s">
        <v>31</v>
      </c>
      <c r="V708" t="s">
        <v>39</v>
      </c>
      <c r="W708">
        <v>0</v>
      </c>
      <c r="X708">
        <v>1</v>
      </c>
      <c r="Y708" s="2">
        <f>Table1[[#This Row],[premium_yearly]]*Table1[[#This Row],[tenure_years]]</f>
        <v>8197.2000000000007</v>
      </c>
      <c r="Z708" s="2">
        <f>Table1[[#This Row],[total_collected_premiums]]*(1-$AD$2)</f>
        <v>5983.9560000000001</v>
      </c>
      <c r="AA708" s="2">
        <f>Table1[[#This Row],[retained_premium]]-Table1[[#This Row],[claim_amount_paid]]</f>
        <v>4983.9560000000001</v>
      </c>
    </row>
    <row r="709" spans="1:27" x14ac:dyDescent="0.35">
      <c r="A709" t="s">
        <v>2166</v>
      </c>
      <c r="B709" t="s">
        <v>2167</v>
      </c>
      <c r="C709" t="s">
        <v>2168</v>
      </c>
      <c r="D709" s="1">
        <v>41282</v>
      </c>
      <c r="E709" s="1">
        <v>44158</v>
      </c>
      <c r="F709" s="1">
        <v>44159</v>
      </c>
      <c r="G709">
        <v>1</v>
      </c>
      <c r="H709">
        <v>101.95</v>
      </c>
      <c r="I709">
        <v>1223.4000000000001</v>
      </c>
      <c r="J709">
        <v>6000</v>
      </c>
      <c r="K709" t="s">
        <v>27</v>
      </c>
      <c r="L709">
        <v>6000</v>
      </c>
      <c r="M709">
        <v>4.92</v>
      </c>
      <c r="N709" t="s">
        <v>49</v>
      </c>
      <c r="O709">
        <v>59</v>
      </c>
      <c r="P709">
        <v>25</v>
      </c>
      <c r="Q709">
        <v>1</v>
      </c>
      <c r="R709">
        <v>3</v>
      </c>
      <c r="S709" t="s">
        <v>29</v>
      </c>
      <c r="T709" t="s">
        <v>50</v>
      </c>
      <c r="U709" t="s">
        <v>66</v>
      </c>
      <c r="V709" t="s">
        <v>32</v>
      </c>
      <c r="W709">
        <v>1</v>
      </c>
      <c r="X709">
        <v>1</v>
      </c>
      <c r="Y709" s="2">
        <f>Table1[[#This Row],[premium_yearly]]*Table1[[#This Row],[tenure_years]]</f>
        <v>6019.1280000000006</v>
      </c>
      <c r="Z709" s="2">
        <f>Table1[[#This Row],[total_collected_premiums]]*(1-$AD$2)</f>
        <v>4393.9634400000004</v>
      </c>
      <c r="AA709" s="2">
        <f>Table1[[#This Row],[retained_premium]]-Table1[[#This Row],[claim_amount_paid]]</f>
        <v>-1606.0365599999996</v>
      </c>
    </row>
    <row r="710" spans="1:27" x14ac:dyDescent="0.35">
      <c r="A710" t="s">
        <v>2169</v>
      </c>
      <c r="B710" t="s">
        <v>2170</v>
      </c>
      <c r="C710" t="s">
        <v>2171</v>
      </c>
      <c r="D710" s="1">
        <v>42903</v>
      </c>
      <c r="E710" s="1">
        <v>44155</v>
      </c>
      <c r="F710" s="1">
        <v>44158</v>
      </c>
      <c r="G710">
        <v>3</v>
      </c>
      <c r="H710">
        <v>82.21</v>
      </c>
      <c r="I710">
        <v>986.52</v>
      </c>
      <c r="J710">
        <v>8000</v>
      </c>
      <c r="K710" t="s">
        <v>27</v>
      </c>
      <c r="L710">
        <v>8000</v>
      </c>
      <c r="M710">
        <v>1.08</v>
      </c>
      <c r="N710" t="s">
        <v>28</v>
      </c>
      <c r="O710">
        <v>13</v>
      </c>
      <c r="P710">
        <v>53</v>
      </c>
      <c r="Q710">
        <v>1</v>
      </c>
      <c r="R710">
        <v>4</v>
      </c>
      <c r="S710" t="s">
        <v>29</v>
      </c>
      <c r="T710" t="s">
        <v>30</v>
      </c>
      <c r="U710" t="s">
        <v>38</v>
      </c>
      <c r="V710" t="s">
        <v>32</v>
      </c>
      <c r="W710">
        <v>1</v>
      </c>
      <c r="X710">
        <v>1</v>
      </c>
      <c r="Y710" s="2">
        <f>Table1[[#This Row],[premium_yearly]]*Table1[[#This Row],[tenure_years]]</f>
        <v>1065.4416000000001</v>
      </c>
      <c r="Z710" s="2">
        <f>Table1[[#This Row],[total_collected_premiums]]*(1-$AD$2)</f>
        <v>777.77236800000003</v>
      </c>
      <c r="AA710" s="2">
        <f>Table1[[#This Row],[retained_premium]]-Table1[[#This Row],[claim_amount_paid]]</f>
        <v>-7222.2276320000001</v>
      </c>
    </row>
    <row r="711" spans="1:27" x14ac:dyDescent="0.35">
      <c r="A711" t="s">
        <v>2172</v>
      </c>
      <c r="B711" t="s">
        <v>2173</v>
      </c>
      <c r="C711" t="s">
        <v>2174</v>
      </c>
      <c r="D711" s="1">
        <v>43512</v>
      </c>
      <c r="E711" s="1">
        <v>44158</v>
      </c>
      <c r="F711" s="1">
        <v>44160</v>
      </c>
      <c r="G711">
        <v>2</v>
      </c>
      <c r="H711">
        <v>123.93</v>
      </c>
      <c r="I711">
        <v>1487.16</v>
      </c>
      <c r="J711">
        <v>3000</v>
      </c>
      <c r="K711" t="s">
        <v>27</v>
      </c>
      <c r="L711">
        <v>3000</v>
      </c>
      <c r="M711">
        <v>4.58</v>
      </c>
      <c r="N711" t="s">
        <v>36</v>
      </c>
      <c r="O711">
        <v>55</v>
      </c>
      <c r="P711">
        <v>56</v>
      </c>
      <c r="Q711">
        <v>1</v>
      </c>
      <c r="R711">
        <v>7</v>
      </c>
      <c r="S711" t="s">
        <v>65</v>
      </c>
      <c r="T711" t="s">
        <v>50</v>
      </c>
      <c r="U711" t="s">
        <v>38</v>
      </c>
      <c r="V711" t="s">
        <v>39</v>
      </c>
      <c r="W711">
        <v>1</v>
      </c>
      <c r="X711">
        <v>0</v>
      </c>
      <c r="Y711" s="2">
        <f>Table1[[#This Row],[premium_yearly]]*Table1[[#This Row],[tenure_years]]</f>
        <v>6811.1928000000007</v>
      </c>
      <c r="Z711" s="2">
        <f>Table1[[#This Row],[total_collected_premiums]]*(1-$AD$2)</f>
        <v>4972.170744</v>
      </c>
      <c r="AA711" s="2">
        <f>Table1[[#This Row],[retained_premium]]-Table1[[#This Row],[claim_amount_paid]]</f>
        <v>1972.170744</v>
      </c>
    </row>
    <row r="712" spans="1:27" x14ac:dyDescent="0.35">
      <c r="A712" t="s">
        <v>2175</v>
      </c>
      <c r="B712" t="s">
        <v>2176</v>
      </c>
      <c r="C712" t="s">
        <v>2177</v>
      </c>
      <c r="D712" s="1">
        <v>41762</v>
      </c>
      <c r="E712" s="1">
        <v>44155</v>
      </c>
      <c r="F712" s="1">
        <v>44158</v>
      </c>
      <c r="G712">
        <v>3</v>
      </c>
      <c r="H712">
        <v>82.99</v>
      </c>
      <c r="I712">
        <v>995.88</v>
      </c>
      <c r="J712">
        <v>8000</v>
      </c>
      <c r="K712" t="s">
        <v>27</v>
      </c>
      <c r="L712">
        <v>8000</v>
      </c>
      <c r="M712">
        <v>1.33</v>
      </c>
      <c r="N712" t="s">
        <v>36</v>
      </c>
      <c r="O712">
        <v>16</v>
      </c>
      <c r="P712">
        <v>38</v>
      </c>
      <c r="Q712">
        <v>0</v>
      </c>
      <c r="R712">
        <v>6</v>
      </c>
      <c r="S712" t="s">
        <v>29</v>
      </c>
      <c r="T712" t="s">
        <v>30</v>
      </c>
      <c r="U712" t="s">
        <v>38</v>
      </c>
      <c r="V712" t="s">
        <v>45</v>
      </c>
      <c r="W712">
        <v>0</v>
      </c>
      <c r="X712">
        <v>1</v>
      </c>
      <c r="Y712" s="2">
        <f>Table1[[#This Row],[premium_yearly]]*Table1[[#This Row],[tenure_years]]</f>
        <v>1324.5204000000001</v>
      </c>
      <c r="Z712" s="2">
        <f>Table1[[#This Row],[total_collected_premiums]]*(1-$AD$2)</f>
        <v>966.89989200000002</v>
      </c>
      <c r="AA712" s="2">
        <f>Table1[[#This Row],[retained_premium]]-Table1[[#This Row],[claim_amount_paid]]</f>
        <v>-7033.1001079999996</v>
      </c>
    </row>
    <row r="713" spans="1:27" x14ac:dyDescent="0.35">
      <c r="A713" t="s">
        <v>2178</v>
      </c>
      <c r="B713" t="s">
        <v>2179</v>
      </c>
      <c r="C713" t="s">
        <v>2180</v>
      </c>
      <c r="D713" s="1">
        <v>41547</v>
      </c>
      <c r="E713" s="1">
        <v>44156</v>
      </c>
      <c r="F713" s="1">
        <v>44159</v>
      </c>
      <c r="G713">
        <v>3</v>
      </c>
      <c r="H713">
        <v>77.709999999999994</v>
      </c>
      <c r="I713">
        <v>932.52</v>
      </c>
      <c r="J713">
        <v>9000</v>
      </c>
      <c r="K713" t="s">
        <v>27</v>
      </c>
      <c r="L713">
        <v>9000</v>
      </c>
      <c r="M713">
        <v>7.67</v>
      </c>
      <c r="N713" t="s">
        <v>36</v>
      </c>
      <c r="O713">
        <v>92</v>
      </c>
      <c r="P713">
        <v>44</v>
      </c>
      <c r="Q713">
        <v>1</v>
      </c>
      <c r="R713">
        <v>6</v>
      </c>
      <c r="S713" t="s">
        <v>29</v>
      </c>
      <c r="T713" t="s">
        <v>50</v>
      </c>
      <c r="U713" t="s">
        <v>31</v>
      </c>
      <c r="V713" t="s">
        <v>45</v>
      </c>
      <c r="W713">
        <v>0</v>
      </c>
      <c r="X713">
        <v>1</v>
      </c>
      <c r="Y713" s="2">
        <f>Table1[[#This Row],[premium_yearly]]*Table1[[#This Row],[tenure_years]]</f>
        <v>7152.4283999999998</v>
      </c>
      <c r="Z713" s="2">
        <f>Table1[[#This Row],[total_collected_premiums]]*(1-$AD$2)</f>
        <v>5221.2727319999995</v>
      </c>
      <c r="AA713" s="2">
        <f>Table1[[#This Row],[retained_premium]]-Table1[[#This Row],[claim_amount_paid]]</f>
        <v>-3778.7272680000005</v>
      </c>
    </row>
    <row r="714" spans="1:27" x14ac:dyDescent="0.35">
      <c r="A714" t="s">
        <v>2181</v>
      </c>
      <c r="B714" t="s">
        <v>2182</v>
      </c>
      <c r="C714" t="s">
        <v>2183</v>
      </c>
      <c r="D714" s="1">
        <v>42250</v>
      </c>
      <c r="E714" s="1">
        <v>44157</v>
      </c>
      <c r="F714" s="1">
        <v>44159</v>
      </c>
      <c r="G714">
        <v>2</v>
      </c>
      <c r="H714">
        <v>128.46</v>
      </c>
      <c r="I714">
        <v>1541.52</v>
      </c>
      <c r="J714">
        <v>2000</v>
      </c>
      <c r="K714" t="s">
        <v>27</v>
      </c>
      <c r="L714">
        <v>2000</v>
      </c>
      <c r="M714">
        <v>8.25</v>
      </c>
      <c r="N714" t="s">
        <v>28</v>
      </c>
      <c r="O714">
        <v>99</v>
      </c>
      <c r="P714">
        <v>63</v>
      </c>
      <c r="Q714">
        <v>1</v>
      </c>
      <c r="R714">
        <v>2</v>
      </c>
      <c r="S714" t="s">
        <v>65</v>
      </c>
      <c r="T714" t="s">
        <v>30</v>
      </c>
      <c r="U714" t="s">
        <v>31</v>
      </c>
      <c r="V714" t="s">
        <v>45</v>
      </c>
      <c r="W714">
        <v>1</v>
      </c>
      <c r="X714">
        <v>1</v>
      </c>
      <c r="Y714" s="2">
        <f>Table1[[#This Row],[premium_yearly]]*Table1[[#This Row],[tenure_years]]</f>
        <v>12717.539999999999</v>
      </c>
      <c r="Z714" s="2">
        <f>Table1[[#This Row],[total_collected_premiums]]*(1-$AD$2)</f>
        <v>9283.8041999999987</v>
      </c>
      <c r="AA714" s="2">
        <f>Table1[[#This Row],[retained_premium]]-Table1[[#This Row],[claim_amount_paid]]</f>
        <v>7283.8041999999987</v>
      </c>
    </row>
    <row r="715" spans="1:27" x14ac:dyDescent="0.35">
      <c r="A715" t="s">
        <v>2184</v>
      </c>
      <c r="B715" t="s">
        <v>2185</v>
      </c>
      <c r="C715" t="s">
        <v>2186</v>
      </c>
      <c r="D715" s="1">
        <v>43010</v>
      </c>
      <c r="E715" s="1">
        <v>44162</v>
      </c>
      <c r="F715" s="1">
        <v>44162</v>
      </c>
      <c r="G715">
        <v>0</v>
      </c>
      <c r="H715">
        <v>136.69</v>
      </c>
      <c r="I715">
        <v>1640.28</v>
      </c>
      <c r="J715">
        <v>7000</v>
      </c>
      <c r="K715" t="s">
        <v>27</v>
      </c>
      <c r="L715">
        <v>7000</v>
      </c>
      <c r="M715">
        <v>3.42</v>
      </c>
      <c r="N715" t="s">
        <v>49</v>
      </c>
      <c r="O715">
        <v>41</v>
      </c>
      <c r="P715">
        <v>31</v>
      </c>
      <c r="Q715">
        <v>1</v>
      </c>
      <c r="R715">
        <v>4</v>
      </c>
      <c r="S715" t="s">
        <v>65</v>
      </c>
      <c r="T715" t="s">
        <v>30</v>
      </c>
      <c r="U715" t="s">
        <v>38</v>
      </c>
      <c r="V715" t="s">
        <v>45</v>
      </c>
      <c r="W715">
        <v>1</v>
      </c>
      <c r="X715">
        <v>1</v>
      </c>
      <c r="Y715" s="2">
        <f>Table1[[#This Row],[premium_yearly]]*Table1[[#This Row],[tenure_years]]</f>
        <v>5609.7575999999999</v>
      </c>
      <c r="Z715" s="2">
        <f>Table1[[#This Row],[total_collected_premiums]]*(1-$AD$2)</f>
        <v>4095.1230479999999</v>
      </c>
      <c r="AA715" s="2">
        <f>Table1[[#This Row],[retained_premium]]-Table1[[#This Row],[claim_amount_paid]]</f>
        <v>-2904.8769520000001</v>
      </c>
    </row>
    <row r="716" spans="1:27" x14ac:dyDescent="0.35">
      <c r="A716" t="s">
        <v>2187</v>
      </c>
      <c r="B716" t="s">
        <v>2188</v>
      </c>
      <c r="C716" t="s">
        <v>2189</v>
      </c>
      <c r="D716" s="1">
        <v>41556</v>
      </c>
      <c r="E716" s="1">
        <v>44155</v>
      </c>
      <c r="F716" s="1">
        <v>44158</v>
      </c>
      <c r="G716">
        <v>3</v>
      </c>
      <c r="H716">
        <v>85.86</v>
      </c>
      <c r="I716">
        <v>1030.32</v>
      </c>
      <c r="J716">
        <v>8000</v>
      </c>
      <c r="K716" t="s">
        <v>27</v>
      </c>
      <c r="L716">
        <v>8000</v>
      </c>
      <c r="M716">
        <v>9.42</v>
      </c>
      <c r="N716" t="s">
        <v>49</v>
      </c>
      <c r="O716">
        <v>113</v>
      </c>
      <c r="P716">
        <v>64</v>
      </c>
      <c r="Q716">
        <v>0</v>
      </c>
      <c r="R716">
        <v>3</v>
      </c>
      <c r="S716" t="s">
        <v>29</v>
      </c>
      <c r="T716" t="s">
        <v>50</v>
      </c>
      <c r="U716" t="s">
        <v>38</v>
      </c>
      <c r="V716" t="s">
        <v>32</v>
      </c>
      <c r="W716">
        <v>1</v>
      </c>
      <c r="X716">
        <v>0</v>
      </c>
      <c r="Y716" s="2">
        <f>Table1[[#This Row],[premium_yearly]]*Table1[[#This Row],[tenure_years]]</f>
        <v>9705.6143999999986</v>
      </c>
      <c r="Z716" s="2">
        <f>Table1[[#This Row],[total_collected_premiums]]*(1-$AD$2)</f>
        <v>7085.0985119999987</v>
      </c>
      <c r="AA716" s="2">
        <f>Table1[[#This Row],[retained_premium]]-Table1[[#This Row],[claim_amount_paid]]</f>
        <v>-914.90148800000134</v>
      </c>
    </row>
    <row r="717" spans="1:27" x14ac:dyDescent="0.35">
      <c r="A717" t="s">
        <v>2190</v>
      </c>
      <c r="B717" t="s">
        <v>2191</v>
      </c>
      <c r="C717" t="s">
        <v>2192</v>
      </c>
      <c r="D717" s="1">
        <v>40342</v>
      </c>
      <c r="E717" s="1">
        <v>44160</v>
      </c>
      <c r="F717" s="1">
        <v>44161</v>
      </c>
      <c r="G717">
        <v>1</v>
      </c>
      <c r="H717">
        <v>125.79</v>
      </c>
      <c r="I717">
        <v>1509.48</v>
      </c>
      <c r="J717">
        <v>4000</v>
      </c>
      <c r="K717" t="s">
        <v>27</v>
      </c>
      <c r="L717">
        <v>4000</v>
      </c>
      <c r="M717">
        <v>9.08</v>
      </c>
      <c r="N717" t="s">
        <v>36</v>
      </c>
      <c r="O717">
        <v>109</v>
      </c>
      <c r="P717">
        <v>56</v>
      </c>
      <c r="Q717">
        <v>1</v>
      </c>
      <c r="R717">
        <v>2</v>
      </c>
      <c r="S717" t="s">
        <v>65</v>
      </c>
      <c r="T717" t="s">
        <v>50</v>
      </c>
      <c r="U717" t="s">
        <v>58</v>
      </c>
      <c r="V717" t="s">
        <v>39</v>
      </c>
      <c r="W717">
        <v>0</v>
      </c>
      <c r="X717">
        <v>1</v>
      </c>
      <c r="Y717" s="2">
        <f>Table1[[#This Row],[premium_yearly]]*Table1[[#This Row],[tenure_years]]</f>
        <v>13706.0784</v>
      </c>
      <c r="Z717" s="2">
        <f>Table1[[#This Row],[total_collected_premiums]]*(1-$AD$2)</f>
        <v>10005.437232</v>
      </c>
      <c r="AA717" s="2">
        <f>Table1[[#This Row],[retained_premium]]-Table1[[#This Row],[claim_amount_paid]]</f>
        <v>6005.4372320000002</v>
      </c>
    </row>
    <row r="718" spans="1:27" x14ac:dyDescent="0.35">
      <c r="A718" t="s">
        <v>2193</v>
      </c>
      <c r="B718" t="s">
        <v>2194</v>
      </c>
      <c r="C718" t="s">
        <v>2195</v>
      </c>
      <c r="D718" s="1">
        <v>40778</v>
      </c>
      <c r="E718" s="1">
        <v>44164</v>
      </c>
      <c r="F718" s="1">
        <v>44164</v>
      </c>
      <c r="G718">
        <v>0</v>
      </c>
      <c r="H718">
        <v>103.74</v>
      </c>
      <c r="I718">
        <v>1244.8800000000001</v>
      </c>
      <c r="J718">
        <v>4000</v>
      </c>
      <c r="K718" t="s">
        <v>27</v>
      </c>
      <c r="L718">
        <v>4000</v>
      </c>
      <c r="M718">
        <v>6.33</v>
      </c>
      <c r="N718" t="s">
        <v>36</v>
      </c>
      <c r="O718">
        <v>76</v>
      </c>
      <c r="P718">
        <v>53</v>
      </c>
      <c r="Q718">
        <v>1</v>
      </c>
      <c r="R718">
        <v>6</v>
      </c>
      <c r="S718" t="s">
        <v>65</v>
      </c>
      <c r="T718" t="s">
        <v>50</v>
      </c>
      <c r="U718" t="s">
        <v>38</v>
      </c>
      <c r="V718" t="s">
        <v>32</v>
      </c>
      <c r="W718">
        <v>1</v>
      </c>
      <c r="X718">
        <v>1</v>
      </c>
      <c r="Y718" s="2">
        <f>Table1[[#This Row],[premium_yearly]]*Table1[[#This Row],[tenure_years]]</f>
        <v>7880.090400000001</v>
      </c>
      <c r="Z718" s="2">
        <f>Table1[[#This Row],[total_collected_premiums]]*(1-$AD$2)</f>
        <v>5752.4659920000004</v>
      </c>
      <c r="AA718" s="2">
        <f>Table1[[#This Row],[retained_premium]]-Table1[[#This Row],[claim_amount_paid]]</f>
        <v>1752.4659920000004</v>
      </c>
    </row>
    <row r="719" spans="1:27" x14ac:dyDescent="0.35">
      <c r="A719" t="s">
        <v>2196</v>
      </c>
      <c r="B719" t="s">
        <v>2197</v>
      </c>
      <c r="C719" t="s">
        <v>2198</v>
      </c>
      <c r="D719" s="1">
        <v>42117</v>
      </c>
      <c r="E719" s="1">
        <v>44162</v>
      </c>
      <c r="F719" s="1">
        <v>44162</v>
      </c>
      <c r="G719">
        <v>0</v>
      </c>
      <c r="H719">
        <v>130.31</v>
      </c>
      <c r="I719">
        <v>1563.72</v>
      </c>
      <c r="J719">
        <v>10000</v>
      </c>
      <c r="K719" t="s">
        <v>27</v>
      </c>
      <c r="L719">
        <v>10000</v>
      </c>
      <c r="M719">
        <v>4.83</v>
      </c>
      <c r="N719" t="s">
        <v>49</v>
      </c>
      <c r="O719">
        <v>58</v>
      </c>
      <c r="P719">
        <v>58</v>
      </c>
      <c r="Q719">
        <v>1</v>
      </c>
      <c r="R719">
        <v>6</v>
      </c>
      <c r="S719" t="s">
        <v>65</v>
      </c>
      <c r="T719" t="s">
        <v>50</v>
      </c>
      <c r="U719" t="s">
        <v>38</v>
      </c>
      <c r="V719" t="s">
        <v>39</v>
      </c>
      <c r="W719">
        <v>0</v>
      </c>
      <c r="X719">
        <v>1</v>
      </c>
      <c r="Y719" s="2">
        <f>Table1[[#This Row],[premium_yearly]]*Table1[[#This Row],[tenure_years]]</f>
        <v>7552.7676000000001</v>
      </c>
      <c r="Z719" s="2">
        <f>Table1[[#This Row],[total_collected_premiums]]*(1-$AD$2)</f>
        <v>5513.520348</v>
      </c>
      <c r="AA719" s="2">
        <f>Table1[[#This Row],[retained_premium]]-Table1[[#This Row],[claim_amount_paid]]</f>
        <v>-4486.479652</v>
      </c>
    </row>
    <row r="720" spans="1:27" x14ac:dyDescent="0.35">
      <c r="A720" t="s">
        <v>2199</v>
      </c>
      <c r="B720" t="s">
        <v>2200</v>
      </c>
      <c r="C720" t="s">
        <v>2201</v>
      </c>
      <c r="D720" s="1">
        <v>42103</v>
      </c>
      <c r="E720" s="1">
        <v>44155</v>
      </c>
      <c r="F720" s="1">
        <v>44158</v>
      </c>
      <c r="G720">
        <v>3</v>
      </c>
      <c r="H720">
        <v>115.2</v>
      </c>
      <c r="I720">
        <v>1382.4</v>
      </c>
      <c r="J720">
        <v>5000</v>
      </c>
      <c r="K720" t="s">
        <v>27</v>
      </c>
      <c r="L720">
        <v>5000</v>
      </c>
      <c r="M720">
        <v>2.75</v>
      </c>
      <c r="N720" t="s">
        <v>49</v>
      </c>
      <c r="O720">
        <v>33</v>
      </c>
      <c r="P720">
        <v>64</v>
      </c>
      <c r="Q720">
        <v>1</v>
      </c>
      <c r="R720">
        <v>6</v>
      </c>
      <c r="S720" t="s">
        <v>65</v>
      </c>
      <c r="T720" t="s">
        <v>44</v>
      </c>
      <c r="U720" t="s">
        <v>38</v>
      </c>
      <c r="V720" t="s">
        <v>32</v>
      </c>
      <c r="W720">
        <v>1</v>
      </c>
      <c r="X720">
        <v>1</v>
      </c>
      <c r="Y720" s="2">
        <f>Table1[[#This Row],[premium_yearly]]*Table1[[#This Row],[tenure_years]]</f>
        <v>3801.6000000000004</v>
      </c>
      <c r="Z720" s="2">
        <f>Table1[[#This Row],[total_collected_premiums]]*(1-$AD$2)</f>
        <v>2775.1680000000001</v>
      </c>
      <c r="AA720" s="2">
        <f>Table1[[#This Row],[retained_premium]]-Table1[[#This Row],[claim_amount_paid]]</f>
        <v>-2224.8319999999999</v>
      </c>
    </row>
    <row r="721" spans="1:27" x14ac:dyDescent="0.35">
      <c r="A721" t="s">
        <v>2202</v>
      </c>
      <c r="B721" t="s">
        <v>2203</v>
      </c>
      <c r="C721" t="s">
        <v>2204</v>
      </c>
      <c r="D721" s="1">
        <v>42520</v>
      </c>
      <c r="E721" s="1">
        <v>44152</v>
      </c>
      <c r="F721" s="1">
        <v>44157</v>
      </c>
      <c r="G721">
        <v>5</v>
      </c>
      <c r="H721">
        <v>124.55</v>
      </c>
      <c r="I721">
        <v>1494.6</v>
      </c>
      <c r="J721">
        <v>3000</v>
      </c>
      <c r="K721" t="s">
        <v>27</v>
      </c>
      <c r="L721">
        <v>3000</v>
      </c>
      <c r="M721">
        <v>5.17</v>
      </c>
      <c r="N721" t="s">
        <v>28</v>
      </c>
      <c r="O721">
        <v>62</v>
      </c>
      <c r="P721">
        <v>49</v>
      </c>
      <c r="Q721">
        <v>0</v>
      </c>
      <c r="R721">
        <v>5</v>
      </c>
      <c r="S721" t="s">
        <v>29</v>
      </c>
      <c r="T721" t="s">
        <v>30</v>
      </c>
      <c r="U721" t="s">
        <v>38</v>
      </c>
      <c r="V721" t="s">
        <v>39</v>
      </c>
      <c r="W721">
        <v>1</v>
      </c>
      <c r="X721">
        <v>1</v>
      </c>
      <c r="Y721" s="2">
        <f>Table1[[#This Row],[premium_yearly]]*Table1[[#This Row],[tenure_years]]</f>
        <v>7727.0819999999994</v>
      </c>
      <c r="Z721" s="2">
        <f>Table1[[#This Row],[total_collected_premiums]]*(1-$AD$2)</f>
        <v>5640.7698599999994</v>
      </c>
      <c r="AA721" s="2">
        <f>Table1[[#This Row],[retained_premium]]-Table1[[#This Row],[claim_amount_paid]]</f>
        <v>2640.7698599999994</v>
      </c>
    </row>
    <row r="722" spans="1:27" x14ac:dyDescent="0.35">
      <c r="A722" t="s">
        <v>2205</v>
      </c>
      <c r="B722" t="s">
        <v>2206</v>
      </c>
      <c r="C722" t="s">
        <v>2207</v>
      </c>
      <c r="D722" s="1">
        <v>43494</v>
      </c>
      <c r="E722" s="1">
        <v>44158</v>
      </c>
      <c r="F722" s="1">
        <v>44160</v>
      </c>
      <c r="G722">
        <v>2</v>
      </c>
      <c r="H722">
        <v>101.69</v>
      </c>
      <c r="I722">
        <v>1220.28</v>
      </c>
      <c r="J722">
        <v>7000</v>
      </c>
      <c r="K722" t="s">
        <v>27</v>
      </c>
      <c r="L722">
        <v>7000</v>
      </c>
      <c r="M722">
        <v>5.5</v>
      </c>
      <c r="N722" t="s">
        <v>28</v>
      </c>
      <c r="O722">
        <v>66</v>
      </c>
      <c r="P722">
        <v>50</v>
      </c>
      <c r="Q722">
        <v>1</v>
      </c>
      <c r="R722">
        <v>6</v>
      </c>
      <c r="S722" t="s">
        <v>65</v>
      </c>
      <c r="T722" t="s">
        <v>50</v>
      </c>
      <c r="U722" t="s">
        <v>38</v>
      </c>
      <c r="V722" t="s">
        <v>39</v>
      </c>
      <c r="W722">
        <v>1</v>
      </c>
      <c r="X722">
        <v>1</v>
      </c>
      <c r="Y722" s="2">
        <f>Table1[[#This Row],[premium_yearly]]*Table1[[#This Row],[tenure_years]]</f>
        <v>6711.54</v>
      </c>
      <c r="Z722" s="2">
        <f>Table1[[#This Row],[total_collected_premiums]]*(1-$AD$2)</f>
        <v>4899.4241999999995</v>
      </c>
      <c r="AA722" s="2">
        <f>Table1[[#This Row],[retained_premium]]-Table1[[#This Row],[claim_amount_paid]]</f>
        <v>-2100.5758000000005</v>
      </c>
    </row>
    <row r="723" spans="1:27" x14ac:dyDescent="0.35">
      <c r="A723" t="s">
        <v>2208</v>
      </c>
      <c r="B723" t="s">
        <v>2209</v>
      </c>
      <c r="C723" t="s">
        <v>2210</v>
      </c>
      <c r="D723" s="1">
        <v>40797</v>
      </c>
      <c r="E723" s="1">
        <v>44161</v>
      </c>
      <c r="F723" s="1">
        <v>44162</v>
      </c>
      <c r="G723">
        <v>1</v>
      </c>
      <c r="H723">
        <v>78.739999999999995</v>
      </c>
      <c r="I723">
        <v>944.88</v>
      </c>
      <c r="J723">
        <v>5000</v>
      </c>
      <c r="K723" t="s">
        <v>27</v>
      </c>
      <c r="L723">
        <v>5000</v>
      </c>
      <c r="M723">
        <v>2.25</v>
      </c>
      <c r="N723" t="s">
        <v>49</v>
      </c>
      <c r="O723">
        <v>27</v>
      </c>
      <c r="P723">
        <v>58</v>
      </c>
      <c r="Q723">
        <v>1</v>
      </c>
      <c r="R723">
        <v>5</v>
      </c>
      <c r="S723" t="s">
        <v>65</v>
      </c>
      <c r="T723" t="s">
        <v>44</v>
      </c>
      <c r="U723" t="s">
        <v>38</v>
      </c>
      <c r="V723" t="s">
        <v>45</v>
      </c>
      <c r="W723">
        <v>1</v>
      </c>
      <c r="X723">
        <v>0</v>
      </c>
      <c r="Y723" s="2">
        <f>Table1[[#This Row],[premium_yearly]]*Table1[[#This Row],[tenure_years]]</f>
        <v>2125.98</v>
      </c>
      <c r="Z723" s="2">
        <f>Table1[[#This Row],[total_collected_premiums]]*(1-$AD$2)</f>
        <v>1551.9654</v>
      </c>
      <c r="AA723" s="2">
        <f>Table1[[#This Row],[retained_premium]]-Table1[[#This Row],[claim_amount_paid]]</f>
        <v>-3448.0346</v>
      </c>
    </row>
    <row r="724" spans="1:27" x14ac:dyDescent="0.35">
      <c r="A724" t="s">
        <v>2211</v>
      </c>
      <c r="B724" t="s">
        <v>2212</v>
      </c>
      <c r="C724" t="s">
        <v>2213</v>
      </c>
      <c r="D724" s="1">
        <v>42891</v>
      </c>
      <c r="E724" s="1">
        <v>44147</v>
      </c>
      <c r="F724" s="1">
        <v>44152</v>
      </c>
      <c r="G724">
        <v>5</v>
      </c>
      <c r="H724">
        <v>104.46</v>
      </c>
      <c r="I724">
        <v>1253.52</v>
      </c>
      <c r="J724">
        <v>2000</v>
      </c>
      <c r="K724" t="s">
        <v>43</v>
      </c>
      <c r="L724">
        <v>0</v>
      </c>
      <c r="M724">
        <v>3.25</v>
      </c>
      <c r="N724" t="s">
        <v>36</v>
      </c>
      <c r="O724">
        <v>39</v>
      </c>
      <c r="P724">
        <v>37</v>
      </c>
      <c r="Q724">
        <v>1</v>
      </c>
      <c r="R724">
        <v>5</v>
      </c>
      <c r="S724" t="s">
        <v>29</v>
      </c>
      <c r="T724" t="s">
        <v>50</v>
      </c>
      <c r="U724" t="s">
        <v>31</v>
      </c>
      <c r="V724" t="s">
        <v>32</v>
      </c>
      <c r="W724">
        <v>1</v>
      </c>
      <c r="X724">
        <v>1</v>
      </c>
      <c r="Y724" s="2">
        <f>Table1[[#This Row],[premium_yearly]]*Table1[[#This Row],[tenure_years]]</f>
        <v>4073.94</v>
      </c>
      <c r="Z724" s="2">
        <f>Table1[[#This Row],[total_collected_premiums]]*(1-$AD$2)</f>
        <v>2973.9762000000001</v>
      </c>
      <c r="AA724" s="2">
        <f>Table1[[#This Row],[retained_premium]]-Table1[[#This Row],[claim_amount_paid]]</f>
        <v>2973.9762000000001</v>
      </c>
    </row>
    <row r="725" spans="1:27" x14ac:dyDescent="0.35">
      <c r="A725" t="s">
        <v>2214</v>
      </c>
      <c r="B725" t="s">
        <v>2215</v>
      </c>
      <c r="C725" t="s">
        <v>2216</v>
      </c>
      <c r="D725" s="1">
        <v>42016</v>
      </c>
      <c r="E725" s="1">
        <v>44160</v>
      </c>
      <c r="F725" s="1">
        <v>44162</v>
      </c>
      <c r="G725">
        <v>2</v>
      </c>
      <c r="H725">
        <v>97.32</v>
      </c>
      <c r="I725">
        <v>1167.8399999999999</v>
      </c>
      <c r="J725">
        <v>8000</v>
      </c>
      <c r="K725" t="s">
        <v>27</v>
      </c>
      <c r="L725">
        <v>8000</v>
      </c>
      <c r="M725">
        <v>0.67</v>
      </c>
      <c r="N725" t="s">
        <v>36</v>
      </c>
      <c r="O725">
        <v>8</v>
      </c>
      <c r="P725">
        <v>25</v>
      </c>
      <c r="Q725">
        <v>0</v>
      </c>
      <c r="R725">
        <v>2</v>
      </c>
      <c r="S725" t="s">
        <v>29</v>
      </c>
      <c r="T725" t="s">
        <v>30</v>
      </c>
      <c r="U725" t="s">
        <v>38</v>
      </c>
      <c r="V725" t="s">
        <v>39</v>
      </c>
      <c r="W725">
        <v>1</v>
      </c>
      <c r="X725">
        <v>1</v>
      </c>
      <c r="Y725" s="2">
        <f>Table1[[#This Row],[premium_yearly]]*Table1[[#This Row],[tenure_years]]</f>
        <v>782.45280000000002</v>
      </c>
      <c r="Z725" s="2">
        <f>Table1[[#This Row],[total_collected_premiums]]*(1-$AD$2)</f>
        <v>571.19054400000005</v>
      </c>
      <c r="AA725" s="2">
        <f>Table1[[#This Row],[retained_premium]]-Table1[[#This Row],[claim_amount_paid]]</f>
        <v>-7428.809456</v>
      </c>
    </row>
    <row r="726" spans="1:27" x14ac:dyDescent="0.35">
      <c r="A726" t="s">
        <v>2217</v>
      </c>
      <c r="B726" t="s">
        <v>2218</v>
      </c>
      <c r="C726" t="s">
        <v>2219</v>
      </c>
      <c r="D726" s="1">
        <v>40467</v>
      </c>
      <c r="E726" s="1">
        <v>44152</v>
      </c>
      <c r="F726" s="1">
        <v>44157</v>
      </c>
      <c r="G726">
        <v>5</v>
      </c>
      <c r="H726">
        <v>79.61</v>
      </c>
      <c r="I726">
        <v>955.32</v>
      </c>
      <c r="J726">
        <v>3000</v>
      </c>
      <c r="K726" t="s">
        <v>27</v>
      </c>
      <c r="L726">
        <v>3000</v>
      </c>
      <c r="M726">
        <v>6.42</v>
      </c>
      <c r="N726" t="s">
        <v>36</v>
      </c>
      <c r="O726">
        <v>77</v>
      </c>
      <c r="P726">
        <v>38</v>
      </c>
      <c r="Q726">
        <v>1</v>
      </c>
      <c r="R726">
        <v>2</v>
      </c>
      <c r="S726" t="s">
        <v>65</v>
      </c>
      <c r="T726" t="s">
        <v>30</v>
      </c>
      <c r="U726" t="s">
        <v>31</v>
      </c>
      <c r="V726" t="s">
        <v>32</v>
      </c>
      <c r="W726">
        <v>1</v>
      </c>
      <c r="X726">
        <v>1</v>
      </c>
      <c r="Y726" s="2">
        <f>Table1[[#This Row],[premium_yearly]]*Table1[[#This Row],[tenure_years]]</f>
        <v>6133.1544000000004</v>
      </c>
      <c r="Z726" s="2">
        <f>Table1[[#This Row],[total_collected_premiums]]*(1-$AD$2)</f>
        <v>4477.2027120000002</v>
      </c>
      <c r="AA726" s="2">
        <f>Table1[[#This Row],[retained_premium]]-Table1[[#This Row],[claim_amount_paid]]</f>
        <v>1477.2027120000002</v>
      </c>
    </row>
    <row r="727" spans="1:27" x14ac:dyDescent="0.35">
      <c r="A727" t="s">
        <v>2220</v>
      </c>
      <c r="B727" t="s">
        <v>2221</v>
      </c>
      <c r="C727" t="s">
        <v>2222</v>
      </c>
      <c r="D727" s="1">
        <v>40937</v>
      </c>
      <c r="E727" s="1">
        <v>44156</v>
      </c>
      <c r="F727" s="1">
        <v>44159</v>
      </c>
      <c r="G727">
        <v>3</v>
      </c>
      <c r="H727">
        <v>91.95</v>
      </c>
      <c r="I727">
        <v>1103.4000000000001</v>
      </c>
      <c r="J727">
        <v>9000</v>
      </c>
      <c r="K727" t="s">
        <v>27</v>
      </c>
      <c r="L727">
        <v>9000</v>
      </c>
      <c r="M727">
        <v>8.25</v>
      </c>
      <c r="N727" t="s">
        <v>36</v>
      </c>
      <c r="O727">
        <v>99</v>
      </c>
      <c r="P727">
        <v>37</v>
      </c>
      <c r="Q727">
        <v>0</v>
      </c>
      <c r="R727">
        <v>6</v>
      </c>
      <c r="S727" t="s">
        <v>29</v>
      </c>
      <c r="T727" t="s">
        <v>30</v>
      </c>
      <c r="U727" t="s">
        <v>66</v>
      </c>
      <c r="V727" t="s">
        <v>39</v>
      </c>
      <c r="W727">
        <v>0</v>
      </c>
      <c r="X727">
        <v>1</v>
      </c>
      <c r="Y727" s="2">
        <f>Table1[[#This Row],[premium_yearly]]*Table1[[#This Row],[tenure_years]]</f>
        <v>9103.0500000000011</v>
      </c>
      <c r="Z727" s="2">
        <f>Table1[[#This Row],[total_collected_premiums]]*(1-$AD$2)</f>
        <v>6645.2265000000007</v>
      </c>
      <c r="AA727" s="2">
        <f>Table1[[#This Row],[retained_premium]]-Table1[[#This Row],[claim_amount_paid]]</f>
        <v>-2354.7734999999993</v>
      </c>
    </row>
    <row r="728" spans="1:27" x14ac:dyDescent="0.35">
      <c r="A728" t="s">
        <v>2223</v>
      </c>
      <c r="B728" t="s">
        <v>2224</v>
      </c>
      <c r="C728" t="s">
        <v>2225</v>
      </c>
      <c r="D728" s="1">
        <v>42256</v>
      </c>
      <c r="E728" s="1">
        <v>44154</v>
      </c>
      <c r="F728" s="1">
        <v>44159</v>
      </c>
      <c r="G728">
        <v>5</v>
      </c>
      <c r="H728">
        <v>70.430000000000007</v>
      </c>
      <c r="I728">
        <v>845.16</v>
      </c>
      <c r="J728">
        <v>4000</v>
      </c>
      <c r="K728" t="s">
        <v>27</v>
      </c>
      <c r="L728">
        <v>4000</v>
      </c>
      <c r="M728">
        <v>5</v>
      </c>
      <c r="N728" t="s">
        <v>49</v>
      </c>
      <c r="O728">
        <v>60</v>
      </c>
      <c r="P728">
        <v>58</v>
      </c>
      <c r="Q728">
        <v>1</v>
      </c>
      <c r="R728">
        <v>5</v>
      </c>
      <c r="S728" t="s">
        <v>29</v>
      </c>
      <c r="T728" t="s">
        <v>44</v>
      </c>
      <c r="U728" t="s">
        <v>31</v>
      </c>
      <c r="V728" t="s">
        <v>39</v>
      </c>
      <c r="W728">
        <v>1</v>
      </c>
      <c r="X728">
        <v>0</v>
      </c>
      <c r="Y728" s="2">
        <f>Table1[[#This Row],[premium_yearly]]*Table1[[#This Row],[tenure_years]]</f>
        <v>4225.8</v>
      </c>
      <c r="Z728" s="2">
        <f>Table1[[#This Row],[total_collected_premiums]]*(1-$AD$2)</f>
        <v>3084.8339999999998</v>
      </c>
      <c r="AA728" s="2">
        <f>Table1[[#This Row],[retained_premium]]-Table1[[#This Row],[claim_amount_paid]]</f>
        <v>-915.16600000000017</v>
      </c>
    </row>
    <row r="729" spans="1:27" x14ac:dyDescent="0.35">
      <c r="A729" t="s">
        <v>2226</v>
      </c>
      <c r="B729" t="s">
        <v>2227</v>
      </c>
      <c r="C729" t="s">
        <v>2228</v>
      </c>
      <c r="D729" s="1">
        <v>41546</v>
      </c>
      <c r="E729" s="1">
        <v>44151</v>
      </c>
      <c r="F729" s="1">
        <v>44156</v>
      </c>
      <c r="G729">
        <v>5</v>
      </c>
      <c r="H729">
        <v>108.28</v>
      </c>
      <c r="I729">
        <v>1299.3599999999999</v>
      </c>
      <c r="J729">
        <v>5000</v>
      </c>
      <c r="K729" t="s">
        <v>27</v>
      </c>
      <c r="L729">
        <v>5000</v>
      </c>
      <c r="M729">
        <v>6.08</v>
      </c>
      <c r="N729" t="s">
        <v>49</v>
      </c>
      <c r="O729">
        <v>73</v>
      </c>
      <c r="P729">
        <v>27</v>
      </c>
      <c r="Q729">
        <v>0</v>
      </c>
      <c r="R729">
        <v>2</v>
      </c>
      <c r="S729" t="s">
        <v>65</v>
      </c>
      <c r="T729" t="s">
        <v>30</v>
      </c>
      <c r="U729" t="s">
        <v>66</v>
      </c>
      <c r="V729" t="s">
        <v>39</v>
      </c>
      <c r="W729">
        <v>1</v>
      </c>
      <c r="X729">
        <v>1</v>
      </c>
      <c r="Y729" s="2">
        <f>Table1[[#This Row],[premium_yearly]]*Table1[[#This Row],[tenure_years]]</f>
        <v>7900.1087999999991</v>
      </c>
      <c r="Z729" s="2">
        <f>Table1[[#This Row],[total_collected_premiums]]*(1-$AD$2)</f>
        <v>5767.0794239999996</v>
      </c>
      <c r="AA729" s="2">
        <f>Table1[[#This Row],[retained_premium]]-Table1[[#This Row],[claim_amount_paid]]</f>
        <v>767.07942399999956</v>
      </c>
    </row>
    <row r="730" spans="1:27" x14ac:dyDescent="0.35">
      <c r="A730" t="s">
        <v>2229</v>
      </c>
      <c r="B730" t="s">
        <v>2230</v>
      </c>
      <c r="C730" t="s">
        <v>2231</v>
      </c>
      <c r="D730" s="1">
        <v>42611</v>
      </c>
      <c r="E730" s="1">
        <v>44164</v>
      </c>
      <c r="F730" s="1">
        <v>44164</v>
      </c>
      <c r="G730">
        <v>0</v>
      </c>
      <c r="H730">
        <v>120.59</v>
      </c>
      <c r="I730">
        <v>1447.08</v>
      </c>
      <c r="J730">
        <v>2000</v>
      </c>
      <c r="K730" t="s">
        <v>27</v>
      </c>
      <c r="L730">
        <v>2000</v>
      </c>
      <c r="M730">
        <v>6</v>
      </c>
      <c r="N730" t="s">
        <v>28</v>
      </c>
      <c r="O730">
        <v>72</v>
      </c>
      <c r="P730">
        <v>34</v>
      </c>
      <c r="Q730">
        <v>1</v>
      </c>
      <c r="R730">
        <v>2</v>
      </c>
      <c r="S730" t="s">
        <v>65</v>
      </c>
      <c r="T730" t="s">
        <v>50</v>
      </c>
      <c r="U730" t="s">
        <v>66</v>
      </c>
      <c r="V730" t="s">
        <v>32</v>
      </c>
      <c r="W730">
        <v>1</v>
      </c>
      <c r="X730">
        <v>1</v>
      </c>
      <c r="Y730" s="2">
        <f>Table1[[#This Row],[premium_yearly]]*Table1[[#This Row],[tenure_years]]</f>
        <v>8682.48</v>
      </c>
      <c r="Z730" s="2">
        <f>Table1[[#This Row],[total_collected_premiums]]*(1-$AD$2)</f>
        <v>6338.2103999999999</v>
      </c>
      <c r="AA730" s="2">
        <f>Table1[[#This Row],[retained_premium]]-Table1[[#This Row],[claim_amount_paid]]</f>
        <v>4338.2103999999999</v>
      </c>
    </row>
    <row r="731" spans="1:27" x14ac:dyDescent="0.35">
      <c r="A731" t="s">
        <v>2232</v>
      </c>
      <c r="B731" t="s">
        <v>2233</v>
      </c>
      <c r="C731" t="s">
        <v>2234</v>
      </c>
      <c r="D731" s="1">
        <v>42138</v>
      </c>
      <c r="E731" s="1">
        <v>44167</v>
      </c>
      <c r="F731" s="1">
        <v>44167</v>
      </c>
      <c r="G731">
        <v>0</v>
      </c>
      <c r="H731">
        <v>72</v>
      </c>
      <c r="I731">
        <v>864</v>
      </c>
      <c r="J731">
        <v>4000</v>
      </c>
      <c r="K731" t="s">
        <v>27</v>
      </c>
      <c r="L731">
        <v>4000</v>
      </c>
      <c r="M731">
        <v>2.08</v>
      </c>
      <c r="N731" t="s">
        <v>28</v>
      </c>
      <c r="O731">
        <v>25</v>
      </c>
      <c r="P731">
        <v>61</v>
      </c>
      <c r="Q731">
        <v>1</v>
      </c>
      <c r="R731">
        <v>7</v>
      </c>
      <c r="S731" t="s">
        <v>65</v>
      </c>
      <c r="T731" t="s">
        <v>50</v>
      </c>
      <c r="U731" t="s">
        <v>31</v>
      </c>
      <c r="V731" t="s">
        <v>32</v>
      </c>
      <c r="W731">
        <v>0</v>
      </c>
      <c r="X731">
        <v>1</v>
      </c>
      <c r="Y731" s="2">
        <f>Table1[[#This Row],[premium_yearly]]*Table1[[#This Row],[tenure_years]]</f>
        <v>1797.1200000000001</v>
      </c>
      <c r="Z731" s="2">
        <f>Table1[[#This Row],[total_collected_premiums]]*(1-$AD$2)</f>
        <v>1311.8976</v>
      </c>
      <c r="AA731" s="2">
        <f>Table1[[#This Row],[retained_premium]]-Table1[[#This Row],[claim_amount_paid]]</f>
        <v>-2688.1023999999998</v>
      </c>
    </row>
    <row r="732" spans="1:27" x14ac:dyDescent="0.35">
      <c r="A732" t="s">
        <v>2235</v>
      </c>
      <c r="B732" t="s">
        <v>2236</v>
      </c>
      <c r="C732" t="s">
        <v>2237</v>
      </c>
      <c r="D732" s="1">
        <v>42850</v>
      </c>
      <c r="E732" s="1">
        <v>44161</v>
      </c>
      <c r="F732" s="1">
        <v>44163</v>
      </c>
      <c r="G732">
        <v>2</v>
      </c>
      <c r="H732">
        <v>80.31</v>
      </c>
      <c r="I732">
        <v>963.72</v>
      </c>
      <c r="J732">
        <v>10000</v>
      </c>
      <c r="K732" t="s">
        <v>43</v>
      </c>
      <c r="L732">
        <v>0</v>
      </c>
      <c r="M732">
        <v>4.17</v>
      </c>
      <c r="N732" t="s">
        <v>49</v>
      </c>
      <c r="O732">
        <v>50</v>
      </c>
      <c r="P732">
        <v>25</v>
      </c>
      <c r="Q732">
        <v>1</v>
      </c>
      <c r="R732">
        <v>7</v>
      </c>
      <c r="S732" t="s">
        <v>65</v>
      </c>
      <c r="T732" t="s">
        <v>44</v>
      </c>
      <c r="U732" t="s">
        <v>38</v>
      </c>
      <c r="V732" t="s">
        <v>32</v>
      </c>
      <c r="W732">
        <v>1</v>
      </c>
      <c r="X732">
        <v>1</v>
      </c>
      <c r="Y732" s="2">
        <f>Table1[[#This Row],[premium_yearly]]*Table1[[#This Row],[tenure_years]]</f>
        <v>4018.7123999999999</v>
      </c>
      <c r="Z732" s="2">
        <f>Table1[[#This Row],[total_collected_premiums]]*(1-$AD$2)</f>
        <v>2933.6600519999997</v>
      </c>
      <c r="AA732" s="2">
        <f>Table1[[#This Row],[retained_premium]]-Table1[[#This Row],[claim_amount_paid]]</f>
        <v>2933.6600519999997</v>
      </c>
    </row>
    <row r="733" spans="1:27" x14ac:dyDescent="0.35">
      <c r="A733" t="s">
        <v>2238</v>
      </c>
      <c r="B733" t="s">
        <v>2239</v>
      </c>
      <c r="C733" t="s">
        <v>2240</v>
      </c>
      <c r="D733" s="1">
        <v>42346</v>
      </c>
      <c r="E733" s="1">
        <v>44150</v>
      </c>
      <c r="F733" s="1">
        <v>44155</v>
      </c>
      <c r="G733">
        <v>5</v>
      </c>
      <c r="H733">
        <v>97.83</v>
      </c>
      <c r="I733">
        <v>1173.96</v>
      </c>
      <c r="J733">
        <v>6000</v>
      </c>
      <c r="K733" t="s">
        <v>27</v>
      </c>
      <c r="L733">
        <v>6000</v>
      </c>
      <c r="M733">
        <v>5.17</v>
      </c>
      <c r="N733" t="s">
        <v>28</v>
      </c>
      <c r="O733">
        <v>62</v>
      </c>
      <c r="P733">
        <v>31</v>
      </c>
      <c r="Q733">
        <v>0</v>
      </c>
      <c r="R733">
        <v>7</v>
      </c>
      <c r="S733" t="s">
        <v>29</v>
      </c>
      <c r="T733" t="s">
        <v>50</v>
      </c>
      <c r="U733" t="s">
        <v>58</v>
      </c>
      <c r="V733" t="s">
        <v>32</v>
      </c>
      <c r="W733">
        <v>1</v>
      </c>
      <c r="X733">
        <v>1</v>
      </c>
      <c r="Y733" s="2">
        <f>Table1[[#This Row],[premium_yearly]]*Table1[[#This Row],[tenure_years]]</f>
        <v>6069.3732</v>
      </c>
      <c r="Z733" s="2">
        <f>Table1[[#This Row],[total_collected_premiums]]*(1-$AD$2)</f>
        <v>4430.6424360000001</v>
      </c>
      <c r="AA733" s="2">
        <f>Table1[[#This Row],[retained_premium]]-Table1[[#This Row],[claim_amount_paid]]</f>
        <v>-1569.3575639999999</v>
      </c>
    </row>
    <row r="734" spans="1:27" x14ac:dyDescent="0.35">
      <c r="A734" t="s">
        <v>2241</v>
      </c>
      <c r="B734" t="s">
        <v>2242</v>
      </c>
      <c r="C734" t="s">
        <v>2243</v>
      </c>
      <c r="D734" s="1">
        <v>40693</v>
      </c>
      <c r="E734" s="1">
        <v>44150</v>
      </c>
      <c r="F734" s="1">
        <v>44155</v>
      </c>
      <c r="G734">
        <v>5</v>
      </c>
      <c r="H734">
        <v>129.38999999999999</v>
      </c>
      <c r="I734">
        <v>1552.68</v>
      </c>
      <c r="J734">
        <v>2000</v>
      </c>
      <c r="K734" t="s">
        <v>43</v>
      </c>
      <c r="L734">
        <v>0</v>
      </c>
      <c r="M734">
        <v>0.75</v>
      </c>
      <c r="N734" t="s">
        <v>49</v>
      </c>
      <c r="O734">
        <v>9</v>
      </c>
      <c r="P734">
        <v>58</v>
      </c>
      <c r="Q734">
        <v>1</v>
      </c>
      <c r="R734">
        <v>2</v>
      </c>
      <c r="S734" t="s">
        <v>29</v>
      </c>
      <c r="T734" t="s">
        <v>44</v>
      </c>
      <c r="U734" t="s">
        <v>31</v>
      </c>
      <c r="V734" t="s">
        <v>39</v>
      </c>
      <c r="W734">
        <v>1</v>
      </c>
      <c r="X734">
        <v>1</v>
      </c>
      <c r="Y734" s="2">
        <f>Table1[[#This Row],[premium_yearly]]*Table1[[#This Row],[tenure_years]]</f>
        <v>1164.51</v>
      </c>
      <c r="Z734" s="2">
        <f>Table1[[#This Row],[total_collected_premiums]]*(1-$AD$2)</f>
        <v>850.09230000000002</v>
      </c>
      <c r="AA734" s="2">
        <f>Table1[[#This Row],[retained_premium]]-Table1[[#This Row],[claim_amount_paid]]</f>
        <v>850.09230000000002</v>
      </c>
    </row>
    <row r="735" spans="1:27" x14ac:dyDescent="0.35">
      <c r="A735" t="s">
        <v>2244</v>
      </c>
      <c r="B735" t="s">
        <v>2245</v>
      </c>
      <c r="C735" t="s">
        <v>2246</v>
      </c>
      <c r="D735" s="1">
        <v>41213</v>
      </c>
      <c r="E735" s="1">
        <v>44165</v>
      </c>
      <c r="F735" s="1">
        <v>44166</v>
      </c>
      <c r="G735">
        <v>1</v>
      </c>
      <c r="H735">
        <v>92.88</v>
      </c>
      <c r="I735">
        <v>1114.56</v>
      </c>
      <c r="J735">
        <v>7000</v>
      </c>
      <c r="K735" t="s">
        <v>27</v>
      </c>
      <c r="L735">
        <v>7000</v>
      </c>
      <c r="M735">
        <v>6.92</v>
      </c>
      <c r="N735" t="s">
        <v>36</v>
      </c>
      <c r="O735">
        <v>83</v>
      </c>
      <c r="P735">
        <v>47</v>
      </c>
      <c r="Q735">
        <v>0</v>
      </c>
      <c r="R735">
        <v>5</v>
      </c>
      <c r="S735" t="s">
        <v>65</v>
      </c>
      <c r="T735" t="s">
        <v>30</v>
      </c>
      <c r="U735" t="s">
        <v>38</v>
      </c>
      <c r="V735" t="s">
        <v>39</v>
      </c>
      <c r="W735">
        <v>1</v>
      </c>
      <c r="X735">
        <v>1</v>
      </c>
      <c r="Y735" s="2">
        <f>Table1[[#This Row],[premium_yearly]]*Table1[[#This Row],[tenure_years]]</f>
        <v>7712.7551999999996</v>
      </c>
      <c r="Z735" s="2">
        <f>Table1[[#This Row],[total_collected_premiums]]*(1-$AD$2)</f>
        <v>5630.3112959999999</v>
      </c>
      <c r="AA735" s="2">
        <f>Table1[[#This Row],[retained_premium]]-Table1[[#This Row],[claim_amount_paid]]</f>
        <v>-1369.6887040000001</v>
      </c>
    </row>
    <row r="736" spans="1:27" x14ac:dyDescent="0.35">
      <c r="A736" t="s">
        <v>2247</v>
      </c>
      <c r="B736" t="s">
        <v>2248</v>
      </c>
      <c r="C736" t="s">
        <v>2249</v>
      </c>
      <c r="D736" s="1">
        <v>41314</v>
      </c>
      <c r="E736" s="1">
        <v>44161</v>
      </c>
      <c r="F736" s="1">
        <v>44164</v>
      </c>
      <c r="G736">
        <v>3</v>
      </c>
      <c r="H736">
        <v>88.43</v>
      </c>
      <c r="I736">
        <v>1061.1600000000001</v>
      </c>
      <c r="J736">
        <v>7000</v>
      </c>
      <c r="K736" t="s">
        <v>27</v>
      </c>
      <c r="L736">
        <v>7000</v>
      </c>
      <c r="M736">
        <v>2.17</v>
      </c>
      <c r="N736" t="s">
        <v>28</v>
      </c>
      <c r="O736">
        <v>26</v>
      </c>
      <c r="P736">
        <v>56</v>
      </c>
      <c r="Q736">
        <v>1</v>
      </c>
      <c r="R736">
        <v>2</v>
      </c>
      <c r="S736" t="s">
        <v>29</v>
      </c>
      <c r="T736" t="s">
        <v>30</v>
      </c>
      <c r="U736" t="s">
        <v>38</v>
      </c>
      <c r="V736" t="s">
        <v>45</v>
      </c>
      <c r="W736">
        <v>1</v>
      </c>
      <c r="X736">
        <v>1</v>
      </c>
      <c r="Y736" s="2">
        <f>Table1[[#This Row],[premium_yearly]]*Table1[[#This Row],[tenure_years]]</f>
        <v>2302.7172</v>
      </c>
      <c r="Z736" s="2">
        <f>Table1[[#This Row],[total_collected_premiums]]*(1-$AD$2)</f>
        <v>1680.9835559999999</v>
      </c>
      <c r="AA736" s="2">
        <f>Table1[[#This Row],[retained_premium]]-Table1[[#This Row],[claim_amount_paid]]</f>
        <v>-5319.0164439999999</v>
      </c>
    </row>
    <row r="737" spans="1:27" x14ac:dyDescent="0.35">
      <c r="A737" t="s">
        <v>2250</v>
      </c>
      <c r="B737" t="s">
        <v>2251</v>
      </c>
      <c r="C737" t="s">
        <v>2252</v>
      </c>
      <c r="D737" s="1">
        <v>41793</v>
      </c>
      <c r="E737" s="1">
        <v>44154</v>
      </c>
      <c r="F737" s="1">
        <v>44159</v>
      </c>
      <c r="G737">
        <v>5</v>
      </c>
      <c r="H737">
        <v>121.28</v>
      </c>
      <c r="I737">
        <v>1455.36</v>
      </c>
      <c r="J737">
        <v>8000</v>
      </c>
      <c r="K737" t="s">
        <v>27</v>
      </c>
      <c r="L737">
        <v>8000</v>
      </c>
      <c r="M737">
        <v>6.33</v>
      </c>
      <c r="N737" t="s">
        <v>36</v>
      </c>
      <c r="O737">
        <v>76</v>
      </c>
      <c r="P737">
        <v>25</v>
      </c>
      <c r="Q737">
        <v>1</v>
      </c>
      <c r="R737">
        <v>2</v>
      </c>
      <c r="S737" t="s">
        <v>65</v>
      </c>
      <c r="T737" t="s">
        <v>30</v>
      </c>
      <c r="U737" t="s">
        <v>31</v>
      </c>
      <c r="V737" t="s">
        <v>32</v>
      </c>
      <c r="W737">
        <v>1</v>
      </c>
      <c r="X737">
        <v>1</v>
      </c>
      <c r="Y737" s="2">
        <f>Table1[[#This Row],[premium_yearly]]*Table1[[#This Row],[tenure_years]]</f>
        <v>9212.4287999999997</v>
      </c>
      <c r="Z737" s="2">
        <f>Table1[[#This Row],[total_collected_premiums]]*(1-$AD$2)</f>
        <v>6725.0730239999994</v>
      </c>
      <c r="AA737" s="2">
        <f>Table1[[#This Row],[retained_premium]]-Table1[[#This Row],[claim_amount_paid]]</f>
        <v>-1274.9269760000006</v>
      </c>
    </row>
    <row r="738" spans="1:27" x14ac:dyDescent="0.35">
      <c r="A738" t="s">
        <v>2253</v>
      </c>
      <c r="B738" t="s">
        <v>2254</v>
      </c>
      <c r="C738" t="s">
        <v>2255</v>
      </c>
      <c r="D738" s="1">
        <v>43580</v>
      </c>
      <c r="E738" s="1">
        <v>44159</v>
      </c>
      <c r="F738" s="1">
        <v>44164</v>
      </c>
      <c r="G738">
        <v>5</v>
      </c>
      <c r="H738">
        <v>109.23</v>
      </c>
      <c r="I738">
        <v>1310.76</v>
      </c>
      <c r="J738">
        <v>3000</v>
      </c>
      <c r="K738" t="s">
        <v>43</v>
      </c>
      <c r="L738">
        <v>0</v>
      </c>
      <c r="M738">
        <v>9.08</v>
      </c>
      <c r="N738" t="s">
        <v>36</v>
      </c>
      <c r="O738">
        <v>109</v>
      </c>
      <c r="P738">
        <v>42</v>
      </c>
      <c r="Q738">
        <v>0</v>
      </c>
      <c r="R738">
        <v>2</v>
      </c>
      <c r="S738" t="s">
        <v>29</v>
      </c>
      <c r="T738" t="s">
        <v>30</v>
      </c>
      <c r="U738" t="s">
        <v>88</v>
      </c>
      <c r="V738" t="s">
        <v>45</v>
      </c>
      <c r="W738">
        <v>1</v>
      </c>
      <c r="X738">
        <v>1</v>
      </c>
      <c r="Y738" s="2">
        <f>Table1[[#This Row],[premium_yearly]]*Table1[[#This Row],[tenure_years]]</f>
        <v>11901.700800000001</v>
      </c>
      <c r="Z738" s="2">
        <f>Table1[[#This Row],[total_collected_premiums]]*(1-$AD$2)</f>
        <v>8688.2415839999994</v>
      </c>
      <c r="AA738" s="2">
        <f>Table1[[#This Row],[retained_premium]]-Table1[[#This Row],[claim_amount_paid]]</f>
        <v>8688.2415839999994</v>
      </c>
    </row>
    <row r="739" spans="1:27" x14ac:dyDescent="0.35">
      <c r="A739" t="s">
        <v>2256</v>
      </c>
      <c r="B739" t="s">
        <v>2257</v>
      </c>
      <c r="C739" t="s">
        <v>2258</v>
      </c>
      <c r="D739" s="1">
        <v>43091</v>
      </c>
      <c r="E739" s="1">
        <v>44163</v>
      </c>
      <c r="F739" s="1">
        <v>44166</v>
      </c>
      <c r="G739">
        <v>3</v>
      </c>
      <c r="H739">
        <v>137.41</v>
      </c>
      <c r="I739">
        <v>1648.92</v>
      </c>
      <c r="J739">
        <v>1000</v>
      </c>
      <c r="K739" t="s">
        <v>27</v>
      </c>
      <c r="L739">
        <v>1000</v>
      </c>
      <c r="M739">
        <v>6.58</v>
      </c>
      <c r="N739" t="s">
        <v>49</v>
      </c>
      <c r="O739">
        <v>79</v>
      </c>
      <c r="P739">
        <v>36</v>
      </c>
      <c r="Q739">
        <v>1</v>
      </c>
      <c r="R739">
        <v>7</v>
      </c>
      <c r="S739" t="s">
        <v>29</v>
      </c>
      <c r="T739" t="s">
        <v>30</v>
      </c>
      <c r="U739" t="s">
        <v>88</v>
      </c>
      <c r="V739" t="s">
        <v>39</v>
      </c>
      <c r="W739">
        <v>0</v>
      </c>
      <c r="X739">
        <v>0</v>
      </c>
      <c r="Y739" s="2">
        <f>Table1[[#This Row],[premium_yearly]]*Table1[[#This Row],[tenure_years]]</f>
        <v>10849.893600000001</v>
      </c>
      <c r="Z739" s="2">
        <f>Table1[[#This Row],[total_collected_premiums]]*(1-$AD$2)</f>
        <v>7920.4223280000006</v>
      </c>
      <c r="AA739" s="2">
        <f>Table1[[#This Row],[retained_premium]]-Table1[[#This Row],[claim_amount_paid]]</f>
        <v>6920.4223280000006</v>
      </c>
    </row>
    <row r="740" spans="1:27" x14ac:dyDescent="0.35">
      <c r="A740" t="s">
        <v>2259</v>
      </c>
      <c r="B740" t="s">
        <v>2260</v>
      </c>
      <c r="C740" t="s">
        <v>2261</v>
      </c>
      <c r="D740" s="1">
        <v>43384</v>
      </c>
      <c r="E740" s="1">
        <v>44156</v>
      </c>
      <c r="F740" s="1">
        <v>44161</v>
      </c>
      <c r="G740">
        <v>5</v>
      </c>
      <c r="H740">
        <v>129</v>
      </c>
      <c r="I740">
        <v>1548</v>
      </c>
      <c r="J740">
        <v>8000</v>
      </c>
      <c r="K740" t="s">
        <v>27</v>
      </c>
      <c r="L740">
        <v>8000</v>
      </c>
      <c r="M740">
        <v>7.33</v>
      </c>
      <c r="N740" t="s">
        <v>49</v>
      </c>
      <c r="O740">
        <v>88</v>
      </c>
      <c r="P740">
        <v>50</v>
      </c>
      <c r="Q740">
        <v>1</v>
      </c>
      <c r="R740">
        <v>6</v>
      </c>
      <c r="S740" t="s">
        <v>65</v>
      </c>
      <c r="T740" t="s">
        <v>30</v>
      </c>
      <c r="U740" t="s">
        <v>31</v>
      </c>
      <c r="V740" t="s">
        <v>39</v>
      </c>
      <c r="W740">
        <v>1</v>
      </c>
      <c r="X740">
        <v>0</v>
      </c>
      <c r="Y740" s="2">
        <f>Table1[[#This Row],[premium_yearly]]*Table1[[#This Row],[tenure_years]]</f>
        <v>11346.84</v>
      </c>
      <c r="Z740" s="2">
        <f>Table1[[#This Row],[total_collected_premiums]]*(1-$AD$2)</f>
        <v>8283.1931999999997</v>
      </c>
      <c r="AA740" s="2">
        <f>Table1[[#This Row],[retained_premium]]-Table1[[#This Row],[claim_amount_paid]]</f>
        <v>283.19319999999971</v>
      </c>
    </row>
    <row r="741" spans="1:27" x14ac:dyDescent="0.35">
      <c r="A741" t="s">
        <v>2262</v>
      </c>
      <c r="B741" t="s">
        <v>2263</v>
      </c>
      <c r="C741" t="s">
        <v>2264</v>
      </c>
      <c r="D741" s="1">
        <v>41543</v>
      </c>
      <c r="E741" s="1">
        <v>44170</v>
      </c>
      <c r="F741" s="1">
        <v>44170</v>
      </c>
      <c r="G741">
        <v>0</v>
      </c>
      <c r="H741">
        <v>118.76</v>
      </c>
      <c r="I741">
        <v>1425.12</v>
      </c>
      <c r="J741">
        <v>10000</v>
      </c>
      <c r="K741" t="s">
        <v>27</v>
      </c>
      <c r="L741">
        <v>10000</v>
      </c>
      <c r="M741">
        <v>0.57999999999999996</v>
      </c>
      <c r="N741" t="s">
        <v>49</v>
      </c>
      <c r="O741">
        <v>7</v>
      </c>
      <c r="P741">
        <v>54</v>
      </c>
      <c r="Q741">
        <v>0</v>
      </c>
      <c r="R741">
        <v>5</v>
      </c>
      <c r="S741" t="s">
        <v>65</v>
      </c>
      <c r="T741" t="s">
        <v>50</v>
      </c>
      <c r="U741" t="s">
        <v>66</v>
      </c>
      <c r="V741" t="s">
        <v>39</v>
      </c>
      <c r="W741">
        <v>0</v>
      </c>
      <c r="X741">
        <v>1</v>
      </c>
      <c r="Y741" s="2">
        <f>Table1[[#This Row],[premium_yearly]]*Table1[[#This Row],[tenure_years]]</f>
        <v>826.56959999999992</v>
      </c>
      <c r="Z741" s="2">
        <f>Table1[[#This Row],[total_collected_premiums]]*(1-$AD$2)</f>
        <v>603.39580799999987</v>
      </c>
      <c r="AA741" s="2">
        <f>Table1[[#This Row],[retained_premium]]-Table1[[#This Row],[claim_amount_paid]]</f>
        <v>-9396.6041920000007</v>
      </c>
    </row>
    <row r="742" spans="1:27" x14ac:dyDescent="0.35">
      <c r="A742" t="s">
        <v>2265</v>
      </c>
      <c r="B742" t="s">
        <v>2266</v>
      </c>
      <c r="C742" t="s">
        <v>2267</v>
      </c>
      <c r="D742" s="1">
        <v>41051</v>
      </c>
      <c r="E742" s="1">
        <v>44170</v>
      </c>
      <c r="F742" s="1">
        <v>44170</v>
      </c>
      <c r="G742">
        <v>0</v>
      </c>
      <c r="H742">
        <v>128.51</v>
      </c>
      <c r="I742">
        <v>1542.12</v>
      </c>
      <c r="J742">
        <v>5000</v>
      </c>
      <c r="K742" t="s">
        <v>27</v>
      </c>
      <c r="L742">
        <v>5000</v>
      </c>
      <c r="M742">
        <v>9.92</v>
      </c>
      <c r="N742" t="s">
        <v>36</v>
      </c>
      <c r="O742">
        <v>119</v>
      </c>
      <c r="P742">
        <v>35</v>
      </c>
      <c r="Q742">
        <v>1</v>
      </c>
      <c r="R742">
        <v>2</v>
      </c>
      <c r="S742" t="s">
        <v>37</v>
      </c>
      <c r="T742" t="s">
        <v>30</v>
      </c>
      <c r="U742" t="s">
        <v>31</v>
      </c>
      <c r="V742" t="s">
        <v>32</v>
      </c>
      <c r="W742">
        <v>1</v>
      </c>
      <c r="X742">
        <v>0</v>
      </c>
      <c r="Y742" s="2">
        <f>Table1[[#This Row],[premium_yearly]]*Table1[[#This Row],[tenure_years]]</f>
        <v>15297.830399999999</v>
      </c>
      <c r="Z742" s="2">
        <f>Table1[[#This Row],[total_collected_premiums]]*(1-$AD$2)</f>
        <v>11167.416191999999</v>
      </c>
      <c r="AA742" s="2">
        <f>Table1[[#This Row],[retained_premium]]-Table1[[#This Row],[claim_amount_paid]]</f>
        <v>6167.4161919999988</v>
      </c>
    </row>
    <row r="743" spans="1:27" x14ac:dyDescent="0.35">
      <c r="A743" t="s">
        <v>2268</v>
      </c>
      <c r="B743" t="s">
        <v>2269</v>
      </c>
      <c r="C743" t="s">
        <v>2270</v>
      </c>
      <c r="D743" s="1">
        <v>40486</v>
      </c>
      <c r="E743" s="1">
        <v>44159</v>
      </c>
      <c r="F743" s="1">
        <v>44164</v>
      </c>
      <c r="G743">
        <v>5</v>
      </c>
      <c r="H743">
        <v>88.95</v>
      </c>
      <c r="I743">
        <v>1067.4000000000001</v>
      </c>
      <c r="J743">
        <v>4000</v>
      </c>
      <c r="K743" t="s">
        <v>27</v>
      </c>
      <c r="L743">
        <v>4000</v>
      </c>
      <c r="M743">
        <v>6.25</v>
      </c>
      <c r="N743" t="s">
        <v>28</v>
      </c>
      <c r="O743">
        <v>75</v>
      </c>
      <c r="P743">
        <v>51</v>
      </c>
      <c r="Q743">
        <v>1</v>
      </c>
      <c r="R743">
        <v>5</v>
      </c>
      <c r="S743" t="s">
        <v>65</v>
      </c>
      <c r="T743" t="s">
        <v>30</v>
      </c>
      <c r="U743" t="s">
        <v>38</v>
      </c>
      <c r="V743" t="s">
        <v>32</v>
      </c>
      <c r="W743">
        <v>0</v>
      </c>
      <c r="X743">
        <v>1</v>
      </c>
      <c r="Y743" s="2">
        <f>Table1[[#This Row],[premium_yearly]]*Table1[[#This Row],[tenure_years]]</f>
        <v>6671.2500000000009</v>
      </c>
      <c r="Z743" s="2">
        <f>Table1[[#This Row],[total_collected_premiums]]*(1-$AD$2)</f>
        <v>4870.0125000000007</v>
      </c>
      <c r="AA743" s="2">
        <f>Table1[[#This Row],[retained_premium]]-Table1[[#This Row],[claim_amount_paid]]</f>
        <v>870.01250000000073</v>
      </c>
    </row>
    <row r="744" spans="1:27" x14ac:dyDescent="0.35">
      <c r="A744" t="s">
        <v>2271</v>
      </c>
      <c r="B744" t="s">
        <v>2272</v>
      </c>
      <c r="C744" t="s">
        <v>2273</v>
      </c>
      <c r="D744" s="1">
        <v>42714</v>
      </c>
      <c r="E744" s="1">
        <v>44159</v>
      </c>
      <c r="F744" s="1">
        <v>44164</v>
      </c>
      <c r="G744">
        <v>5</v>
      </c>
      <c r="H744">
        <v>136.6</v>
      </c>
      <c r="I744">
        <v>1639.2</v>
      </c>
      <c r="J744">
        <v>10000</v>
      </c>
      <c r="K744" t="s">
        <v>27</v>
      </c>
      <c r="L744">
        <v>10000</v>
      </c>
      <c r="M744">
        <v>1.17</v>
      </c>
      <c r="N744" t="s">
        <v>36</v>
      </c>
      <c r="O744">
        <v>14</v>
      </c>
      <c r="P744">
        <v>35</v>
      </c>
      <c r="Q744">
        <v>0</v>
      </c>
      <c r="R744">
        <v>6</v>
      </c>
      <c r="S744" t="s">
        <v>65</v>
      </c>
      <c r="T744" t="s">
        <v>50</v>
      </c>
      <c r="U744" t="s">
        <v>107</v>
      </c>
      <c r="V744" t="s">
        <v>39</v>
      </c>
      <c r="W744">
        <v>1</v>
      </c>
      <c r="X744">
        <v>1</v>
      </c>
      <c r="Y744" s="2">
        <f>Table1[[#This Row],[premium_yearly]]*Table1[[#This Row],[tenure_years]]</f>
        <v>1917.864</v>
      </c>
      <c r="Z744" s="2">
        <f>Table1[[#This Row],[total_collected_premiums]]*(1-$AD$2)</f>
        <v>1400.04072</v>
      </c>
      <c r="AA744" s="2">
        <f>Table1[[#This Row],[retained_premium]]-Table1[[#This Row],[claim_amount_paid]]</f>
        <v>-8599.9592799999991</v>
      </c>
    </row>
    <row r="745" spans="1:27" x14ac:dyDescent="0.35">
      <c r="A745" t="s">
        <v>2274</v>
      </c>
      <c r="B745" t="s">
        <v>2275</v>
      </c>
      <c r="C745" t="s">
        <v>2276</v>
      </c>
      <c r="D745" s="1">
        <v>41926</v>
      </c>
      <c r="E745" s="1">
        <v>44164</v>
      </c>
      <c r="F745" s="1">
        <v>44167</v>
      </c>
      <c r="G745">
        <v>3</v>
      </c>
      <c r="H745">
        <v>118.69</v>
      </c>
      <c r="I745">
        <v>1424.28</v>
      </c>
      <c r="J745">
        <v>7000</v>
      </c>
      <c r="K745" t="s">
        <v>27</v>
      </c>
      <c r="L745">
        <v>7000</v>
      </c>
      <c r="M745">
        <v>1.67</v>
      </c>
      <c r="N745" t="s">
        <v>28</v>
      </c>
      <c r="O745">
        <v>20</v>
      </c>
      <c r="P745">
        <v>64</v>
      </c>
      <c r="Q745">
        <v>1</v>
      </c>
      <c r="R745">
        <v>4</v>
      </c>
      <c r="S745" t="s">
        <v>65</v>
      </c>
      <c r="T745" t="s">
        <v>44</v>
      </c>
      <c r="U745" t="s">
        <v>58</v>
      </c>
      <c r="V745" t="s">
        <v>45</v>
      </c>
      <c r="W745">
        <v>1</v>
      </c>
      <c r="X745">
        <v>0</v>
      </c>
      <c r="Y745" s="2">
        <f>Table1[[#This Row],[premium_yearly]]*Table1[[#This Row],[tenure_years]]</f>
        <v>2378.5475999999999</v>
      </c>
      <c r="Z745" s="2">
        <f>Table1[[#This Row],[total_collected_premiums]]*(1-$AD$2)</f>
        <v>1736.3397479999999</v>
      </c>
      <c r="AA745" s="2">
        <f>Table1[[#This Row],[retained_premium]]-Table1[[#This Row],[claim_amount_paid]]</f>
        <v>-5263.6602519999997</v>
      </c>
    </row>
    <row r="746" spans="1:27" x14ac:dyDescent="0.35">
      <c r="A746" t="s">
        <v>2277</v>
      </c>
      <c r="B746" t="s">
        <v>2278</v>
      </c>
      <c r="C746" t="s">
        <v>2279</v>
      </c>
      <c r="D746" s="1">
        <v>42049</v>
      </c>
      <c r="E746" s="1">
        <v>44156</v>
      </c>
      <c r="F746" s="1">
        <v>44161</v>
      </c>
      <c r="G746">
        <v>5</v>
      </c>
      <c r="H746">
        <v>72.92</v>
      </c>
      <c r="I746">
        <v>875.04</v>
      </c>
      <c r="J746">
        <v>3000</v>
      </c>
      <c r="K746" t="s">
        <v>27</v>
      </c>
      <c r="L746">
        <v>3000</v>
      </c>
      <c r="M746">
        <v>5</v>
      </c>
      <c r="N746" t="s">
        <v>28</v>
      </c>
      <c r="O746">
        <v>60</v>
      </c>
      <c r="P746">
        <v>48</v>
      </c>
      <c r="Q746">
        <v>1</v>
      </c>
      <c r="R746">
        <v>4</v>
      </c>
      <c r="S746" t="s">
        <v>29</v>
      </c>
      <c r="T746" t="s">
        <v>50</v>
      </c>
      <c r="U746" t="s">
        <v>38</v>
      </c>
      <c r="V746" t="s">
        <v>45</v>
      </c>
      <c r="W746">
        <v>1</v>
      </c>
      <c r="X746">
        <v>1</v>
      </c>
      <c r="Y746" s="2">
        <f>Table1[[#This Row],[premium_yearly]]*Table1[[#This Row],[tenure_years]]</f>
        <v>4375.2</v>
      </c>
      <c r="Z746" s="2">
        <f>Table1[[#This Row],[total_collected_premiums]]*(1-$AD$2)</f>
        <v>3193.8959999999997</v>
      </c>
      <c r="AA746" s="2">
        <f>Table1[[#This Row],[retained_premium]]-Table1[[#This Row],[claim_amount_paid]]</f>
        <v>193.89599999999973</v>
      </c>
    </row>
    <row r="747" spans="1:27" x14ac:dyDescent="0.35">
      <c r="A747" t="s">
        <v>2280</v>
      </c>
      <c r="B747" t="s">
        <v>2281</v>
      </c>
      <c r="C747" t="s">
        <v>2282</v>
      </c>
      <c r="D747" s="1">
        <v>40620</v>
      </c>
      <c r="E747" s="1">
        <v>44161</v>
      </c>
      <c r="F747" s="1">
        <v>44166</v>
      </c>
      <c r="G747">
        <v>5</v>
      </c>
      <c r="H747">
        <v>137.26</v>
      </c>
      <c r="I747">
        <v>1647.12</v>
      </c>
      <c r="J747">
        <v>8000</v>
      </c>
      <c r="K747" t="s">
        <v>27</v>
      </c>
      <c r="L747">
        <v>8000</v>
      </c>
      <c r="M747">
        <v>5</v>
      </c>
      <c r="N747" t="s">
        <v>36</v>
      </c>
      <c r="O747">
        <v>60</v>
      </c>
      <c r="P747">
        <v>48</v>
      </c>
      <c r="Q747">
        <v>1</v>
      </c>
      <c r="R747">
        <v>2</v>
      </c>
      <c r="S747" t="s">
        <v>29</v>
      </c>
      <c r="T747" t="s">
        <v>30</v>
      </c>
      <c r="U747" t="s">
        <v>66</v>
      </c>
      <c r="V747" t="s">
        <v>45</v>
      </c>
      <c r="W747">
        <v>1</v>
      </c>
      <c r="X747">
        <v>1</v>
      </c>
      <c r="Y747" s="2">
        <f>Table1[[#This Row],[premium_yearly]]*Table1[[#This Row],[tenure_years]]</f>
        <v>8235.5999999999985</v>
      </c>
      <c r="Z747" s="2">
        <f>Table1[[#This Row],[total_collected_premiums]]*(1-$AD$2)</f>
        <v>6011.9879999999985</v>
      </c>
      <c r="AA747" s="2">
        <f>Table1[[#This Row],[retained_premium]]-Table1[[#This Row],[claim_amount_paid]]</f>
        <v>-1988.0120000000015</v>
      </c>
    </row>
    <row r="748" spans="1:27" x14ac:dyDescent="0.35">
      <c r="A748" t="s">
        <v>2283</v>
      </c>
      <c r="B748" t="s">
        <v>2284</v>
      </c>
      <c r="C748" t="s">
        <v>2285</v>
      </c>
      <c r="D748" s="1">
        <v>40898</v>
      </c>
      <c r="E748" s="1">
        <v>44154</v>
      </c>
      <c r="F748" s="1">
        <v>44159</v>
      </c>
      <c r="G748">
        <v>5</v>
      </c>
      <c r="H748">
        <v>74.599999999999994</v>
      </c>
      <c r="I748">
        <v>895.2</v>
      </c>
      <c r="J748">
        <v>9000</v>
      </c>
      <c r="K748" t="s">
        <v>27</v>
      </c>
      <c r="L748">
        <v>9000</v>
      </c>
      <c r="M748">
        <v>1.67</v>
      </c>
      <c r="N748" t="s">
        <v>36</v>
      </c>
      <c r="O748">
        <v>20</v>
      </c>
      <c r="P748">
        <v>37</v>
      </c>
      <c r="Q748">
        <v>1</v>
      </c>
      <c r="R748">
        <v>4</v>
      </c>
      <c r="S748" t="s">
        <v>65</v>
      </c>
      <c r="T748" t="s">
        <v>30</v>
      </c>
      <c r="U748" t="s">
        <v>51</v>
      </c>
      <c r="V748" t="s">
        <v>45</v>
      </c>
      <c r="W748">
        <v>1</v>
      </c>
      <c r="X748">
        <v>1</v>
      </c>
      <c r="Y748" s="2">
        <f>Table1[[#This Row],[premium_yearly]]*Table1[[#This Row],[tenure_years]]</f>
        <v>1494.9839999999999</v>
      </c>
      <c r="Z748" s="2">
        <f>Table1[[#This Row],[total_collected_premiums]]*(1-$AD$2)</f>
        <v>1091.3383199999998</v>
      </c>
      <c r="AA748" s="2">
        <f>Table1[[#This Row],[retained_premium]]-Table1[[#This Row],[claim_amount_paid]]</f>
        <v>-7908.6616800000002</v>
      </c>
    </row>
    <row r="749" spans="1:27" x14ac:dyDescent="0.35">
      <c r="A749" t="s">
        <v>2286</v>
      </c>
      <c r="B749" t="s">
        <v>2287</v>
      </c>
      <c r="C749" t="s">
        <v>2288</v>
      </c>
      <c r="D749" s="1">
        <v>40910</v>
      </c>
      <c r="E749" s="1">
        <v>44165</v>
      </c>
      <c r="F749" s="1">
        <v>44168</v>
      </c>
      <c r="G749">
        <v>3</v>
      </c>
      <c r="H749">
        <v>105.39</v>
      </c>
      <c r="I749">
        <v>1264.68</v>
      </c>
      <c r="J749">
        <v>5000</v>
      </c>
      <c r="K749" t="s">
        <v>27</v>
      </c>
      <c r="L749">
        <v>5000</v>
      </c>
      <c r="M749">
        <v>8.75</v>
      </c>
      <c r="N749" t="s">
        <v>36</v>
      </c>
      <c r="O749">
        <v>105</v>
      </c>
      <c r="P749">
        <v>25</v>
      </c>
      <c r="Q749">
        <v>1</v>
      </c>
      <c r="R749">
        <v>2</v>
      </c>
      <c r="S749" t="s">
        <v>29</v>
      </c>
      <c r="T749" t="s">
        <v>50</v>
      </c>
      <c r="U749" t="s">
        <v>38</v>
      </c>
      <c r="V749" t="s">
        <v>45</v>
      </c>
      <c r="W749">
        <v>1</v>
      </c>
      <c r="X749">
        <v>1</v>
      </c>
      <c r="Y749" s="2">
        <f>Table1[[#This Row],[premium_yearly]]*Table1[[#This Row],[tenure_years]]</f>
        <v>11065.95</v>
      </c>
      <c r="Z749" s="2">
        <f>Table1[[#This Row],[total_collected_premiums]]*(1-$AD$2)</f>
        <v>8078.1435000000001</v>
      </c>
      <c r="AA749" s="2">
        <f>Table1[[#This Row],[retained_premium]]-Table1[[#This Row],[claim_amount_paid]]</f>
        <v>3078.1435000000001</v>
      </c>
    </row>
    <row r="750" spans="1:27" x14ac:dyDescent="0.35">
      <c r="A750" t="s">
        <v>2289</v>
      </c>
      <c r="B750" t="s">
        <v>2290</v>
      </c>
      <c r="C750" t="s">
        <v>2291</v>
      </c>
      <c r="D750" s="1">
        <v>40528</v>
      </c>
      <c r="E750" s="1">
        <v>44154</v>
      </c>
      <c r="F750" s="1">
        <v>44159</v>
      </c>
      <c r="G750">
        <v>5</v>
      </c>
      <c r="H750">
        <v>101.59</v>
      </c>
      <c r="I750">
        <v>1219.08</v>
      </c>
      <c r="J750">
        <v>10000</v>
      </c>
      <c r="K750" t="s">
        <v>27</v>
      </c>
      <c r="L750">
        <v>10000</v>
      </c>
      <c r="M750">
        <v>6.08</v>
      </c>
      <c r="N750" t="s">
        <v>36</v>
      </c>
      <c r="O750">
        <v>73</v>
      </c>
      <c r="P750">
        <v>36</v>
      </c>
      <c r="Q750">
        <v>0</v>
      </c>
      <c r="R750">
        <v>6</v>
      </c>
      <c r="S750" t="s">
        <v>65</v>
      </c>
      <c r="T750" t="s">
        <v>44</v>
      </c>
      <c r="U750" t="s">
        <v>51</v>
      </c>
      <c r="V750" t="s">
        <v>39</v>
      </c>
      <c r="W750">
        <v>1</v>
      </c>
      <c r="X750">
        <v>1</v>
      </c>
      <c r="Y750" s="2">
        <f>Table1[[#This Row],[premium_yearly]]*Table1[[#This Row],[tenure_years]]</f>
        <v>7412.0063999999993</v>
      </c>
      <c r="Z750" s="2">
        <f>Table1[[#This Row],[total_collected_premiums]]*(1-$AD$2)</f>
        <v>5410.7646719999993</v>
      </c>
      <c r="AA750" s="2">
        <f>Table1[[#This Row],[retained_premium]]-Table1[[#This Row],[claim_amount_paid]]</f>
        <v>-4589.2353280000007</v>
      </c>
    </row>
    <row r="751" spans="1:27" x14ac:dyDescent="0.35">
      <c r="A751" t="s">
        <v>2292</v>
      </c>
      <c r="B751" t="s">
        <v>2293</v>
      </c>
      <c r="C751" t="s">
        <v>2294</v>
      </c>
      <c r="D751" s="1">
        <v>40548</v>
      </c>
      <c r="E751" s="1">
        <v>44167</v>
      </c>
      <c r="F751" s="1">
        <v>44169</v>
      </c>
      <c r="G751">
        <v>2</v>
      </c>
      <c r="H751">
        <v>94.61</v>
      </c>
      <c r="I751">
        <v>1135.32</v>
      </c>
      <c r="J751">
        <v>7000</v>
      </c>
      <c r="K751" t="s">
        <v>27</v>
      </c>
      <c r="L751">
        <v>7000</v>
      </c>
      <c r="M751">
        <v>7.08</v>
      </c>
      <c r="N751" t="s">
        <v>28</v>
      </c>
      <c r="O751">
        <v>85</v>
      </c>
      <c r="P751">
        <v>55</v>
      </c>
      <c r="Q751">
        <v>0</v>
      </c>
      <c r="R751">
        <v>2</v>
      </c>
      <c r="S751" t="s">
        <v>29</v>
      </c>
      <c r="T751" t="s">
        <v>50</v>
      </c>
      <c r="U751" t="s">
        <v>66</v>
      </c>
      <c r="V751" t="s">
        <v>32</v>
      </c>
      <c r="W751">
        <v>0</v>
      </c>
      <c r="X751">
        <v>1</v>
      </c>
      <c r="Y751" s="2">
        <f>Table1[[#This Row],[premium_yearly]]*Table1[[#This Row],[tenure_years]]</f>
        <v>8038.0655999999999</v>
      </c>
      <c r="Z751" s="2">
        <f>Table1[[#This Row],[total_collected_premiums]]*(1-$AD$2)</f>
        <v>5867.7878879999998</v>
      </c>
      <c r="AA751" s="2">
        <f>Table1[[#This Row],[retained_premium]]-Table1[[#This Row],[claim_amount_paid]]</f>
        <v>-1132.2121120000002</v>
      </c>
    </row>
    <row r="752" spans="1:27" x14ac:dyDescent="0.35">
      <c r="A752" t="s">
        <v>2295</v>
      </c>
      <c r="B752" t="s">
        <v>2296</v>
      </c>
      <c r="C752" t="s">
        <v>2297</v>
      </c>
      <c r="D752" s="1">
        <v>41409</v>
      </c>
      <c r="E752" s="1">
        <v>44155</v>
      </c>
      <c r="F752" s="1">
        <v>44160</v>
      </c>
      <c r="G752">
        <v>5</v>
      </c>
      <c r="H752">
        <v>90.18</v>
      </c>
      <c r="I752">
        <v>1082.1600000000001</v>
      </c>
      <c r="J752">
        <v>1000</v>
      </c>
      <c r="K752" t="s">
        <v>27</v>
      </c>
      <c r="L752">
        <v>1000</v>
      </c>
      <c r="M752">
        <v>6.08</v>
      </c>
      <c r="N752" t="s">
        <v>28</v>
      </c>
      <c r="O752">
        <v>73</v>
      </c>
      <c r="P752">
        <v>59</v>
      </c>
      <c r="Q752">
        <v>0</v>
      </c>
      <c r="R752">
        <v>4</v>
      </c>
      <c r="S752" t="s">
        <v>29</v>
      </c>
      <c r="T752" t="s">
        <v>50</v>
      </c>
      <c r="U752" t="s">
        <v>31</v>
      </c>
      <c r="V752" t="s">
        <v>45</v>
      </c>
      <c r="W752">
        <v>1</v>
      </c>
      <c r="X752">
        <v>1</v>
      </c>
      <c r="Y752" s="2">
        <f>Table1[[#This Row],[premium_yearly]]*Table1[[#This Row],[tenure_years]]</f>
        <v>6579.5328000000009</v>
      </c>
      <c r="Z752" s="2">
        <f>Table1[[#This Row],[total_collected_premiums]]*(1-$AD$2)</f>
        <v>4803.0589440000003</v>
      </c>
      <c r="AA752" s="2">
        <f>Table1[[#This Row],[retained_premium]]-Table1[[#This Row],[claim_amount_paid]]</f>
        <v>3803.0589440000003</v>
      </c>
    </row>
    <row r="753" spans="1:27" x14ac:dyDescent="0.35">
      <c r="A753" t="s">
        <v>2298</v>
      </c>
      <c r="B753" t="s">
        <v>2299</v>
      </c>
      <c r="C753" t="s">
        <v>2300</v>
      </c>
      <c r="D753" s="1">
        <v>40385</v>
      </c>
      <c r="E753" s="1">
        <v>44167</v>
      </c>
      <c r="F753" s="1">
        <v>44169</v>
      </c>
      <c r="G753">
        <v>2</v>
      </c>
      <c r="H753">
        <v>126.58</v>
      </c>
      <c r="I753">
        <v>1518.96</v>
      </c>
      <c r="J753">
        <v>6000</v>
      </c>
      <c r="K753" t="s">
        <v>27</v>
      </c>
      <c r="L753">
        <v>6000</v>
      </c>
      <c r="M753">
        <v>9.5</v>
      </c>
      <c r="N753" t="s">
        <v>49</v>
      </c>
      <c r="O753">
        <v>114</v>
      </c>
      <c r="P753">
        <v>46</v>
      </c>
      <c r="Q753">
        <v>0</v>
      </c>
      <c r="R753">
        <v>2</v>
      </c>
      <c r="S753" t="s">
        <v>29</v>
      </c>
      <c r="T753" t="s">
        <v>30</v>
      </c>
      <c r="U753" t="s">
        <v>38</v>
      </c>
      <c r="V753" t="s">
        <v>32</v>
      </c>
      <c r="W753">
        <v>1</v>
      </c>
      <c r="X753">
        <v>1</v>
      </c>
      <c r="Y753" s="2">
        <f>Table1[[#This Row],[premium_yearly]]*Table1[[#This Row],[tenure_years]]</f>
        <v>14430.12</v>
      </c>
      <c r="Z753" s="2">
        <f>Table1[[#This Row],[total_collected_premiums]]*(1-$AD$2)</f>
        <v>10533.9876</v>
      </c>
      <c r="AA753" s="2">
        <f>Table1[[#This Row],[retained_premium]]-Table1[[#This Row],[claim_amount_paid]]</f>
        <v>4533.9876000000004</v>
      </c>
    </row>
    <row r="754" spans="1:27" x14ac:dyDescent="0.35">
      <c r="A754" t="s">
        <v>2301</v>
      </c>
      <c r="B754" t="s">
        <v>2302</v>
      </c>
      <c r="C754" t="s">
        <v>2303</v>
      </c>
      <c r="D754" s="1">
        <v>41687</v>
      </c>
      <c r="E754" s="1">
        <v>44165</v>
      </c>
      <c r="F754" s="1">
        <v>44168</v>
      </c>
      <c r="G754">
        <v>3</v>
      </c>
      <c r="H754">
        <v>72.73</v>
      </c>
      <c r="I754">
        <v>872.76</v>
      </c>
      <c r="J754">
        <v>2000</v>
      </c>
      <c r="K754" t="s">
        <v>27</v>
      </c>
      <c r="L754">
        <v>2000</v>
      </c>
      <c r="M754">
        <v>3.5</v>
      </c>
      <c r="N754" t="s">
        <v>49</v>
      </c>
      <c r="O754">
        <v>42</v>
      </c>
      <c r="P754">
        <v>40</v>
      </c>
      <c r="Q754">
        <v>1</v>
      </c>
      <c r="R754">
        <v>5</v>
      </c>
      <c r="S754" t="s">
        <v>65</v>
      </c>
      <c r="T754" t="s">
        <v>44</v>
      </c>
      <c r="U754" t="s">
        <v>31</v>
      </c>
      <c r="V754" t="s">
        <v>45</v>
      </c>
      <c r="W754">
        <v>1</v>
      </c>
      <c r="X754">
        <v>1</v>
      </c>
      <c r="Y754" s="2">
        <f>Table1[[#This Row],[premium_yearly]]*Table1[[#This Row],[tenure_years]]</f>
        <v>3054.66</v>
      </c>
      <c r="Z754" s="2">
        <f>Table1[[#This Row],[total_collected_premiums]]*(1-$AD$2)</f>
        <v>2229.9017999999996</v>
      </c>
      <c r="AA754" s="2">
        <f>Table1[[#This Row],[retained_premium]]-Table1[[#This Row],[claim_amount_paid]]</f>
        <v>229.90179999999964</v>
      </c>
    </row>
    <row r="755" spans="1:27" x14ac:dyDescent="0.35">
      <c r="A755" t="s">
        <v>2304</v>
      </c>
      <c r="B755" t="s">
        <v>2305</v>
      </c>
      <c r="C755" t="s">
        <v>2306</v>
      </c>
      <c r="D755" s="1">
        <v>41348</v>
      </c>
      <c r="E755" s="1">
        <v>44154</v>
      </c>
      <c r="F755" s="1">
        <v>44159</v>
      </c>
      <c r="G755">
        <v>5</v>
      </c>
      <c r="H755">
        <v>131.38</v>
      </c>
      <c r="I755">
        <v>1576.56</v>
      </c>
      <c r="J755">
        <v>6000</v>
      </c>
      <c r="K755" t="s">
        <v>27</v>
      </c>
      <c r="L755">
        <v>6000</v>
      </c>
      <c r="M755">
        <v>0.67</v>
      </c>
      <c r="N755" t="s">
        <v>28</v>
      </c>
      <c r="O755">
        <v>8</v>
      </c>
      <c r="P755">
        <v>52</v>
      </c>
      <c r="Q755">
        <v>1</v>
      </c>
      <c r="R755">
        <v>4</v>
      </c>
      <c r="S755" t="s">
        <v>29</v>
      </c>
      <c r="T755" t="s">
        <v>44</v>
      </c>
      <c r="U755" t="s">
        <v>66</v>
      </c>
      <c r="V755" t="s">
        <v>39</v>
      </c>
      <c r="W755">
        <v>1</v>
      </c>
      <c r="X755">
        <v>1</v>
      </c>
      <c r="Y755" s="2">
        <f>Table1[[#This Row],[premium_yearly]]*Table1[[#This Row],[tenure_years]]</f>
        <v>1056.2952</v>
      </c>
      <c r="Z755" s="2">
        <f>Table1[[#This Row],[total_collected_premiums]]*(1-$AD$2)</f>
        <v>771.09549600000003</v>
      </c>
      <c r="AA755" s="2">
        <f>Table1[[#This Row],[retained_premium]]-Table1[[#This Row],[claim_amount_paid]]</f>
        <v>-5228.9045040000001</v>
      </c>
    </row>
    <row r="756" spans="1:27" x14ac:dyDescent="0.35">
      <c r="A756" t="s">
        <v>2307</v>
      </c>
      <c r="B756" t="s">
        <v>2308</v>
      </c>
      <c r="C756" t="s">
        <v>2309</v>
      </c>
      <c r="D756" s="1">
        <v>43025</v>
      </c>
      <c r="E756" s="1">
        <v>44165</v>
      </c>
      <c r="F756" s="1">
        <v>44168</v>
      </c>
      <c r="G756">
        <v>3</v>
      </c>
      <c r="H756">
        <v>139.24</v>
      </c>
      <c r="I756">
        <v>1670.88</v>
      </c>
      <c r="J756">
        <v>6000</v>
      </c>
      <c r="K756" t="s">
        <v>27</v>
      </c>
      <c r="L756">
        <v>6000</v>
      </c>
      <c r="M756">
        <v>5.17</v>
      </c>
      <c r="N756" t="s">
        <v>28</v>
      </c>
      <c r="O756">
        <v>62</v>
      </c>
      <c r="P756">
        <v>32</v>
      </c>
      <c r="Q756">
        <v>1</v>
      </c>
      <c r="R756">
        <v>5</v>
      </c>
      <c r="S756" t="s">
        <v>37</v>
      </c>
      <c r="T756" t="s">
        <v>44</v>
      </c>
      <c r="U756" t="s">
        <v>38</v>
      </c>
      <c r="V756" t="s">
        <v>45</v>
      </c>
      <c r="W756">
        <v>1</v>
      </c>
      <c r="X756">
        <v>0</v>
      </c>
      <c r="Y756" s="2">
        <f>Table1[[#This Row],[premium_yearly]]*Table1[[#This Row],[tenure_years]]</f>
        <v>8638.4495999999999</v>
      </c>
      <c r="Z756" s="2">
        <f>Table1[[#This Row],[total_collected_premiums]]*(1-$AD$2)</f>
        <v>6306.0682079999997</v>
      </c>
      <c r="AA756" s="2">
        <f>Table1[[#This Row],[retained_premium]]-Table1[[#This Row],[claim_amount_paid]]</f>
        <v>306.06820799999969</v>
      </c>
    </row>
    <row r="757" spans="1:27" x14ac:dyDescent="0.35">
      <c r="A757" t="s">
        <v>2310</v>
      </c>
      <c r="B757" t="s">
        <v>2311</v>
      </c>
      <c r="C757" t="s">
        <v>2312</v>
      </c>
      <c r="D757" s="1">
        <v>43515</v>
      </c>
      <c r="E757" s="1">
        <v>44164</v>
      </c>
      <c r="F757" s="1">
        <v>44169</v>
      </c>
      <c r="G757">
        <v>5</v>
      </c>
      <c r="H757">
        <v>138.88</v>
      </c>
      <c r="I757">
        <v>1666.56</v>
      </c>
      <c r="J757">
        <v>6000</v>
      </c>
      <c r="K757" t="s">
        <v>27</v>
      </c>
      <c r="L757">
        <v>6000</v>
      </c>
      <c r="M757">
        <v>5.92</v>
      </c>
      <c r="N757" t="s">
        <v>49</v>
      </c>
      <c r="O757">
        <v>71</v>
      </c>
      <c r="P757">
        <v>57</v>
      </c>
      <c r="Q757">
        <v>1</v>
      </c>
      <c r="R757">
        <v>4</v>
      </c>
      <c r="S757" t="s">
        <v>29</v>
      </c>
      <c r="T757" t="s">
        <v>44</v>
      </c>
      <c r="U757" t="s">
        <v>38</v>
      </c>
      <c r="V757" t="s">
        <v>32</v>
      </c>
      <c r="W757">
        <v>1</v>
      </c>
      <c r="X757">
        <v>1</v>
      </c>
      <c r="Y757" s="2">
        <f>Table1[[#This Row],[premium_yearly]]*Table1[[#This Row],[tenure_years]]</f>
        <v>9866.0352000000003</v>
      </c>
      <c r="Z757" s="2">
        <f>Table1[[#This Row],[total_collected_premiums]]*(1-$AD$2)</f>
        <v>7202.205696</v>
      </c>
      <c r="AA757" s="2">
        <f>Table1[[#This Row],[retained_premium]]-Table1[[#This Row],[claim_amount_paid]]</f>
        <v>1202.205696</v>
      </c>
    </row>
    <row r="758" spans="1:27" x14ac:dyDescent="0.35">
      <c r="A758" t="s">
        <v>2313</v>
      </c>
      <c r="B758" t="s">
        <v>2314</v>
      </c>
      <c r="C758" t="s">
        <v>2315</v>
      </c>
      <c r="D758" s="1">
        <v>41500</v>
      </c>
      <c r="E758" s="1">
        <v>44171</v>
      </c>
      <c r="F758" s="1">
        <v>44172</v>
      </c>
      <c r="G758">
        <v>1</v>
      </c>
      <c r="H758">
        <v>79.05</v>
      </c>
      <c r="I758">
        <v>948.6</v>
      </c>
      <c r="J758">
        <v>10000</v>
      </c>
      <c r="K758" t="s">
        <v>27</v>
      </c>
      <c r="L758">
        <v>10000</v>
      </c>
      <c r="M758">
        <v>6.33</v>
      </c>
      <c r="N758" t="s">
        <v>49</v>
      </c>
      <c r="O758">
        <v>76</v>
      </c>
      <c r="P758">
        <v>31</v>
      </c>
      <c r="Q758">
        <v>1</v>
      </c>
      <c r="R758">
        <v>4</v>
      </c>
      <c r="S758" t="s">
        <v>29</v>
      </c>
      <c r="T758" t="s">
        <v>30</v>
      </c>
      <c r="U758" t="s">
        <v>58</v>
      </c>
      <c r="V758" t="s">
        <v>32</v>
      </c>
      <c r="W758">
        <v>1</v>
      </c>
      <c r="X758">
        <v>0</v>
      </c>
      <c r="Y758" s="2">
        <f>Table1[[#This Row],[premium_yearly]]*Table1[[#This Row],[tenure_years]]</f>
        <v>6004.6379999999999</v>
      </c>
      <c r="Z758" s="2">
        <f>Table1[[#This Row],[total_collected_premiums]]*(1-$AD$2)</f>
        <v>4383.3857399999997</v>
      </c>
      <c r="AA758" s="2">
        <f>Table1[[#This Row],[retained_premium]]-Table1[[#This Row],[claim_amount_paid]]</f>
        <v>-5616.6142600000003</v>
      </c>
    </row>
    <row r="759" spans="1:27" x14ac:dyDescent="0.35">
      <c r="A759" t="s">
        <v>2316</v>
      </c>
      <c r="B759" t="s">
        <v>2317</v>
      </c>
      <c r="C759" t="s">
        <v>2318</v>
      </c>
      <c r="D759" s="1">
        <v>40584</v>
      </c>
      <c r="E759" s="1">
        <v>44157</v>
      </c>
      <c r="F759" s="1">
        <v>44162</v>
      </c>
      <c r="G759">
        <v>5</v>
      </c>
      <c r="H759">
        <v>86.96</v>
      </c>
      <c r="I759">
        <v>1043.52</v>
      </c>
      <c r="J759">
        <v>4000</v>
      </c>
      <c r="K759" t="s">
        <v>27</v>
      </c>
      <c r="L759">
        <v>4000</v>
      </c>
      <c r="M759">
        <v>5.25</v>
      </c>
      <c r="N759" t="s">
        <v>36</v>
      </c>
      <c r="O759">
        <v>63</v>
      </c>
      <c r="P759">
        <v>57</v>
      </c>
      <c r="Q759">
        <v>1</v>
      </c>
      <c r="R759">
        <v>3</v>
      </c>
      <c r="S759" t="s">
        <v>29</v>
      </c>
      <c r="T759" t="s">
        <v>44</v>
      </c>
      <c r="U759" t="s">
        <v>31</v>
      </c>
      <c r="V759" t="s">
        <v>45</v>
      </c>
      <c r="W759">
        <v>1</v>
      </c>
      <c r="X759">
        <v>0</v>
      </c>
      <c r="Y759" s="2">
        <f>Table1[[#This Row],[premium_yearly]]*Table1[[#This Row],[tenure_years]]</f>
        <v>5478.48</v>
      </c>
      <c r="Z759" s="2">
        <f>Table1[[#This Row],[total_collected_premiums]]*(1-$AD$2)</f>
        <v>3999.2903999999994</v>
      </c>
      <c r="AA759" s="2">
        <f>Table1[[#This Row],[retained_premium]]-Table1[[#This Row],[claim_amount_paid]]</f>
        <v>-0.70960000000059154</v>
      </c>
    </row>
    <row r="760" spans="1:27" x14ac:dyDescent="0.35">
      <c r="A760" t="s">
        <v>2319</v>
      </c>
      <c r="B760" t="s">
        <v>2320</v>
      </c>
      <c r="C760" t="s">
        <v>2321</v>
      </c>
      <c r="D760" s="1">
        <v>41592</v>
      </c>
      <c r="E760" s="1">
        <v>44160</v>
      </c>
      <c r="F760" s="1">
        <v>44165</v>
      </c>
      <c r="G760">
        <v>5</v>
      </c>
      <c r="H760">
        <v>123.49</v>
      </c>
      <c r="I760">
        <v>1481.88</v>
      </c>
      <c r="J760">
        <v>8000</v>
      </c>
      <c r="K760" t="s">
        <v>27</v>
      </c>
      <c r="L760">
        <v>8000</v>
      </c>
      <c r="M760">
        <v>8.17</v>
      </c>
      <c r="N760" t="s">
        <v>36</v>
      </c>
      <c r="O760">
        <v>98</v>
      </c>
      <c r="P760">
        <v>40</v>
      </c>
      <c r="Q760">
        <v>0</v>
      </c>
      <c r="R760">
        <v>2</v>
      </c>
      <c r="S760" t="s">
        <v>65</v>
      </c>
      <c r="T760" t="s">
        <v>30</v>
      </c>
      <c r="U760" t="s">
        <v>58</v>
      </c>
      <c r="V760" t="s">
        <v>39</v>
      </c>
      <c r="W760">
        <v>1</v>
      </c>
      <c r="X760">
        <v>0</v>
      </c>
      <c r="Y760" s="2">
        <f>Table1[[#This Row],[premium_yearly]]*Table1[[#This Row],[tenure_years]]</f>
        <v>12106.9596</v>
      </c>
      <c r="Z760" s="2">
        <f>Table1[[#This Row],[total_collected_premiums]]*(1-$AD$2)</f>
        <v>8838.0805079999991</v>
      </c>
      <c r="AA760" s="2">
        <f>Table1[[#This Row],[retained_premium]]-Table1[[#This Row],[claim_amount_paid]]</f>
        <v>838.0805079999991</v>
      </c>
    </row>
    <row r="761" spans="1:27" x14ac:dyDescent="0.35">
      <c r="A761" t="s">
        <v>2322</v>
      </c>
      <c r="B761" t="s">
        <v>2323</v>
      </c>
      <c r="C761" t="s">
        <v>2324</v>
      </c>
      <c r="D761" s="1">
        <v>40397</v>
      </c>
      <c r="E761" s="1">
        <v>44174</v>
      </c>
      <c r="F761" s="1">
        <v>44174</v>
      </c>
      <c r="G761">
        <v>0</v>
      </c>
      <c r="H761">
        <v>108.22</v>
      </c>
      <c r="I761">
        <v>1298.6400000000001</v>
      </c>
      <c r="J761">
        <v>7000</v>
      </c>
      <c r="K761" t="s">
        <v>27</v>
      </c>
      <c r="L761">
        <v>7000</v>
      </c>
      <c r="M761">
        <v>8.42</v>
      </c>
      <c r="N761" t="s">
        <v>49</v>
      </c>
      <c r="O761">
        <v>101</v>
      </c>
      <c r="P761">
        <v>43</v>
      </c>
      <c r="Q761">
        <v>1</v>
      </c>
      <c r="R761">
        <v>3</v>
      </c>
      <c r="S761" t="s">
        <v>29</v>
      </c>
      <c r="T761" t="s">
        <v>44</v>
      </c>
      <c r="U761" t="s">
        <v>88</v>
      </c>
      <c r="V761" t="s">
        <v>32</v>
      </c>
      <c r="W761">
        <v>1</v>
      </c>
      <c r="X761">
        <v>0</v>
      </c>
      <c r="Y761" s="2">
        <f>Table1[[#This Row],[premium_yearly]]*Table1[[#This Row],[tenure_years]]</f>
        <v>10934.5488</v>
      </c>
      <c r="Z761" s="2">
        <f>Table1[[#This Row],[total_collected_premiums]]*(1-$AD$2)</f>
        <v>7982.2206240000005</v>
      </c>
      <c r="AA761" s="2">
        <f>Table1[[#This Row],[retained_premium]]-Table1[[#This Row],[claim_amount_paid]]</f>
        <v>982.2206240000005</v>
      </c>
    </row>
    <row r="762" spans="1:27" x14ac:dyDescent="0.35">
      <c r="A762" t="s">
        <v>2325</v>
      </c>
      <c r="B762" t="s">
        <v>2326</v>
      </c>
      <c r="C762" t="s">
        <v>2327</v>
      </c>
      <c r="D762" s="1">
        <v>41613</v>
      </c>
      <c r="E762" s="1">
        <v>44173</v>
      </c>
      <c r="F762" s="1">
        <v>44173</v>
      </c>
      <c r="G762">
        <v>0</v>
      </c>
      <c r="H762">
        <v>124.09</v>
      </c>
      <c r="I762">
        <v>1489.08</v>
      </c>
      <c r="J762">
        <v>1000</v>
      </c>
      <c r="K762" t="s">
        <v>27</v>
      </c>
      <c r="L762">
        <v>1000</v>
      </c>
      <c r="M762">
        <v>4.83</v>
      </c>
      <c r="N762" t="s">
        <v>49</v>
      </c>
      <c r="O762">
        <v>58</v>
      </c>
      <c r="P762">
        <v>39</v>
      </c>
      <c r="Q762">
        <v>0</v>
      </c>
      <c r="R762">
        <v>4</v>
      </c>
      <c r="S762" t="s">
        <v>29</v>
      </c>
      <c r="T762" t="s">
        <v>30</v>
      </c>
      <c r="U762" t="s">
        <v>88</v>
      </c>
      <c r="V762" t="s">
        <v>45</v>
      </c>
      <c r="W762">
        <v>1</v>
      </c>
      <c r="X762">
        <v>0</v>
      </c>
      <c r="Y762" s="2">
        <f>Table1[[#This Row],[premium_yearly]]*Table1[[#This Row],[tenure_years]]</f>
        <v>7192.2563999999993</v>
      </c>
      <c r="Z762" s="2">
        <f>Table1[[#This Row],[total_collected_premiums]]*(1-$AD$2)</f>
        <v>5250.3471719999998</v>
      </c>
      <c r="AA762" s="2">
        <f>Table1[[#This Row],[retained_premium]]-Table1[[#This Row],[claim_amount_paid]]</f>
        <v>4250.3471719999998</v>
      </c>
    </row>
    <row r="763" spans="1:27" x14ac:dyDescent="0.35">
      <c r="A763" t="s">
        <v>2328</v>
      </c>
      <c r="B763" t="s">
        <v>2329</v>
      </c>
      <c r="C763" t="s">
        <v>2330</v>
      </c>
      <c r="D763" s="1">
        <v>43622</v>
      </c>
      <c r="E763" s="1">
        <v>44157</v>
      </c>
      <c r="F763" s="1">
        <v>44162</v>
      </c>
      <c r="G763">
        <v>5</v>
      </c>
      <c r="H763">
        <v>133.34</v>
      </c>
      <c r="I763">
        <v>1600.08</v>
      </c>
      <c r="J763">
        <v>4000</v>
      </c>
      <c r="K763" t="s">
        <v>27</v>
      </c>
      <c r="L763">
        <v>4000</v>
      </c>
      <c r="M763">
        <v>0.67</v>
      </c>
      <c r="N763" t="s">
        <v>36</v>
      </c>
      <c r="O763">
        <v>8</v>
      </c>
      <c r="P763">
        <v>36</v>
      </c>
      <c r="Q763">
        <v>0</v>
      </c>
      <c r="R763">
        <v>4</v>
      </c>
      <c r="S763" t="s">
        <v>29</v>
      </c>
      <c r="T763" t="s">
        <v>44</v>
      </c>
      <c r="U763" t="s">
        <v>66</v>
      </c>
      <c r="V763" t="s">
        <v>45</v>
      </c>
      <c r="W763">
        <v>0</v>
      </c>
      <c r="X763">
        <v>1</v>
      </c>
      <c r="Y763" s="2">
        <f>Table1[[#This Row],[premium_yearly]]*Table1[[#This Row],[tenure_years]]</f>
        <v>1072.0536</v>
      </c>
      <c r="Z763" s="2">
        <f>Table1[[#This Row],[total_collected_premiums]]*(1-$AD$2)</f>
        <v>782.59912799999995</v>
      </c>
      <c r="AA763" s="2">
        <f>Table1[[#This Row],[retained_premium]]-Table1[[#This Row],[claim_amount_paid]]</f>
        <v>-3217.4008720000002</v>
      </c>
    </row>
    <row r="764" spans="1:27" x14ac:dyDescent="0.35">
      <c r="A764" t="s">
        <v>2331</v>
      </c>
      <c r="B764" t="s">
        <v>2332</v>
      </c>
      <c r="C764" t="s">
        <v>2333</v>
      </c>
      <c r="D764" s="1">
        <v>40519</v>
      </c>
      <c r="E764" s="1">
        <v>44173</v>
      </c>
      <c r="F764" s="1">
        <v>44174</v>
      </c>
      <c r="G764">
        <v>1</v>
      </c>
      <c r="H764">
        <v>88.62</v>
      </c>
      <c r="I764">
        <v>1063.44</v>
      </c>
      <c r="J764">
        <v>8000</v>
      </c>
      <c r="K764" t="s">
        <v>27</v>
      </c>
      <c r="L764">
        <v>8000</v>
      </c>
      <c r="M764">
        <v>8.08</v>
      </c>
      <c r="N764" t="s">
        <v>49</v>
      </c>
      <c r="O764">
        <v>97</v>
      </c>
      <c r="P764">
        <v>54</v>
      </c>
      <c r="Q764">
        <v>1</v>
      </c>
      <c r="R764">
        <v>5</v>
      </c>
      <c r="S764" t="s">
        <v>37</v>
      </c>
      <c r="T764" t="s">
        <v>30</v>
      </c>
      <c r="U764" t="s">
        <v>38</v>
      </c>
      <c r="V764" t="s">
        <v>45</v>
      </c>
      <c r="W764">
        <v>0</v>
      </c>
      <c r="X764">
        <v>1</v>
      </c>
      <c r="Y764" s="2">
        <f>Table1[[#This Row],[premium_yearly]]*Table1[[#This Row],[tenure_years]]</f>
        <v>8592.5951999999997</v>
      </c>
      <c r="Z764" s="2">
        <f>Table1[[#This Row],[total_collected_premiums]]*(1-$AD$2)</f>
        <v>6272.5944959999997</v>
      </c>
      <c r="AA764" s="2">
        <f>Table1[[#This Row],[retained_premium]]-Table1[[#This Row],[claim_amount_paid]]</f>
        <v>-1727.4055040000003</v>
      </c>
    </row>
    <row r="765" spans="1:27" x14ac:dyDescent="0.35">
      <c r="A765" t="s">
        <v>2334</v>
      </c>
      <c r="B765" t="s">
        <v>2335</v>
      </c>
      <c r="C765" t="s">
        <v>2336</v>
      </c>
      <c r="D765" s="1">
        <v>41683</v>
      </c>
      <c r="E765" s="1">
        <v>44173</v>
      </c>
      <c r="F765" s="1">
        <v>44174</v>
      </c>
      <c r="G765">
        <v>1</v>
      </c>
      <c r="H765">
        <v>119.21</v>
      </c>
      <c r="I765">
        <v>1430.52</v>
      </c>
      <c r="J765">
        <v>1000</v>
      </c>
      <c r="K765" t="s">
        <v>27</v>
      </c>
      <c r="L765">
        <v>1000</v>
      </c>
      <c r="M765">
        <v>5.33</v>
      </c>
      <c r="N765" t="s">
        <v>36</v>
      </c>
      <c r="O765">
        <v>64</v>
      </c>
      <c r="P765">
        <v>62</v>
      </c>
      <c r="Q765">
        <v>0</v>
      </c>
      <c r="R765">
        <v>3</v>
      </c>
      <c r="S765" t="s">
        <v>29</v>
      </c>
      <c r="T765" t="s">
        <v>44</v>
      </c>
      <c r="U765" t="s">
        <v>38</v>
      </c>
      <c r="V765" t="s">
        <v>32</v>
      </c>
      <c r="W765">
        <v>0</v>
      </c>
      <c r="X765">
        <v>0</v>
      </c>
      <c r="Y765" s="2">
        <f>Table1[[#This Row],[premium_yearly]]*Table1[[#This Row],[tenure_years]]</f>
        <v>7624.6715999999997</v>
      </c>
      <c r="Z765" s="2">
        <f>Table1[[#This Row],[total_collected_premiums]]*(1-$AD$2)</f>
        <v>5566.010268</v>
      </c>
      <c r="AA765" s="2">
        <f>Table1[[#This Row],[retained_premium]]-Table1[[#This Row],[claim_amount_paid]]</f>
        <v>4566.010268</v>
      </c>
    </row>
    <row r="766" spans="1:27" x14ac:dyDescent="0.35">
      <c r="A766" t="s">
        <v>2337</v>
      </c>
      <c r="B766" t="s">
        <v>2338</v>
      </c>
      <c r="C766" t="s">
        <v>2339</v>
      </c>
      <c r="D766" s="1">
        <v>41453</v>
      </c>
      <c r="E766" s="1">
        <v>44166</v>
      </c>
      <c r="F766" s="1">
        <v>44171</v>
      </c>
      <c r="G766">
        <v>5</v>
      </c>
      <c r="H766">
        <v>139.49</v>
      </c>
      <c r="I766">
        <v>1673.88</v>
      </c>
      <c r="J766">
        <v>9000</v>
      </c>
      <c r="K766" t="s">
        <v>27</v>
      </c>
      <c r="L766">
        <v>9000</v>
      </c>
      <c r="M766">
        <v>7.83</v>
      </c>
      <c r="N766" t="s">
        <v>49</v>
      </c>
      <c r="O766">
        <v>94</v>
      </c>
      <c r="P766">
        <v>63</v>
      </c>
      <c r="Q766">
        <v>1</v>
      </c>
      <c r="R766">
        <v>2</v>
      </c>
      <c r="S766" t="s">
        <v>29</v>
      </c>
      <c r="T766" t="s">
        <v>30</v>
      </c>
      <c r="U766" t="s">
        <v>38</v>
      </c>
      <c r="V766" t="s">
        <v>32</v>
      </c>
      <c r="W766">
        <v>1</v>
      </c>
      <c r="X766">
        <v>1</v>
      </c>
      <c r="Y766" s="2">
        <f>Table1[[#This Row],[premium_yearly]]*Table1[[#This Row],[tenure_years]]</f>
        <v>13106.4804</v>
      </c>
      <c r="Z766" s="2">
        <f>Table1[[#This Row],[total_collected_premiums]]*(1-$AD$2)</f>
        <v>9567.7306919999992</v>
      </c>
      <c r="AA766" s="2">
        <f>Table1[[#This Row],[retained_premium]]-Table1[[#This Row],[claim_amount_paid]]</f>
        <v>567.73069199999918</v>
      </c>
    </row>
    <row r="767" spans="1:27" x14ac:dyDescent="0.35">
      <c r="A767" t="s">
        <v>2340</v>
      </c>
      <c r="B767" t="s">
        <v>2341</v>
      </c>
      <c r="C767" t="s">
        <v>2342</v>
      </c>
      <c r="D767" s="1">
        <v>42603</v>
      </c>
      <c r="E767" s="1">
        <v>44159</v>
      </c>
      <c r="F767" s="1">
        <v>44164</v>
      </c>
      <c r="G767">
        <v>5</v>
      </c>
      <c r="H767">
        <v>77.22</v>
      </c>
      <c r="I767">
        <v>926.64</v>
      </c>
      <c r="J767">
        <v>10000</v>
      </c>
      <c r="K767" t="s">
        <v>27</v>
      </c>
      <c r="L767">
        <v>10000</v>
      </c>
      <c r="M767">
        <v>4.17</v>
      </c>
      <c r="N767" t="s">
        <v>28</v>
      </c>
      <c r="O767">
        <v>50</v>
      </c>
      <c r="P767">
        <v>43</v>
      </c>
      <c r="Q767">
        <v>1</v>
      </c>
      <c r="R767">
        <v>4</v>
      </c>
      <c r="S767" t="s">
        <v>65</v>
      </c>
      <c r="T767" t="s">
        <v>30</v>
      </c>
      <c r="U767" t="s">
        <v>38</v>
      </c>
      <c r="V767" t="s">
        <v>32</v>
      </c>
      <c r="W767">
        <v>1</v>
      </c>
      <c r="X767">
        <v>1</v>
      </c>
      <c r="Y767" s="2">
        <f>Table1[[#This Row],[premium_yearly]]*Table1[[#This Row],[tenure_years]]</f>
        <v>3864.0888</v>
      </c>
      <c r="Z767" s="2">
        <f>Table1[[#This Row],[total_collected_premiums]]*(1-$AD$2)</f>
        <v>2820.7848239999998</v>
      </c>
      <c r="AA767" s="2">
        <f>Table1[[#This Row],[retained_premium]]-Table1[[#This Row],[claim_amount_paid]]</f>
        <v>-7179.2151759999997</v>
      </c>
    </row>
    <row r="768" spans="1:27" x14ac:dyDescent="0.35">
      <c r="A768" t="s">
        <v>2343</v>
      </c>
      <c r="B768" t="s">
        <v>2344</v>
      </c>
      <c r="C768" t="s">
        <v>2345</v>
      </c>
      <c r="D768" s="1">
        <v>40614</v>
      </c>
      <c r="E768" s="1">
        <v>44171</v>
      </c>
      <c r="F768" s="1">
        <v>44173</v>
      </c>
      <c r="G768">
        <v>2</v>
      </c>
      <c r="H768">
        <v>102.47</v>
      </c>
      <c r="I768">
        <v>1229.6400000000001</v>
      </c>
      <c r="J768">
        <v>2000</v>
      </c>
      <c r="K768" t="s">
        <v>27</v>
      </c>
      <c r="L768">
        <v>2000</v>
      </c>
      <c r="M768">
        <v>1.67</v>
      </c>
      <c r="N768" t="s">
        <v>28</v>
      </c>
      <c r="O768">
        <v>20</v>
      </c>
      <c r="P768">
        <v>43</v>
      </c>
      <c r="Q768">
        <v>0</v>
      </c>
      <c r="R768">
        <v>4</v>
      </c>
      <c r="S768" t="s">
        <v>65</v>
      </c>
      <c r="T768" t="s">
        <v>30</v>
      </c>
      <c r="U768" t="s">
        <v>38</v>
      </c>
      <c r="V768" t="s">
        <v>32</v>
      </c>
      <c r="W768">
        <v>1</v>
      </c>
      <c r="X768">
        <v>1</v>
      </c>
      <c r="Y768" s="2">
        <f>Table1[[#This Row],[premium_yearly]]*Table1[[#This Row],[tenure_years]]</f>
        <v>2053.4988000000003</v>
      </c>
      <c r="Z768" s="2">
        <f>Table1[[#This Row],[total_collected_premiums]]*(1-$AD$2)</f>
        <v>1499.0541240000002</v>
      </c>
      <c r="AA768" s="2">
        <f>Table1[[#This Row],[retained_premium]]-Table1[[#This Row],[claim_amount_paid]]</f>
        <v>-500.94587599999977</v>
      </c>
    </row>
    <row r="769" spans="1:27" x14ac:dyDescent="0.35">
      <c r="A769" t="s">
        <v>2346</v>
      </c>
      <c r="B769" t="s">
        <v>2347</v>
      </c>
      <c r="C769" t="s">
        <v>2348</v>
      </c>
      <c r="D769" s="1">
        <v>40717</v>
      </c>
      <c r="E769" s="1">
        <v>44172</v>
      </c>
      <c r="F769" s="1">
        <v>44173</v>
      </c>
      <c r="G769">
        <v>1</v>
      </c>
      <c r="H769">
        <v>85.24</v>
      </c>
      <c r="I769">
        <v>1022.88</v>
      </c>
      <c r="J769">
        <v>2000</v>
      </c>
      <c r="K769" t="s">
        <v>27</v>
      </c>
      <c r="L769">
        <v>2000</v>
      </c>
      <c r="M769">
        <v>3.83</v>
      </c>
      <c r="N769" t="s">
        <v>28</v>
      </c>
      <c r="O769">
        <v>46</v>
      </c>
      <c r="P769">
        <v>44</v>
      </c>
      <c r="Q769">
        <v>1</v>
      </c>
      <c r="R769">
        <v>3</v>
      </c>
      <c r="S769" t="s">
        <v>29</v>
      </c>
      <c r="T769" t="s">
        <v>30</v>
      </c>
      <c r="U769" t="s">
        <v>38</v>
      </c>
      <c r="V769" t="s">
        <v>32</v>
      </c>
      <c r="W769">
        <v>1</v>
      </c>
      <c r="X769">
        <v>1</v>
      </c>
      <c r="Y769" s="2">
        <f>Table1[[#This Row],[premium_yearly]]*Table1[[#This Row],[tenure_years]]</f>
        <v>3917.6304</v>
      </c>
      <c r="Z769" s="2">
        <f>Table1[[#This Row],[total_collected_premiums]]*(1-$AD$2)</f>
        <v>2859.8701919999999</v>
      </c>
      <c r="AA769" s="2">
        <f>Table1[[#This Row],[retained_premium]]-Table1[[#This Row],[claim_amount_paid]]</f>
        <v>859.87019199999986</v>
      </c>
    </row>
    <row r="770" spans="1:27" x14ac:dyDescent="0.35">
      <c r="A770" t="s">
        <v>2349</v>
      </c>
      <c r="B770" t="s">
        <v>2350</v>
      </c>
      <c r="C770" t="s">
        <v>2351</v>
      </c>
      <c r="D770" s="1">
        <v>43196</v>
      </c>
      <c r="E770" s="1">
        <v>44166</v>
      </c>
      <c r="F770" s="1">
        <v>44171</v>
      </c>
      <c r="G770">
        <v>5</v>
      </c>
      <c r="H770">
        <v>131.91</v>
      </c>
      <c r="I770">
        <v>1582.92</v>
      </c>
      <c r="J770">
        <v>3000</v>
      </c>
      <c r="K770" t="s">
        <v>27</v>
      </c>
      <c r="L770">
        <v>3000</v>
      </c>
      <c r="M770">
        <v>7.92</v>
      </c>
      <c r="N770" t="s">
        <v>49</v>
      </c>
      <c r="O770">
        <v>95</v>
      </c>
      <c r="P770">
        <v>28</v>
      </c>
      <c r="Q770">
        <v>1</v>
      </c>
      <c r="R770">
        <v>5</v>
      </c>
      <c r="S770" t="s">
        <v>29</v>
      </c>
      <c r="T770" t="s">
        <v>30</v>
      </c>
      <c r="U770" t="s">
        <v>66</v>
      </c>
      <c r="V770" t="s">
        <v>32</v>
      </c>
      <c r="W770">
        <v>1</v>
      </c>
      <c r="X770">
        <v>1</v>
      </c>
      <c r="Y770" s="2">
        <f>Table1[[#This Row],[premium_yearly]]*Table1[[#This Row],[tenure_years]]</f>
        <v>12536.7264</v>
      </c>
      <c r="Z770" s="2">
        <f>Table1[[#This Row],[total_collected_premiums]]*(1-$AD$2)</f>
        <v>9151.8102719999988</v>
      </c>
      <c r="AA770" s="2">
        <f>Table1[[#This Row],[retained_premium]]-Table1[[#This Row],[claim_amount_paid]]</f>
        <v>6151.8102719999988</v>
      </c>
    </row>
    <row r="771" spans="1:27" x14ac:dyDescent="0.35">
      <c r="A771" t="s">
        <v>2352</v>
      </c>
      <c r="B771" t="s">
        <v>2353</v>
      </c>
      <c r="C771" t="s">
        <v>2354</v>
      </c>
      <c r="D771" s="1">
        <v>41350</v>
      </c>
      <c r="E771" s="1">
        <v>44161</v>
      </c>
      <c r="F771" s="1">
        <v>44166</v>
      </c>
      <c r="G771">
        <v>5</v>
      </c>
      <c r="H771">
        <v>128.69999999999999</v>
      </c>
      <c r="I771">
        <v>1544.4</v>
      </c>
      <c r="J771">
        <v>4000</v>
      </c>
      <c r="K771" t="s">
        <v>27</v>
      </c>
      <c r="L771">
        <v>4000</v>
      </c>
      <c r="M771">
        <v>8.17</v>
      </c>
      <c r="N771" t="s">
        <v>28</v>
      </c>
      <c r="O771">
        <v>98</v>
      </c>
      <c r="P771">
        <v>37</v>
      </c>
      <c r="Q771">
        <v>0</v>
      </c>
      <c r="R771">
        <v>3</v>
      </c>
      <c r="S771" t="s">
        <v>65</v>
      </c>
      <c r="T771" t="s">
        <v>44</v>
      </c>
      <c r="U771" t="s">
        <v>31</v>
      </c>
      <c r="V771" t="s">
        <v>32</v>
      </c>
      <c r="W771">
        <v>0</v>
      </c>
      <c r="X771">
        <v>0</v>
      </c>
      <c r="Y771" s="2">
        <f>Table1[[#This Row],[premium_yearly]]*Table1[[#This Row],[tenure_years]]</f>
        <v>12617.748000000001</v>
      </c>
      <c r="Z771" s="2">
        <f>Table1[[#This Row],[total_collected_premiums]]*(1-$AD$2)</f>
        <v>9210.9560400000009</v>
      </c>
      <c r="AA771" s="2">
        <f>Table1[[#This Row],[retained_premium]]-Table1[[#This Row],[claim_amount_paid]]</f>
        <v>5210.9560400000009</v>
      </c>
    </row>
    <row r="772" spans="1:27" x14ac:dyDescent="0.35">
      <c r="A772" t="s">
        <v>2355</v>
      </c>
      <c r="B772" t="s">
        <v>2356</v>
      </c>
      <c r="C772" t="s">
        <v>2357</v>
      </c>
      <c r="D772" s="1">
        <v>40497</v>
      </c>
      <c r="E772" s="1">
        <v>44167</v>
      </c>
      <c r="F772" s="1">
        <v>44172</v>
      </c>
      <c r="G772">
        <v>5</v>
      </c>
      <c r="H772">
        <v>79.47</v>
      </c>
      <c r="I772">
        <v>953.64</v>
      </c>
      <c r="J772">
        <v>7000</v>
      </c>
      <c r="K772" t="s">
        <v>27</v>
      </c>
      <c r="L772">
        <v>7000</v>
      </c>
      <c r="M772">
        <v>5.5</v>
      </c>
      <c r="N772" t="s">
        <v>28</v>
      </c>
      <c r="O772">
        <v>66</v>
      </c>
      <c r="P772">
        <v>43</v>
      </c>
      <c r="Q772">
        <v>1</v>
      </c>
      <c r="R772">
        <v>7</v>
      </c>
      <c r="S772" t="s">
        <v>29</v>
      </c>
      <c r="T772" t="s">
        <v>30</v>
      </c>
      <c r="U772" t="s">
        <v>31</v>
      </c>
      <c r="V772" t="s">
        <v>39</v>
      </c>
      <c r="W772">
        <v>0</v>
      </c>
      <c r="X772">
        <v>1</v>
      </c>
      <c r="Y772" s="2">
        <f>Table1[[#This Row],[premium_yearly]]*Table1[[#This Row],[tenure_years]]</f>
        <v>5245.0199999999995</v>
      </c>
      <c r="Z772" s="2">
        <f>Table1[[#This Row],[total_collected_premiums]]*(1-$AD$2)</f>
        <v>3828.8645999999994</v>
      </c>
      <c r="AA772" s="2">
        <f>Table1[[#This Row],[retained_premium]]-Table1[[#This Row],[claim_amount_paid]]</f>
        <v>-3171.1354000000006</v>
      </c>
    </row>
    <row r="773" spans="1:27" x14ac:dyDescent="0.35">
      <c r="A773" t="s">
        <v>2358</v>
      </c>
      <c r="B773" t="s">
        <v>2359</v>
      </c>
      <c r="C773" t="s">
        <v>2360</v>
      </c>
      <c r="D773" s="1">
        <v>41851</v>
      </c>
      <c r="E773" s="1">
        <v>44173</v>
      </c>
      <c r="F773" s="1">
        <v>44174</v>
      </c>
      <c r="G773">
        <v>1</v>
      </c>
      <c r="H773">
        <v>85.31</v>
      </c>
      <c r="I773">
        <v>1023.72</v>
      </c>
      <c r="J773">
        <v>7000</v>
      </c>
      <c r="K773" t="s">
        <v>27</v>
      </c>
      <c r="L773">
        <v>7000</v>
      </c>
      <c r="M773">
        <v>6.5</v>
      </c>
      <c r="N773" t="s">
        <v>36</v>
      </c>
      <c r="O773">
        <v>78</v>
      </c>
      <c r="P773">
        <v>25</v>
      </c>
      <c r="Q773">
        <v>1</v>
      </c>
      <c r="R773">
        <v>5</v>
      </c>
      <c r="S773" t="s">
        <v>37</v>
      </c>
      <c r="T773" t="s">
        <v>30</v>
      </c>
      <c r="U773" t="s">
        <v>38</v>
      </c>
      <c r="V773" t="s">
        <v>39</v>
      </c>
      <c r="W773">
        <v>1</v>
      </c>
      <c r="X773">
        <v>1</v>
      </c>
      <c r="Y773" s="2">
        <f>Table1[[#This Row],[premium_yearly]]*Table1[[#This Row],[tenure_years]]</f>
        <v>6654.18</v>
      </c>
      <c r="Z773" s="2">
        <f>Table1[[#This Row],[total_collected_premiums]]*(1-$AD$2)</f>
        <v>4857.5514000000003</v>
      </c>
      <c r="AA773" s="2">
        <f>Table1[[#This Row],[retained_premium]]-Table1[[#This Row],[claim_amount_paid]]</f>
        <v>-2142.4485999999997</v>
      </c>
    </row>
    <row r="774" spans="1:27" x14ac:dyDescent="0.35">
      <c r="A774" t="s">
        <v>2361</v>
      </c>
      <c r="B774" t="s">
        <v>2362</v>
      </c>
      <c r="C774" t="s">
        <v>2363</v>
      </c>
      <c r="D774" s="1">
        <v>43608</v>
      </c>
      <c r="E774" s="1">
        <v>44166</v>
      </c>
      <c r="F774" s="1">
        <v>44171</v>
      </c>
      <c r="G774">
        <v>5</v>
      </c>
      <c r="H774">
        <v>79.52</v>
      </c>
      <c r="I774">
        <v>954.24</v>
      </c>
      <c r="J774">
        <v>8000</v>
      </c>
      <c r="K774" t="s">
        <v>27</v>
      </c>
      <c r="L774">
        <v>8000</v>
      </c>
      <c r="M774">
        <v>8.5</v>
      </c>
      <c r="N774" t="s">
        <v>36</v>
      </c>
      <c r="O774">
        <v>102</v>
      </c>
      <c r="P774">
        <v>47</v>
      </c>
      <c r="Q774">
        <v>0</v>
      </c>
      <c r="R774">
        <v>2</v>
      </c>
      <c r="S774" t="s">
        <v>29</v>
      </c>
      <c r="T774" t="s">
        <v>30</v>
      </c>
      <c r="U774" t="s">
        <v>107</v>
      </c>
      <c r="V774" t="s">
        <v>39</v>
      </c>
      <c r="W774">
        <v>1</v>
      </c>
      <c r="X774">
        <v>1</v>
      </c>
      <c r="Y774" s="2">
        <f>Table1[[#This Row],[premium_yearly]]*Table1[[#This Row],[tenure_years]]</f>
        <v>8111.04</v>
      </c>
      <c r="Z774" s="2">
        <f>Table1[[#This Row],[total_collected_premiums]]*(1-$AD$2)</f>
        <v>5921.0591999999997</v>
      </c>
      <c r="AA774" s="2">
        <f>Table1[[#This Row],[retained_premium]]-Table1[[#This Row],[claim_amount_paid]]</f>
        <v>-2078.9408000000003</v>
      </c>
    </row>
    <row r="775" spans="1:27" x14ac:dyDescent="0.35">
      <c r="A775" t="s">
        <v>2364</v>
      </c>
      <c r="B775" t="s">
        <v>2365</v>
      </c>
      <c r="C775" t="s">
        <v>2366</v>
      </c>
      <c r="D775" s="1">
        <v>40977</v>
      </c>
      <c r="E775" s="1">
        <v>44163</v>
      </c>
      <c r="F775" s="1">
        <v>44168</v>
      </c>
      <c r="G775">
        <v>5</v>
      </c>
      <c r="H775">
        <v>77.739999999999995</v>
      </c>
      <c r="I775">
        <v>932.88</v>
      </c>
      <c r="J775">
        <v>10000</v>
      </c>
      <c r="K775" t="s">
        <v>27</v>
      </c>
      <c r="L775">
        <v>10000</v>
      </c>
      <c r="M775">
        <v>4.92</v>
      </c>
      <c r="N775" t="s">
        <v>28</v>
      </c>
      <c r="O775">
        <v>59</v>
      </c>
      <c r="P775">
        <v>34</v>
      </c>
      <c r="Q775">
        <v>1</v>
      </c>
      <c r="R775">
        <v>7</v>
      </c>
      <c r="S775" t="s">
        <v>37</v>
      </c>
      <c r="T775" t="s">
        <v>30</v>
      </c>
      <c r="U775" t="s">
        <v>31</v>
      </c>
      <c r="V775" t="s">
        <v>39</v>
      </c>
      <c r="W775">
        <v>1</v>
      </c>
      <c r="X775">
        <v>1</v>
      </c>
      <c r="Y775" s="2">
        <f>Table1[[#This Row],[premium_yearly]]*Table1[[#This Row],[tenure_years]]</f>
        <v>4589.7695999999996</v>
      </c>
      <c r="Z775" s="2">
        <f>Table1[[#This Row],[total_collected_premiums]]*(1-$AD$2)</f>
        <v>3350.5318079999997</v>
      </c>
      <c r="AA775" s="2">
        <f>Table1[[#This Row],[retained_premium]]-Table1[[#This Row],[claim_amount_paid]]</f>
        <v>-6649.4681920000003</v>
      </c>
    </row>
    <row r="776" spans="1:27" x14ac:dyDescent="0.35">
      <c r="A776" t="s">
        <v>2367</v>
      </c>
      <c r="B776" t="s">
        <v>2368</v>
      </c>
      <c r="C776" t="s">
        <v>2369</v>
      </c>
      <c r="D776" s="1">
        <v>43131</v>
      </c>
      <c r="E776" s="1">
        <v>44160</v>
      </c>
      <c r="F776" s="1">
        <v>44165</v>
      </c>
      <c r="G776">
        <v>5</v>
      </c>
      <c r="H776">
        <v>124.27</v>
      </c>
      <c r="I776">
        <v>1491.24</v>
      </c>
      <c r="J776">
        <v>5000</v>
      </c>
      <c r="K776" t="s">
        <v>27</v>
      </c>
      <c r="L776">
        <v>5000</v>
      </c>
      <c r="M776">
        <v>2.08</v>
      </c>
      <c r="N776" t="s">
        <v>36</v>
      </c>
      <c r="O776">
        <v>25</v>
      </c>
      <c r="P776">
        <v>40</v>
      </c>
      <c r="Q776">
        <v>1</v>
      </c>
      <c r="R776">
        <v>5</v>
      </c>
      <c r="S776" t="s">
        <v>29</v>
      </c>
      <c r="T776" t="s">
        <v>30</v>
      </c>
      <c r="U776" t="s">
        <v>31</v>
      </c>
      <c r="V776" t="s">
        <v>32</v>
      </c>
      <c r="W776">
        <v>1</v>
      </c>
      <c r="X776">
        <v>1</v>
      </c>
      <c r="Y776" s="2">
        <f>Table1[[#This Row],[premium_yearly]]*Table1[[#This Row],[tenure_years]]</f>
        <v>3101.7791999999999</v>
      </c>
      <c r="Z776" s="2">
        <f>Table1[[#This Row],[total_collected_premiums]]*(1-$AD$2)</f>
        <v>2264.298816</v>
      </c>
      <c r="AA776" s="2">
        <f>Table1[[#This Row],[retained_premium]]-Table1[[#This Row],[claim_amount_paid]]</f>
        <v>-2735.701184</v>
      </c>
    </row>
    <row r="777" spans="1:27" x14ac:dyDescent="0.35">
      <c r="A777" t="s">
        <v>2370</v>
      </c>
      <c r="B777" t="s">
        <v>2371</v>
      </c>
      <c r="C777" t="s">
        <v>2372</v>
      </c>
      <c r="D777" s="1">
        <v>43807</v>
      </c>
      <c r="E777" s="1">
        <v>44167</v>
      </c>
      <c r="F777" s="1">
        <v>44172</v>
      </c>
      <c r="G777">
        <v>5</v>
      </c>
      <c r="H777">
        <v>138.26</v>
      </c>
      <c r="I777">
        <v>1659.12</v>
      </c>
      <c r="J777">
        <v>10000</v>
      </c>
      <c r="K777" t="s">
        <v>27</v>
      </c>
      <c r="L777">
        <v>10000</v>
      </c>
      <c r="M777">
        <v>3.58</v>
      </c>
      <c r="N777" t="s">
        <v>49</v>
      </c>
      <c r="O777">
        <v>43</v>
      </c>
      <c r="P777">
        <v>48</v>
      </c>
      <c r="Q777">
        <v>1</v>
      </c>
      <c r="R777">
        <v>3</v>
      </c>
      <c r="S777" t="s">
        <v>29</v>
      </c>
      <c r="T777" t="s">
        <v>30</v>
      </c>
      <c r="U777" t="s">
        <v>31</v>
      </c>
      <c r="V777" t="s">
        <v>45</v>
      </c>
      <c r="W777">
        <v>0</v>
      </c>
      <c r="X777">
        <v>1</v>
      </c>
      <c r="Y777" s="2">
        <f>Table1[[#This Row],[premium_yearly]]*Table1[[#This Row],[tenure_years]]</f>
        <v>5939.6495999999997</v>
      </c>
      <c r="Z777" s="2">
        <f>Table1[[#This Row],[total_collected_premiums]]*(1-$AD$2)</f>
        <v>4335.9442079999999</v>
      </c>
      <c r="AA777" s="2">
        <f>Table1[[#This Row],[retained_premium]]-Table1[[#This Row],[claim_amount_paid]]</f>
        <v>-5664.0557920000001</v>
      </c>
    </row>
    <row r="778" spans="1:27" x14ac:dyDescent="0.35">
      <c r="A778" t="s">
        <v>2373</v>
      </c>
      <c r="B778" t="s">
        <v>2374</v>
      </c>
      <c r="C778" t="s">
        <v>2375</v>
      </c>
      <c r="D778" s="1">
        <v>42980</v>
      </c>
      <c r="E778" s="1">
        <v>44174</v>
      </c>
      <c r="F778" s="1">
        <v>44175</v>
      </c>
      <c r="G778">
        <v>1</v>
      </c>
      <c r="H778">
        <v>79.22</v>
      </c>
      <c r="I778">
        <v>950.64</v>
      </c>
      <c r="J778">
        <v>5000</v>
      </c>
      <c r="K778" t="s">
        <v>27</v>
      </c>
      <c r="L778">
        <v>5000</v>
      </c>
      <c r="M778">
        <v>8.83</v>
      </c>
      <c r="N778" t="s">
        <v>49</v>
      </c>
      <c r="O778">
        <v>106</v>
      </c>
      <c r="P778">
        <v>43</v>
      </c>
      <c r="Q778">
        <v>0</v>
      </c>
      <c r="R778">
        <v>6</v>
      </c>
      <c r="S778" t="s">
        <v>65</v>
      </c>
      <c r="T778" t="s">
        <v>30</v>
      </c>
      <c r="U778" t="s">
        <v>38</v>
      </c>
      <c r="V778" t="s">
        <v>45</v>
      </c>
      <c r="W778">
        <v>1</v>
      </c>
      <c r="X778">
        <v>0</v>
      </c>
      <c r="Y778" s="2">
        <f>Table1[[#This Row],[premium_yearly]]*Table1[[#This Row],[tenure_years]]</f>
        <v>8394.1512000000002</v>
      </c>
      <c r="Z778" s="2">
        <f>Table1[[#This Row],[total_collected_premiums]]*(1-$AD$2)</f>
        <v>6127.7303760000004</v>
      </c>
      <c r="AA778" s="2">
        <f>Table1[[#This Row],[retained_premium]]-Table1[[#This Row],[claim_amount_paid]]</f>
        <v>1127.7303760000004</v>
      </c>
    </row>
    <row r="779" spans="1:27" x14ac:dyDescent="0.35">
      <c r="A779" t="s">
        <v>2376</v>
      </c>
      <c r="B779" t="s">
        <v>2377</v>
      </c>
      <c r="C779" t="s">
        <v>2378</v>
      </c>
      <c r="D779" s="1">
        <v>42938</v>
      </c>
      <c r="E779" s="1">
        <v>44174</v>
      </c>
      <c r="F779" s="1">
        <v>44175</v>
      </c>
      <c r="G779">
        <v>1</v>
      </c>
      <c r="H779">
        <v>127.42</v>
      </c>
      <c r="I779">
        <v>1529.04</v>
      </c>
      <c r="J779">
        <v>3000</v>
      </c>
      <c r="K779" t="s">
        <v>27</v>
      </c>
      <c r="L779">
        <v>3000</v>
      </c>
      <c r="M779">
        <v>1.92</v>
      </c>
      <c r="N779" t="s">
        <v>49</v>
      </c>
      <c r="O779">
        <v>23</v>
      </c>
      <c r="P779">
        <v>63</v>
      </c>
      <c r="Q779">
        <v>1</v>
      </c>
      <c r="R779">
        <v>4</v>
      </c>
      <c r="S779" t="s">
        <v>37</v>
      </c>
      <c r="T779" t="s">
        <v>44</v>
      </c>
      <c r="U779" t="s">
        <v>88</v>
      </c>
      <c r="V779" t="s">
        <v>45</v>
      </c>
      <c r="W779">
        <v>1</v>
      </c>
      <c r="X779">
        <v>1</v>
      </c>
      <c r="Y779" s="2">
        <f>Table1[[#This Row],[premium_yearly]]*Table1[[#This Row],[tenure_years]]</f>
        <v>2935.7567999999997</v>
      </c>
      <c r="Z779" s="2">
        <f>Table1[[#This Row],[total_collected_premiums]]*(1-$AD$2)</f>
        <v>2143.1024639999996</v>
      </c>
      <c r="AA779" s="2">
        <f>Table1[[#This Row],[retained_premium]]-Table1[[#This Row],[claim_amount_paid]]</f>
        <v>-856.8975360000004</v>
      </c>
    </row>
    <row r="780" spans="1:27" x14ac:dyDescent="0.35">
      <c r="A780" t="s">
        <v>2379</v>
      </c>
      <c r="B780" t="s">
        <v>2380</v>
      </c>
      <c r="C780" t="s">
        <v>2381</v>
      </c>
      <c r="D780" s="1">
        <v>41493</v>
      </c>
      <c r="E780" s="1">
        <v>44178</v>
      </c>
      <c r="F780" s="1">
        <v>44178</v>
      </c>
      <c r="G780">
        <v>0</v>
      </c>
      <c r="H780">
        <v>110.27</v>
      </c>
      <c r="I780">
        <v>1323.24</v>
      </c>
      <c r="J780">
        <v>8000</v>
      </c>
      <c r="K780" t="s">
        <v>27</v>
      </c>
      <c r="L780">
        <v>8000</v>
      </c>
      <c r="M780">
        <v>1.58</v>
      </c>
      <c r="N780" t="s">
        <v>36</v>
      </c>
      <c r="O780">
        <v>19</v>
      </c>
      <c r="P780">
        <v>53</v>
      </c>
      <c r="Q780">
        <v>1</v>
      </c>
      <c r="R780">
        <v>4</v>
      </c>
      <c r="S780" t="s">
        <v>65</v>
      </c>
      <c r="T780" t="s">
        <v>30</v>
      </c>
      <c r="U780" t="s">
        <v>31</v>
      </c>
      <c r="V780" t="s">
        <v>39</v>
      </c>
      <c r="W780">
        <v>1</v>
      </c>
      <c r="X780">
        <v>1</v>
      </c>
      <c r="Y780" s="2">
        <f>Table1[[#This Row],[premium_yearly]]*Table1[[#This Row],[tenure_years]]</f>
        <v>2090.7192</v>
      </c>
      <c r="Z780" s="2">
        <f>Table1[[#This Row],[total_collected_premiums]]*(1-$AD$2)</f>
        <v>1526.2250159999999</v>
      </c>
      <c r="AA780" s="2">
        <f>Table1[[#This Row],[retained_premium]]-Table1[[#This Row],[claim_amount_paid]]</f>
        <v>-6473.7749839999997</v>
      </c>
    </row>
    <row r="781" spans="1:27" x14ac:dyDescent="0.35">
      <c r="A781" t="s">
        <v>2382</v>
      </c>
      <c r="B781" t="s">
        <v>2383</v>
      </c>
      <c r="C781" t="s">
        <v>2384</v>
      </c>
      <c r="D781" s="1">
        <v>42843</v>
      </c>
      <c r="E781" s="1">
        <v>44160</v>
      </c>
      <c r="F781" s="1">
        <v>44165</v>
      </c>
      <c r="G781">
        <v>5</v>
      </c>
      <c r="H781">
        <v>111.74</v>
      </c>
      <c r="I781">
        <v>1340.88</v>
      </c>
      <c r="J781">
        <v>2000</v>
      </c>
      <c r="K781" t="s">
        <v>27</v>
      </c>
      <c r="L781">
        <v>2000</v>
      </c>
      <c r="M781">
        <v>3.58</v>
      </c>
      <c r="N781" t="s">
        <v>28</v>
      </c>
      <c r="O781">
        <v>43</v>
      </c>
      <c r="P781">
        <v>53</v>
      </c>
      <c r="Q781">
        <v>0</v>
      </c>
      <c r="R781">
        <v>2</v>
      </c>
      <c r="S781" t="s">
        <v>29</v>
      </c>
      <c r="T781" t="s">
        <v>44</v>
      </c>
      <c r="U781" t="s">
        <v>38</v>
      </c>
      <c r="V781" t="s">
        <v>39</v>
      </c>
      <c r="W781">
        <v>1</v>
      </c>
      <c r="X781">
        <v>1</v>
      </c>
      <c r="Y781" s="2">
        <f>Table1[[#This Row],[premium_yearly]]*Table1[[#This Row],[tenure_years]]</f>
        <v>4800.3504000000003</v>
      </c>
      <c r="Z781" s="2">
        <f>Table1[[#This Row],[total_collected_premiums]]*(1-$AD$2)</f>
        <v>3504.2557919999999</v>
      </c>
      <c r="AA781" s="2">
        <f>Table1[[#This Row],[retained_premium]]-Table1[[#This Row],[claim_amount_paid]]</f>
        <v>1504.2557919999999</v>
      </c>
    </row>
    <row r="782" spans="1:27" x14ac:dyDescent="0.35">
      <c r="A782" t="s">
        <v>2385</v>
      </c>
      <c r="B782" t="s">
        <v>2386</v>
      </c>
      <c r="C782" t="s">
        <v>2387</v>
      </c>
      <c r="D782" s="1">
        <v>41324</v>
      </c>
      <c r="E782" s="1">
        <v>44179</v>
      </c>
      <c r="F782" s="1">
        <v>44179</v>
      </c>
      <c r="G782">
        <v>0</v>
      </c>
      <c r="H782">
        <v>101.1</v>
      </c>
      <c r="I782">
        <v>1213.2</v>
      </c>
      <c r="J782">
        <v>6000</v>
      </c>
      <c r="K782" t="s">
        <v>27</v>
      </c>
      <c r="L782">
        <v>6000</v>
      </c>
      <c r="M782">
        <v>1.58</v>
      </c>
      <c r="N782" t="s">
        <v>36</v>
      </c>
      <c r="O782">
        <v>19</v>
      </c>
      <c r="P782">
        <v>60</v>
      </c>
      <c r="Q782">
        <v>0</v>
      </c>
      <c r="R782">
        <v>4</v>
      </c>
      <c r="S782" t="s">
        <v>65</v>
      </c>
      <c r="T782" t="s">
        <v>44</v>
      </c>
      <c r="U782" t="s">
        <v>88</v>
      </c>
      <c r="V782" t="s">
        <v>39</v>
      </c>
      <c r="W782">
        <v>1</v>
      </c>
      <c r="X782">
        <v>0</v>
      </c>
      <c r="Y782" s="2">
        <f>Table1[[#This Row],[premium_yearly]]*Table1[[#This Row],[tenure_years]]</f>
        <v>1916.8560000000002</v>
      </c>
      <c r="Z782" s="2">
        <f>Table1[[#This Row],[total_collected_premiums]]*(1-$AD$2)</f>
        <v>1399.3048800000001</v>
      </c>
      <c r="AA782" s="2">
        <f>Table1[[#This Row],[retained_premium]]-Table1[[#This Row],[claim_amount_paid]]</f>
        <v>-4600.6951200000003</v>
      </c>
    </row>
    <row r="783" spans="1:27" x14ac:dyDescent="0.35">
      <c r="A783" t="s">
        <v>2388</v>
      </c>
      <c r="B783" t="s">
        <v>2389</v>
      </c>
      <c r="C783" t="s">
        <v>2390</v>
      </c>
      <c r="D783" s="1">
        <v>42318</v>
      </c>
      <c r="E783" s="1">
        <v>44165</v>
      </c>
      <c r="F783" s="1">
        <v>44170</v>
      </c>
      <c r="G783">
        <v>5</v>
      </c>
      <c r="H783">
        <v>124.86</v>
      </c>
      <c r="I783">
        <v>1498.32</v>
      </c>
      <c r="J783">
        <v>7000</v>
      </c>
      <c r="K783" t="s">
        <v>27</v>
      </c>
      <c r="L783">
        <v>7000</v>
      </c>
      <c r="M783">
        <v>6.33</v>
      </c>
      <c r="N783" t="s">
        <v>49</v>
      </c>
      <c r="O783">
        <v>76</v>
      </c>
      <c r="P783">
        <v>39</v>
      </c>
      <c r="Q783">
        <v>1</v>
      </c>
      <c r="R783">
        <v>6</v>
      </c>
      <c r="S783" t="s">
        <v>65</v>
      </c>
      <c r="T783" t="s">
        <v>30</v>
      </c>
      <c r="U783" t="s">
        <v>31</v>
      </c>
      <c r="V783" t="s">
        <v>32</v>
      </c>
      <c r="W783">
        <v>0</v>
      </c>
      <c r="X783">
        <v>0</v>
      </c>
      <c r="Y783" s="2">
        <f>Table1[[#This Row],[premium_yearly]]*Table1[[#This Row],[tenure_years]]</f>
        <v>9484.3655999999992</v>
      </c>
      <c r="Z783" s="2">
        <f>Table1[[#This Row],[total_collected_premiums]]*(1-$AD$2)</f>
        <v>6923.5868879999989</v>
      </c>
      <c r="AA783" s="2">
        <f>Table1[[#This Row],[retained_premium]]-Table1[[#This Row],[claim_amount_paid]]</f>
        <v>-76.413112000001092</v>
      </c>
    </row>
    <row r="784" spans="1:27" x14ac:dyDescent="0.35">
      <c r="A784" t="s">
        <v>2391</v>
      </c>
      <c r="B784" t="s">
        <v>2392</v>
      </c>
      <c r="C784" t="s">
        <v>2393</v>
      </c>
      <c r="D784" s="1">
        <v>42899</v>
      </c>
      <c r="E784" s="1">
        <v>44160</v>
      </c>
      <c r="F784" s="1">
        <v>44165</v>
      </c>
      <c r="G784">
        <v>5</v>
      </c>
      <c r="H784">
        <v>95.01</v>
      </c>
      <c r="I784">
        <v>1140.1199999999999</v>
      </c>
      <c r="J784">
        <v>5000</v>
      </c>
      <c r="K784" t="s">
        <v>27</v>
      </c>
      <c r="L784">
        <v>5000</v>
      </c>
      <c r="M784">
        <v>2.75</v>
      </c>
      <c r="N784" t="s">
        <v>28</v>
      </c>
      <c r="O784">
        <v>33</v>
      </c>
      <c r="P784">
        <v>50</v>
      </c>
      <c r="Q784">
        <v>1</v>
      </c>
      <c r="R784">
        <v>3</v>
      </c>
      <c r="S784" t="s">
        <v>65</v>
      </c>
      <c r="T784" t="s">
        <v>30</v>
      </c>
      <c r="U784" t="s">
        <v>38</v>
      </c>
      <c r="V784" t="s">
        <v>39</v>
      </c>
      <c r="W784">
        <v>1</v>
      </c>
      <c r="X784">
        <v>1</v>
      </c>
      <c r="Y784" s="2">
        <f>Table1[[#This Row],[premium_yearly]]*Table1[[#This Row],[tenure_years]]</f>
        <v>3135.33</v>
      </c>
      <c r="Z784" s="2">
        <f>Table1[[#This Row],[total_collected_premiums]]*(1-$AD$2)</f>
        <v>2288.7909</v>
      </c>
      <c r="AA784" s="2">
        <f>Table1[[#This Row],[retained_premium]]-Table1[[#This Row],[claim_amount_paid]]</f>
        <v>-2711.2091</v>
      </c>
    </row>
    <row r="785" spans="1:27" x14ac:dyDescent="0.35">
      <c r="A785" t="s">
        <v>2394</v>
      </c>
      <c r="B785" t="s">
        <v>2395</v>
      </c>
      <c r="C785" t="s">
        <v>2396</v>
      </c>
      <c r="D785" s="1">
        <v>40496</v>
      </c>
      <c r="E785" s="1">
        <v>44171</v>
      </c>
      <c r="F785" s="1">
        <v>44174</v>
      </c>
      <c r="G785">
        <v>3</v>
      </c>
      <c r="H785">
        <v>99.24</v>
      </c>
      <c r="I785">
        <v>1190.8800000000001</v>
      </c>
      <c r="J785">
        <v>10000</v>
      </c>
      <c r="K785" t="s">
        <v>27</v>
      </c>
      <c r="L785">
        <v>10000</v>
      </c>
      <c r="M785">
        <v>6.25</v>
      </c>
      <c r="N785" t="s">
        <v>49</v>
      </c>
      <c r="O785">
        <v>75</v>
      </c>
      <c r="P785">
        <v>27</v>
      </c>
      <c r="Q785">
        <v>1</v>
      </c>
      <c r="R785">
        <v>5</v>
      </c>
      <c r="S785" t="s">
        <v>29</v>
      </c>
      <c r="T785" t="s">
        <v>44</v>
      </c>
      <c r="U785" t="s">
        <v>38</v>
      </c>
      <c r="V785" t="s">
        <v>45</v>
      </c>
      <c r="W785">
        <v>1</v>
      </c>
      <c r="X785">
        <v>0</v>
      </c>
      <c r="Y785" s="2">
        <f>Table1[[#This Row],[premium_yearly]]*Table1[[#This Row],[tenure_years]]</f>
        <v>7443.0000000000009</v>
      </c>
      <c r="Z785" s="2">
        <f>Table1[[#This Row],[total_collected_premiums]]*(1-$AD$2)</f>
        <v>5433.39</v>
      </c>
      <c r="AA785" s="2">
        <f>Table1[[#This Row],[retained_premium]]-Table1[[#This Row],[claim_amount_paid]]</f>
        <v>-4566.6099999999997</v>
      </c>
    </row>
    <row r="786" spans="1:27" x14ac:dyDescent="0.35">
      <c r="A786" t="s">
        <v>2397</v>
      </c>
      <c r="B786" t="s">
        <v>2398</v>
      </c>
      <c r="C786" t="s">
        <v>2399</v>
      </c>
      <c r="D786" s="1">
        <v>41147</v>
      </c>
      <c r="E786" s="1">
        <v>44180</v>
      </c>
      <c r="F786" s="1">
        <v>44180</v>
      </c>
      <c r="G786">
        <v>0</v>
      </c>
      <c r="H786">
        <v>102.45</v>
      </c>
      <c r="I786">
        <v>1229.4000000000001</v>
      </c>
      <c r="J786">
        <v>7000</v>
      </c>
      <c r="K786" t="s">
        <v>43</v>
      </c>
      <c r="L786">
        <v>0</v>
      </c>
      <c r="M786">
        <v>6.25</v>
      </c>
      <c r="N786" t="s">
        <v>49</v>
      </c>
      <c r="O786">
        <v>75</v>
      </c>
      <c r="P786">
        <v>41</v>
      </c>
      <c r="Q786">
        <v>0</v>
      </c>
      <c r="R786">
        <v>7</v>
      </c>
      <c r="S786" t="s">
        <v>65</v>
      </c>
      <c r="T786" t="s">
        <v>30</v>
      </c>
      <c r="U786" t="s">
        <v>58</v>
      </c>
      <c r="V786" t="s">
        <v>39</v>
      </c>
      <c r="W786">
        <v>1</v>
      </c>
      <c r="X786">
        <v>1</v>
      </c>
      <c r="Y786" s="2">
        <f>Table1[[#This Row],[premium_yearly]]*Table1[[#This Row],[tenure_years]]</f>
        <v>7683.7500000000009</v>
      </c>
      <c r="Z786" s="2">
        <f>Table1[[#This Row],[total_collected_premiums]]*(1-$AD$2)</f>
        <v>5609.1375000000007</v>
      </c>
      <c r="AA786" s="2">
        <f>Table1[[#This Row],[retained_premium]]-Table1[[#This Row],[claim_amount_paid]]</f>
        <v>5609.1375000000007</v>
      </c>
    </row>
    <row r="787" spans="1:27" x14ac:dyDescent="0.35">
      <c r="A787" t="s">
        <v>2400</v>
      </c>
      <c r="B787" t="s">
        <v>2401</v>
      </c>
      <c r="C787" t="s">
        <v>2402</v>
      </c>
      <c r="D787" s="1">
        <v>40358</v>
      </c>
      <c r="E787" s="1">
        <v>44170</v>
      </c>
      <c r="F787" s="1">
        <v>44175</v>
      </c>
      <c r="G787">
        <v>5</v>
      </c>
      <c r="H787">
        <v>72.87</v>
      </c>
      <c r="I787">
        <v>874.44</v>
      </c>
      <c r="J787">
        <v>2000</v>
      </c>
      <c r="K787" t="s">
        <v>27</v>
      </c>
      <c r="L787">
        <v>2000</v>
      </c>
      <c r="M787">
        <v>4.17</v>
      </c>
      <c r="N787" t="s">
        <v>28</v>
      </c>
      <c r="O787">
        <v>50</v>
      </c>
      <c r="P787">
        <v>30</v>
      </c>
      <c r="Q787">
        <v>0</v>
      </c>
      <c r="R787">
        <v>6</v>
      </c>
      <c r="S787" t="s">
        <v>65</v>
      </c>
      <c r="T787" t="s">
        <v>44</v>
      </c>
      <c r="U787" t="s">
        <v>31</v>
      </c>
      <c r="V787" t="s">
        <v>32</v>
      </c>
      <c r="W787">
        <v>1</v>
      </c>
      <c r="X787">
        <v>1</v>
      </c>
      <c r="Y787" s="2">
        <f>Table1[[#This Row],[premium_yearly]]*Table1[[#This Row],[tenure_years]]</f>
        <v>3646.4148</v>
      </c>
      <c r="Z787" s="2">
        <f>Table1[[#This Row],[total_collected_premiums]]*(1-$AD$2)</f>
        <v>2661.8828039999999</v>
      </c>
      <c r="AA787" s="2">
        <f>Table1[[#This Row],[retained_premium]]-Table1[[#This Row],[claim_amount_paid]]</f>
        <v>661.88280399999985</v>
      </c>
    </row>
    <row r="788" spans="1:27" x14ac:dyDescent="0.35">
      <c r="A788" t="s">
        <v>2403</v>
      </c>
      <c r="B788" t="s">
        <v>2404</v>
      </c>
      <c r="C788" t="s">
        <v>2405</v>
      </c>
      <c r="D788" s="1">
        <v>42572</v>
      </c>
      <c r="E788" s="1">
        <v>44161</v>
      </c>
      <c r="F788" s="1">
        <v>44166</v>
      </c>
      <c r="G788">
        <v>5</v>
      </c>
      <c r="H788">
        <v>85.78</v>
      </c>
      <c r="I788">
        <v>1029.3599999999999</v>
      </c>
      <c r="J788">
        <v>8000</v>
      </c>
      <c r="K788" t="s">
        <v>43</v>
      </c>
      <c r="L788">
        <v>0</v>
      </c>
      <c r="M788">
        <v>1.5</v>
      </c>
      <c r="N788" t="s">
        <v>36</v>
      </c>
      <c r="O788">
        <v>18</v>
      </c>
      <c r="P788">
        <v>42</v>
      </c>
      <c r="Q788">
        <v>1</v>
      </c>
      <c r="R788">
        <v>3</v>
      </c>
      <c r="S788" t="s">
        <v>65</v>
      </c>
      <c r="T788" t="s">
        <v>30</v>
      </c>
      <c r="U788" t="s">
        <v>38</v>
      </c>
      <c r="V788" t="s">
        <v>39</v>
      </c>
      <c r="W788">
        <v>0</v>
      </c>
      <c r="X788">
        <v>1</v>
      </c>
      <c r="Y788" s="2">
        <f>Table1[[#This Row],[premium_yearly]]*Table1[[#This Row],[tenure_years]]</f>
        <v>1544.04</v>
      </c>
      <c r="Z788" s="2">
        <f>Table1[[#This Row],[total_collected_premiums]]*(1-$AD$2)</f>
        <v>1127.1491999999998</v>
      </c>
      <c r="AA788" s="2">
        <f>Table1[[#This Row],[retained_premium]]-Table1[[#This Row],[claim_amount_paid]]</f>
        <v>1127.1491999999998</v>
      </c>
    </row>
    <row r="789" spans="1:27" x14ac:dyDescent="0.35">
      <c r="A789" t="s">
        <v>2406</v>
      </c>
      <c r="B789" t="s">
        <v>2407</v>
      </c>
      <c r="C789" t="s">
        <v>2408</v>
      </c>
      <c r="D789" s="1">
        <v>42869</v>
      </c>
      <c r="E789" s="1">
        <v>44169</v>
      </c>
      <c r="F789" s="1">
        <v>44174</v>
      </c>
      <c r="G789">
        <v>5</v>
      </c>
      <c r="H789">
        <v>72.31</v>
      </c>
      <c r="I789">
        <v>867.72</v>
      </c>
      <c r="J789">
        <v>6000</v>
      </c>
      <c r="K789" t="s">
        <v>27</v>
      </c>
      <c r="L789">
        <v>6000</v>
      </c>
      <c r="M789">
        <v>3.17</v>
      </c>
      <c r="N789" t="s">
        <v>49</v>
      </c>
      <c r="O789">
        <v>38</v>
      </c>
      <c r="P789">
        <v>55</v>
      </c>
      <c r="Q789">
        <v>1</v>
      </c>
      <c r="R789">
        <v>4</v>
      </c>
      <c r="S789" t="s">
        <v>29</v>
      </c>
      <c r="T789" t="s">
        <v>50</v>
      </c>
      <c r="U789" t="s">
        <v>58</v>
      </c>
      <c r="V789" t="s">
        <v>45</v>
      </c>
      <c r="W789">
        <v>1</v>
      </c>
      <c r="X789">
        <v>1</v>
      </c>
      <c r="Y789" s="2">
        <f>Table1[[#This Row],[premium_yearly]]*Table1[[#This Row],[tenure_years]]</f>
        <v>2750.6723999999999</v>
      </c>
      <c r="Z789" s="2">
        <f>Table1[[#This Row],[total_collected_premiums]]*(1-$AD$2)</f>
        <v>2007.9908519999999</v>
      </c>
      <c r="AA789" s="2">
        <f>Table1[[#This Row],[retained_premium]]-Table1[[#This Row],[claim_amount_paid]]</f>
        <v>-3992.0091480000001</v>
      </c>
    </row>
    <row r="790" spans="1:27" x14ac:dyDescent="0.35">
      <c r="A790" t="s">
        <v>2409</v>
      </c>
      <c r="B790" t="s">
        <v>2410</v>
      </c>
      <c r="C790" t="s">
        <v>2411</v>
      </c>
      <c r="D790" s="1">
        <v>42972</v>
      </c>
      <c r="E790" s="1">
        <v>44171</v>
      </c>
      <c r="F790" s="1">
        <v>44176</v>
      </c>
      <c r="G790">
        <v>5</v>
      </c>
      <c r="H790">
        <v>84.16</v>
      </c>
      <c r="I790">
        <v>1009.92</v>
      </c>
      <c r="J790">
        <v>9000</v>
      </c>
      <c r="K790" t="s">
        <v>27</v>
      </c>
      <c r="L790">
        <v>9000</v>
      </c>
      <c r="M790">
        <v>6</v>
      </c>
      <c r="N790" t="s">
        <v>28</v>
      </c>
      <c r="O790">
        <v>72</v>
      </c>
      <c r="P790">
        <v>55</v>
      </c>
      <c r="Q790">
        <v>1</v>
      </c>
      <c r="R790">
        <v>5</v>
      </c>
      <c r="S790" t="s">
        <v>29</v>
      </c>
      <c r="T790" t="s">
        <v>30</v>
      </c>
      <c r="U790" t="s">
        <v>31</v>
      </c>
      <c r="V790" t="s">
        <v>45</v>
      </c>
      <c r="W790">
        <v>1</v>
      </c>
      <c r="X790">
        <v>1</v>
      </c>
      <c r="Y790" s="2">
        <f>Table1[[#This Row],[premium_yearly]]*Table1[[#This Row],[tenure_years]]</f>
        <v>6059.5199999999995</v>
      </c>
      <c r="Z790" s="2">
        <f>Table1[[#This Row],[total_collected_premiums]]*(1-$AD$2)</f>
        <v>4423.4495999999999</v>
      </c>
      <c r="AA790" s="2">
        <f>Table1[[#This Row],[retained_premium]]-Table1[[#This Row],[claim_amount_paid]]</f>
        <v>-4576.5504000000001</v>
      </c>
    </row>
    <row r="791" spans="1:27" x14ac:dyDescent="0.35">
      <c r="A791" t="s">
        <v>2412</v>
      </c>
      <c r="B791" t="s">
        <v>2413</v>
      </c>
      <c r="C791" t="s">
        <v>2414</v>
      </c>
      <c r="D791" s="1">
        <v>41233</v>
      </c>
      <c r="E791" s="1">
        <v>44179</v>
      </c>
      <c r="F791" s="1">
        <v>44179</v>
      </c>
      <c r="G791">
        <v>0</v>
      </c>
      <c r="H791">
        <v>135.85</v>
      </c>
      <c r="I791">
        <v>1630.2</v>
      </c>
      <c r="J791">
        <v>8000</v>
      </c>
      <c r="K791" t="s">
        <v>27</v>
      </c>
      <c r="L791">
        <v>8000</v>
      </c>
      <c r="M791">
        <v>3</v>
      </c>
      <c r="N791" t="s">
        <v>36</v>
      </c>
      <c r="O791">
        <v>36</v>
      </c>
      <c r="P791">
        <v>54</v>
      </c>
      <c r="Q791">
        <v>1</v>
      </c>
      <c r="R791">
        <v>6</v>
      </c>
      <c r="S791" t="s">
        <v>65</v>
      </c>
      <c r="T791" t="s">
        <v>30</v>
      </c>
      <c r="U791" t="s">
        <v>38</v>
      </c>
      <c r="V791" t="s">
        <v>32</v>
      </c>
      <c r="W791">
        <v>0</v>
      </c>
      <c r="X791">
        <v>1</v>
      </c>
      <c r="Y791" s="2">
        <f>Table1[[#This Row],[premium_yearly]]*Table1[[#This Row],[tenure_years]]</f>
        <v>4890.6000000000004</v>
      </c>
      <c r="Z791" s="2">
        <f>Table1[[#This Row],[total_collected_premiums]]*(1-$AD$2)</f>
        <v>3570.1380000000004</v>
      </c>
      <c r="AA791" s="2">
        <f>Table1[[#This Row],[retained_premium]]-Table1[[#This Row],[claim_amount_paid]]</f>
        <v>-4429.8619999999992</v>
      </c>
    </row>
    <row r="792" spans="1:27" x14ac:dyDescent="0.35">
      <c r="A792" t="s">
        <v>2415</v>
      </c>
      <c r="B792" t="s">
        <v>2416</v>
      </c>
      <c r="C792" t="s">
        <v>2417</v>
      </c>
      <c r="D792" s="1">
        <v>41662</v>
      </c>
      <c r="E792" s="1">
        <v>44174</v>
      </c>
      <c r="F792" s="1">
        <v>44177</v>
      </c>
      <c r="G792">
        <v>3</v>
      </c>
      <c r="H792">
        <v>97.31</v>
      </c>
      <c r="I792">
        <v>1167.72</v>
      </c>
      <c r="J792">
        <v>2000</v>
      </c>
      <c r="K792" t="s">
        <v>27</v>
      </c>
      <c r="L792">
        <v>2000</v>
      </c>
      <c r="M792">
        <v>4</v>
      </c>
      <c r="N792" t="s">
        <v>28</v>
      </c>
      <c r="O792">
        <v>48</v>
      </c>
      <c r="P792">
        <v>31</v>
      </c>
      <c r="Q792">
        <v>0</v>
      </c>
      <c r="R792">
        <v>5</v>
      </c>
      <c r="S792" t="s">
        <v>37</v>
      </c>
      <c r="T792" t="s">
        <v>44</v>
      </c>
      <c r="U792" t="s">
        <v>58</v>
      </c>
      <c r="V792" t="s">
        <v>39</v>
      </c>
      <c r="W792">
        <v>1</v>
      </c>
      <c r="X792">
        <v>1</v>
      </c>
      <c r="Y792" s="2">
        <f>Table1[[#This Row],[premium_yearly]]*Table1[[#This Row],[tenure_years]]</f>
        <v>4670.88</v>
      </c>
      <c r="Z792" s="2">
        <f>Table1[[#This Row],[total_collected_premiums]]*(1-$AD$2)</f>
        <v>3409.7424000000001</v>
      </c>
      <c r="AA792" s="2">
        <f>Table1[[#This Row],[retained_premium]]-Table1[[#This Row],[claim_amount_paid]]</f>
        <v>1409.7424000000001</v>
      </c>
    </row>
    <row r="793" spans="1:27" x14ac:dyDescent="0.35">
      <c r="A793" t="s">
        <v>2418</v>
      </c>
      <c r="B793" t="s">
        <v>2419</v>
      </c>
      <c r="C793" t="s">
        <v>2420</v>
      </c>
      <c r="D793" s="1">
        <v>42962</v>
      </c>
      <c r="E793" s="1">
        <v>44171</v>
      </c>
      <c r="F793" s="1">
        <v>44176</v>
      </c>
      <c r="G793">
        <v>5</v>
      </c>
      <c r="H793">
        <v>130.82</v>
      </c>
      <c r="I793">
        <v>1569.84</v>
      </c>
      <c r="J793">
        <v>3000</v>
      </c>
      <c r="K793" t="s">
        <v>27</v>
      </c>
      <c r="L793">
        <v>3000</v>
      </c>
      <c r="M793">
        <v>8.67</v>
      </c>
      <c r="N793" t="s">
        <v>28</v>
      </c>
      <c r="O793">
        <v>104</v>
      </c>
      <c r="P793">
        <v>27</v>
      </c>
      <c r="Q793">
        <v>0</v>
      </c>
      <c r="R793">
        <v>5</v>
      </c>
      <c r="S793" t="s">
        <v>29</v>
      </c>
      <c r="T793" t="s">
        <v>30</v>
      </c>
      <c r="U793" t="s">
        <v>38</v>
      </c>
      <c r="V793" t="s">
        <v>45</v>
      </c>
      <c r="W793">
        <v>0</v>
      </c>
      <c r="X793">
        <v>0</v>
      </c>
      <c r="Y793" s="2">
        <f>Table1[[#This Row],[premium_yearly]]*Table1[[#This Row],[tenure_years]]</f>
        <v>13610.512799999999</v>
      </c>
      <c r="Z793" s="2">
        <f>Table1[[#This Row],[total_collected_premiums]]*(1-$AD$2)</f>
        <v>9935.6743439999991</v>
      </c>
      <c r="AA793" s="2">
        <f>Table1[[#This Row],[retained_premium]]-Table1[[#This Row],[claim_amount_paid]]</f>
        <v>6935.6743439999991</v>
      </c>
    </row>
    <row r="794" spans="1:27" x14ac:dyDescent="0.35">
      <c r="A794" t="s">
        <v>2421</v>
      </c>
      <c r="B794" t="s">
        <v>2422</v>
      </c>
      <c r="C794" t="s">
        <v>2423</v>
      </c>
      <c r="D794" s="1">
        <v>43236</v>
      </c>
      <c r="E794" s="1">
        <v>44181</v>
      </c>
      <c r="F794" s="1">
        <v>44181</v>
      </c>
      <c r="G794">
        <v>0</v>
      </c>
      <c r="H794">
        <v>108.94</v>
      </c>
      <c r="I794">
        <v>1307.28</v>
      </c>
      <c r="J794">
        <v>9000</v>
      </c>
      <c r="K794" t="s">
        <v>27</v>
      </c>
      <c r="L794">
        <v>9000</v>
      </c>
      <c r="M794">
        <v>5.42</v>
      </c>
      <c r="N794" t="s">
        <v>28</v>
      </c>
      <c r="O794">
        <v>65</v>
      </c>
      <c r="P794">
        <v>47</v>
      </c>
      <c r="Q794">
        <v>0</v>
      </c>
      <c r="R794">
        <v>4</v>
      </c>
      <c r="S794" t="s">
        <v>29</v>
      </c>
      <c r="T794" t="s">
        <v>30</v>
      </c>
      <c r="U794" t="s">
        <v>107</v>
      </c>
      <c r="V794" t="s">
        <v>45</v>
      </c>
      <c r="W794">
        <v>0</v>
      </c>
      <c r="X794">
        <v>1</v>
      </c>
      <c r="Y794" s="2">
        <f>Table1[[#This Row],[premium_yearly]]*Table1[[#This Row],[tenure_years]]</f>
        <v>7085.4575999999997</v>
      </c>
      <c r="Z794" s="2">
        <f>Table1[[#This Row],[total_collected_premiums]]*(1-$AD$2)</f>
        <v>5172.3840479999999</v>
      </c>
      <c r="AA794" s="2">
        <f>Table1[[#This Row],[retained_premium]]-Table1[[#This Row],[claim_amount_paid]]</f>
        <v>-3827.6159520000001</v>
      </c>
    </row>
    <row r="795" spans="1:27" x14ac:dyDescent="0.35">
      <c r="A795" t="s">
        <v>2424</v>
      </c>
      <c r="B795" t="s">
        <v>2425</v>
      </c>
      <c r="C795" t="s">
        <v>2426</v>
      </c>
      <c r="D795" s="1">
        <v>42707</v>
      </c>
      <c r="E795" s="1">
        <v>44181</v>
      </c>
      <c r="F795" s="1">
        <v>44181</v>
      </c>
      <c r="G795">
        <v>0</v>
      </c>
      <c r="H795">
        <v>139</v>
      </c>
      <c r="I795">
        <v>1668</v>
      </c>
      <c r="J795">
        <v>1000</v>
      </c>
      <c r="K795" t="s">
        <v>27</v>
      </c>
      <c r="L795">
        <v>1000</v>
      </c>
      <c r="M795">
        <v>7</v>
      </c>
      <c r="N795" t="s">
        <v>36</v>
      </c>
      <c r="O795">
        <v>84</v>
      </c>
      <c r="P795">
        <v>55</v>
      </c>
      <c r="Q795">
        <v>1</v>
      </c>
      <c r="R795">
        <v>6</v>
      </c>
      <c r="S795" t="s">
        <v>29</v>
      </c>
      <c r="T795" t="s">
        <v>30</v>
      </c>
      <c r="U795" t="s">
        <v>51</v>
      </c>
      <c r="V795" t="s">
        <v>45</v>
      </c>
      <c r="W795">
        <v>1</v>
      </c>
      <c r="X795">
        <v>0</v>
      </c>
      <c r="Y795" s="2">
        <f>Table1[[#This Row],[premium_yearly]]*Table1[[#This Row],[tenure_years]]</f>
        <v>11676</v>
      </c>
      <c r="Z795" s="2">
        <f>Table1[[#This Row],[total_collected_premiums]]*(1-$AD$2)</f>
        <v>8523.48</v>
      </c>
      <c r="AA795" s="2">
        <f>Table1[[#This Row],[retained_premium]]-Table1[[#This Row],[claim_amount_paid]]</f>
        <v>7523.48</v>
      </c>
    </row>
    <row r="796" spans="1:27" x14ac:dyDescent="0.35">
      <c r="A796" t="s">
        <v>2427</v>
      </c>
      <c r="B796" t="s">
        <v>2428</v>
      </c>
      <c r="C796" t="s">
        <v>2429</v>
      </c>
      <c r="D796" s="1">
        <v>41564</v>
      </c>
      <c r="E796" s="1">
        <v>44176</v>
      </c>
      <c r="F796" s="1">
        <v>44178</v>
      </c>
      <c r="G796">
        <v>2</v>
      </c>
      <c r="H796">
        <v>99.04</v>
      </c>
      <c r="I796">
        <v>1188.48</v>
      </c>
      <c r="J796">
        <v>9000</v>
      </c>
      <c r="K796" t="s">
        <v>27</v>
      </c>
      <c r="L796">
        <v>9000</v>
      </c>
      <c r="M796">
        <v>0.67</v>
      </c>
      <c r="N796" t="s">
        <v>49</v>
      </c>
      <c r="O796">
        <v>8</v>
      </c>
      <c r="P796">
        <v>36</v>
      </c>
      <c r="Q796">
        <v>1</v>
      </c>
      <c r="R796">
        <v>7</v>
      </c>
      <c r="S796" t="s">
        <v>37</v>
      </c>
      <c r="T796" t="s">
        <v>30</v>
      </c>
      <c r="U796" t="s">
        <v>38</v>
      </c>
      <c r="V796" t="s">
        <v>32</v>
      </c>
      <c r="W796">
        <v>1</v>
      </c>
      <c r="X796">
        <v>1</v>
      </c>
      <c r="Y796" s="2">
        <f>Table1[[#This Row],[premium_yearly]]*Table1[[#This Row],[tenure_years]]</f>
        <v>796.28160000000003</v>
      </c>
      <c r="Z796" s="2">
        <f>Table1[[#This Row],[total_collected_premiums]]*(1-$AD$2)</f>
        <v>581.28556800000001</v>
      </c>
      <c r="AA796" s="2">
        <f>Table1[[#This Row],[retained_premium]]-Table1[[#This Row],[claim_amount_paid]]</f>
        <v>-8418.7144320000007</v>
      </c>
    </row>
    <row r="797" spans="1:27" x14ac:dyDescent="0.35">
      <c r="A797" t="s">
        <v>2430</v>
      </c>
      <c r="B797" t="s">
        <v>2431</v>
      </c>
      <c r="C797" t="s">
        <v>2432</v>
      </c>
      <c r="D797" s="1">
        <v>41359</v>
      </c>
      <c r="E797" s="1">
        <v>44167</v>
      </c>
      <c r="F797" s="1">
        <v>44172</v>
      </c>
      <c r="G797">
        <v>5</v>
      </c>
      <c r="H797">
        <v>119.7</v>
      </c>
      <c r="I797">
        <v>1436.4</v>
      </c>
      <c r="J797">
        <v>4000</v>
      </c>
      <c r="K797" t="s">
        <v>27</v>
      </c>
      <c r="L797">
        <v>4000</v>
      </c>
      <c r="M797">
        <v>8.17</v>
      </c>
      <c r="N797" t="s">
        <v>36</v>
      </c>
      <c r="O797">
        <v>98</v>
      </c>
      <c r="P797">
        <v>55</v>
      </c>
      <c r="Q797">
        <v>1</v>
      </c>
      <c r="R797">
        <v>3</v>
      </c>
      <c r="S797" t="s">
        <v>29</v>
      </c>
      <c r="T797" t="s">
        <v>50</v>
      </c>
      <c r="U797" t="s">
        <v>38</v>
      </c>
      <c r="V797" t="s">
        <v>39</v>
      </c>
      <c r="W797">
        <v>1</v>
      </c>
      <c r="X797">
        <v>1</v>
      </c>
      <c r="Y797" s="2">
        <f>Table1[[#This Row],[premium_yearly]]*Table1[[#This Row],[tenure_years]]</f>
        <v>11735.388000000001</v>
      </c>
      <c r="Z797" s="2">
        <f>Table1[[#This Row],[total_collected_premiums]]*(1-$AD$2)</f>
        <v>8566.8332399999999</v>
      </c>
      <c r="AA797" s="2">
        <f>Table1[[#This Row],[retained_premium]]-Table1[[#This Row],[claim_amount_paid]]</f>
        <v>4566.8332399999999</v>
      </c>
    </row>
    <row r="798" spans="1:27" x14ac:dyDescent="0.35">
      <c r="A798" t="s">
        <v>2433</v>
      </c>
      <c r="B798" t="s">
        <v>2434</v>
      </c>
      <c r="C798" t="s">
        <v>2435</v>
      </c>
      <c r="D798" s="1">
        <v>43256</v>
      </c>
      <c r="E798" s="1">
        <v>44166</v>
      </c>
      <c r="F798" s="1">
        <v>44171</v>
      </c>
      <c r="G798">
        <v>5</v>
      </c>
      <c r="H798">
        <v>99.99</v>
      </c>
      <c r="I798">
        <v>1199.8800000000001</v>
      </c>
      <c r="J798">
        <v>8000</v>
      </c>
      <c r="K798" t="s">
        <v>27</v>
      </c>
      <c r="L798">
        <v>8000</v>
      </c>
      <c r="M798">
        <v>3.5</v>
      </c>
      <c r="N798" t="s">
        <v>49</v>
      </c>
      <c r="O798">
        <v>42</v>
      </c>
      <c r="P798">
        <v>55</v>
      </c>
      <c r="Q798">
        <v>1</v>
      </c>
      <c r="R798">
        <v>7</v>
      </c>
      <c r="S798" t="s">
        <v>65</v>
      </c>
      <c r="T798" t="s">
        <v>30</v>
      </c>
      <c r="U798" t="s">
        <v>31</v>
      </c>
      <c r="V798" t="s">
        <v>32</v>
      </c>
      <c r="W798">
        <v>1</v>
      </c>
      <c r="X798">
        <v>0</v>
      </c>
      <c r="Y798" s="2">
        <f>Table1[[#This Row],[premium_yearly]]*Table1[[#This Row],[tenure_years]]</f>
        <v>4199.58</v>
      </c>
      <c r="Z798" s="2">
        <f>Table1[[#This Row],[total_collected_premiums]]*(1-$AD$2)</f>
        <v>3065.6933999999997</v>
      </c>
      <c r="AA798" s="2">
        <f>Table1[[#This Row],[retained_premium]]-Table1[[#This Row],[claim_amount_paid]]</f>
        <v>-4934.3065999999999</v>
      </c>
    </row>
    <row r="799" spans="1:27" x14ac:dyDescent="0.35">
      <c r="A799" t="s">
        <v>2436</v>
      </c>
      <c r="B799" t="s">
        <v>2437</v>
      </c>
      <c r="C799" t="s">
        <v>2438</v>
      </c>
      <c r="D799" s="1">
        <v>42312</v>
      </c>
      <c r="E799" s="1">
        <v>44168</v>
      </c>
      <c r="F799" s="1">
        <v>44173</v>
      </c>
      <c r="G799">
        <v>5</v>
      </c>
      <c r="H799">
        <v>139.49</v>
      </c>
      <c r="I799">
        <v>1673.88</v>
      </c>
      <c r="J799">
        <v>8000</v>
      </c>
      <c r="K799" t="s">
        <v>27</v>
      </c>
      <c r="L799">
        <v>8000</v>
      </c>
      <c r="M799">
        <v>7.75</v>
      </c>
      <c r="N799" t="s">
        <v>49</v>
      </c>
      <c r="O799">
        <v>93</v>
      </c>
      <c r="P799">
        <v>56</v>
      </c>
      <c r="Q799">
        <v>1</v>
      </c>
      <c r="R799">
        <v>3</v>
      </c>
      <c r="S799" t="s">
        <v>29</v>
      </c>
      <c r="T799" t="s">
        <v>50</v>
      </c>
      <c r="U799" t="s">
        <v>66</v>
      </c>
      <c r="V799" t="s">
        <v>45</v>
      </c>
      <c r="W799">
        <v>0</v>
      </c>
      <c r="X799">
        <v>1</v>
      </c>
      <c r="Y799" s="2">
        <f>Table1[[#This Row],[premium_yearly]]*Table1[[#This Row],[tenure_years]]</f>
        <v>12972.570000000002</v>
      </c>
      <c r="Z799" s="2">
        <f>Table1[[#This Row],[total_collected_premiums]]*(1-$AD$2)</f>
        <v>9469.9761000000017</v>
      </c>
      <c r="AA799" s="2">
        <f>Table1[[#This Row],[retained_premium]]-Table1[[#This Row],[claim_amount_paid]]</f>
        <v>1469.9761000000017</v>
      </c>
    </row>
    <row r="800" spans="1:27" x14ac:dyDescent="0.35">
      <c r="A800" t="s">
        <v>2439</v>
      </c>
      <c r="B800" t="s">
        <v>2440</v>
      </c>
      <c r="C800" t="s">
        <v>2441</v>
      </c>
      <c r="D800" s="1">
        <v>43161</v>
      </c>
      <c r="E800" s="1">
        <v>44166</v>
      </c>
      <c r="F800" s="1">
        <v>44171</v>
      </c>
      <c r="G800">
        <v>5</v>
      </c>
      <c r="H800">
        <v>111.48</v>
      </c>
      <c r="I800">
        <v>1337.76</v>
      </c>
      <c r="J800">
        <v>9000</v>
      </c>
      <c r="K800" t="s">
        <v>43</v>
      </c>
      <c r="L800">
        <v>0</v>
      </c>
      <c r="M800">
        <v>2.33</v>
      </c>
      <c r="N800" t="s">
        <v>36</v>
      </c>
      <c r="O800">
        <v>28</v>
      </c>
      <c r="P800">
        <v>50</v>
      </c>
      <c r="Q800">
        <v>1</v>
      </c>
      <c r="R800">
        <v>5</v>
      </c>
      <c r="S800" t="s">
        <v>65</v>
      </c>
      <c r="T800" t="s">
        <v>50</v>
      </c>
      <c r="U800" t="s">
        <v>107</v>
      </c>
      <c r="V800" t="s">
        <v>32</v>
      </c>
      <c r="W800">
        <v>1</v>
      </c>
      <c r="X800">
        <v>1</v>
      </c>
      <c r="Y800" s="2">
        <f>Table1[[#This Row],[premium_yearly]]*Table1[[#This Row],[tenure_years]]</f>
        <v>3116.9808000000003</v>
      </c>
      <c r="Z800" s="2">
        <f>Table1[[#This Row],[total_collected_premiums]]*(1-$AD$2)</f>
        <v>2275.3959840000002</v>
      </c>
      <c r="AA800" s="2">
        <f>Table1[[#This Row],[retained_premium]]-Table1[[#This Row],[claim_amount_paid]]</f>
        <v>2275.3959840000002</v>
      </c>
    </row>
    <row r="801" spans="1:27" x14ac:dyDescent="0.35">
      <c r="A801" t="s">
        <v>2442</v>
      </c>
      <c r="B801" t="s">
        <v>2443</v>
      </c>
      <c r="C801" t="s">
        <v>2444</v>
      </c>
      <c r="D801" s="1">
        <v>40370</v>
      </c>
      <c r="E801" s="1">
        <v>44165</v>
      </c>
      <c r="F801" s="1">
        <v>44170</v>
      </c>
      <c r="G801">
        <v>5</v>
      </c>
      <c r="H801">
        <v>121.21</v>
      </c>
      <c r="I801">
        <v>1454.52</v>
      </c>
      <c r="J801">
        <v>6000</v>
      </c>
      <c r="K801" t="s">
        <v>27</v>
      </c>
      <c r="L801">
        <v>6000</v>
      </c>
      <c r="M801">
        <v>7.75</v>
      </c>
      <c r="N801" t="s">
        <v>36</v>
      </c>
      <c r="O801">
        <v>93</v>
      </c>
      <c r="P801">
        <v>33</v>
      </c>
      <c r="Q801">
        <v>0</v>
      </c>
      <c r="R801">
        <v>3</v>
      </c>
      <c r="S801" t="s">
        <v>29</v>
      </c>
      <c r="T801" t="s">
        <v>50</v>
      </c>
      <c r="U801" t="s">
        <v>38</v>
      </c>
      <c r="V801" t="s">
        <v>45</v>
      </c>
      <c r="W801">
        <v>0</v>
      </c>
      <c r="X801">
        <v>0</v>
      </c>
      <c r="Y801" s="2">
        <f>Table1[[#This Row],[premium_yearly]]*Table1[[#This Row],[tenure_years]]</f>
        <v>11272.53</v>
      </c>
      <c r="Z801" s="2">
        <f>Table1[[#This Row],[total_collected_premiums]]*(1-$AD$2)</f>
        <v>8228.9469000000008</v>
      </c>
      <c r="AA801" s="2">
        <f>Table1[[#This Row],[retained_premium]]-Table1[[#This Row],[claim_amount_paid]]</f>
        <v>2228.9469000000008</v>
      </c>
    </row>
    <row r="802" spans="1:27" x14ac:dyDescent="0.35">
      <c r="A802" t="s">
        <v>2445</v>
      </c>
      <c r="B802" t="s">
        <v>2446</v>
      </c>
      <c r="C802" t="s">
        <v>2447</v>
      </c>
      <c r="D802" s="1">
        <v>40371</v>
      </c>
      <c r="E802" s="1">
        <v>44173</v>
      </c>
      <c r="F802" s="1">
        <v>44178</v>
      </c>
      <c r="G802">
        <v>5</v>
      </c>
      <c r="H802">
        <v>117.67</v>
      </c>
      <c r="I802">
        <v>1412.04</v>
      </c>
      <c r="J802">
        <v>9000</v>
      </c>
      <c r="K802" t="s">
        <v>27</v>
      </c>
      <c r="L802">
        <v>9000</v>
      </c>
      <c r="M802">
        <v>5.33</v>
      </c>
      <c r="N802" t="s">
        <v>49</v>
      </c>
      <c r="O802">
        <v>64</v>
      </c>
      <c r="P802">
        <v>32</v>
      </c>
      <c r="Q802">
        <v>1</v>
      </c>
      <c r="R802">
        <v>5</v>
      </c>
      <c r="S802" t="s">
        <v>29</v>
      </c>
      <c r="T802" t="s">
        <v>30</v>
      </c>
      <c r="U802" t="s">
        <v>31</v>
      </c>
      <c r="V802" t="s">
        <v>39</v>
      </c>
      <c r="W802">
        <v>1</v>
      </c>
      <c r="X802">
        <v>1</v>
      </c>
      <c r="Y802" s="2">
        <f>Table1[[#This Row],[premium_yearly]]*Table1[[#This Row],[tenure_years]]</f>
        <v>7526.1732000000002</v>
      </c>
      <c r="Z802" s="2">
        <f>Table1[[#This Row],[total_collected_premiums]]*(1-$AD$2)</f>
        <v>5494.106436</v>
      </c>
      <c r="AA802" s="2">
        <f>Table1[[#This Row],[retained_premium]]-Table1[[#This Row],[claim_amount_paid]]</f>
        <v>-3505.893564</v>
      </c>
    </row>
    <row r="803" spans="1:27" x14ac:dyDescent="0.35">
      <c r="A803" t="s">
        <v>2448</v>
      </c>
      <c r="B803" t="s">
        <v>2449</v>
      </c>
      <c r="C803" t="s">
        <v>2450</v>
      </c>
      <c r="D803" s="1">
        <v>41234</v>
      </c>
      <c r="E803" s="1">
        <v>44165</v>
      </c>
      <c r="F803" s="1">
        <v>44170</v>
      </c>
      <c r="G803">
        <v>5</v>
      </c>
      <c r="H803">
        <v>117.63</v>
      </c>
      <c r="I803">
        <v>1411.56</v>
      </c>
      <c r="J803">
        <v>1000</v>
      </c>
      <c r="K803" t="s">
        <v>27</v>
      </c>
      <c r="L803">
        <v>1000</v>
      </c>
      <c r="M803">
        <v>6.83</v>
      </c>
      <c r="N803" t="s">
        <v>36</v>
      </c>
      <c r="O803">
        <v>82</v>
      </c>
      <c r="P803">
        <v>42</v>
      </c>
      <c r="Q803">
        <v>1</v>
      </c>
      <c r="R803">
        <v>3</v>
      </c>
      <c r="S803" t="s">
        <v>37</v>
      </c>
      <c r="T803" t="s">
        <v>50</v>
      </c>
      <c r="U803" t="s">
        <v>58</v>
      </c>
      <c r="V803" t="s">
        <v>39</v>
      </c>
      <c r="W803">
        <v>1</v>
      </c>
      <c r="X803">
        <v>1</v>
      </c>
      <c r="Y803" s="2">
        <f>Table1[[#This Row],[premium_yearly]]*Table1[[#This Row],[tenure_years]]</f>
        <v>9640.9547999999995</v>
      </c>
      <c r="Z803" s="2">
        <f>Table1[[#This Row],[total_collected_premiums]]*(1-$AD$2)</f>
        <v>7037.8970039999995</v>
      </c>
      <c r="AA803" s="2">
        <f>Table1[[#This Row],[retained_premium]]-Table1[[#This Row],[claim_amount_paid]]</f>
        <v>6037.8970039999995</v>
      </c>
    </row>
    <row r="804" spans="1:27" x14ac:dyDescent="0.35">
      <c r="A804" t="s">
        <v>2451</v>
      </c>
      <c r="B804" t="s">
        <v>2452</v>
      </c>
      <c r="C804" t="s">
        <v>2453</v>
      </c>
      <c r="D804" s="1">
        <v>40346</v>
      </c>
      <c r="E804" s="1">
        <v>44177</v>
      </c>
      <c r="F804" s="1">
        <v>44179</v>
      </c>
      <c r="G804">
        <v>2</v>
      </c>
      <c r="H804">
        <v>82.89</v>
      </c>
      <c r="I804">
        <v>994.68</v>
      </c>
      <c r="J804">
        <v>2000</v>
      </c>
      <c r="K804" t="s">
        <v>27</v>
      </c>
      <c r="L804">
        <v>2000</v>
      </c>
      <c r="M804">
        <v>7.83</v>
      </c>
      <c r="N804" t="s">
        <v>36</v>
      </c>
      <c r="O804">
        <v>94</v>
      </c>
      <c r="P804">
        <v>44</v>
      </c>
      <c r="Q804">
        <v>1</v>
      </c>
      <c r="R804">
        <v>2</v>
      </c>
      <c r="S804" t="s">
        <v>29</v>
      </c>
      <c r="T804" t="s">
        <v>50</v>
      </c>
      <c r="U804" t="s">
        <v>51</v>
      </c>
      <c r="V804" t="s">
        <v>39</v>
      </c>
      <c r="W804">
        <v>0</v>
      </c>
      <c r="X804">
        <v>1</v>
      </c>
      <c r="Y804" s="2">
        <f>Table1[[#This Row],[premium_yearly]]*Table1[[#This Row],[tenure_years]]</f>
        <v>7788.3444</v>
      </c>
      <c r="Z804" s="2">
        <f>Table1[[#This Row],[total_collected_premiums]]*(1-$AD$2)</f>
        <v>5685.4914119999994</v>
      </c>
      <c r="AA804" s="2">
        <f>Table1[[#This Row],[retained_premium]]-Table1[[#This Row],[claim_amount_paid]]</f>
        <v>3685.4914119999994</v>
      </c>
    </row>
    <row r="805" spans="1:27" x14ac:dyDescent="0.35">
      <c r="A805" t="s">
        <v>2454</v>
      </c>
      <c r="B805" t="s">
        <v>2455</v>
      </c>
      <c r="C805" t="s">
        <v>2456</v>
      </c>
      <c r="D805" s="1">
        <v>42459</v>
      </c>
      <c r="E805" s="1">
        <v>44172</v>
      </c>
      <c r="F805" s="1">
        <v>44177</v>
      </c>
      <c r="G805">
        <v>5</v>
      </c>
      <c r="H805">
        <v>76.14</v>
      </c>
      <c r="I805">
        <v>913.68</v>
      </c>
      <c r="J805">
        <v>7000</v>
      </c>
      <c r="K805" t="s">
        <v>27</v>
      </c>
      <c r="L805">
        <v>7000</v>
      </c>
      <c r="M805">
        <v>7.92</v>
      </c>
      <c r="N805" t="s">
        <v>28</v>
      </c>
      <c r="O805">
        <v>95</v>
      </c>
      <c r="P805">
        <v>57</v>
      </c>
      <c r="Q805">
        <v>0</v>
      </c>
      <c r="R805">
        <v>7</v>
      </c>
      <c r="S805" t="s">
        <v>37</v>
      </c>
      <c r="T805" t="s">
        <v>30</v>
      </c>
      <c r="U805" t="s">
        <v>31</v>
      </c>
      <c r="V805" t="s">
        <v>32</v>
      </c>
      <c r="W805">
        <v>0</v>
      </c>
      <c r="X805">
        <v>1</v>
      </c>
      <c r="Y805" s="2">
        <f>Table1[[#This Row],[premium_yearly]]*Table1[[#This Row],[tenure_years]]</f>
        <v>7236.3455999999996</v>
      </c>
      <c r="Z805" s="2">
        <f>Table1[[#This Row],[total_collected_premiums]]*(1-$AD$2)</f>
        <v>5282.5322879999994</v>
      </c>
      <c r="AA805" s="2">
        <f>Table1[[#This Row],[retained_premium]]-Table1[[#This Row],[claim_amount_paid]]</f>
        <v>-1717.4677120000006</v>
      </c>
    </row>
    <row r="806" spans="1:27" x14ac:dyDescent="0.35">
      <c r="A806" t="s">
        <v>2457</v>
      </c>
      <c r="B806" t="s">
        <v>2458</v>
      </c>
      <c r="C806" t="s">
        <v>2459</v>
      </c>
      <c r="D806" s="1">
        <v>41118</v>
      </c>
      <c r="E806" s="1">
        <v>44179</v>
      </c>
      <c r="F806" s="1">
        <v>44181</v>
      </c>
      <c r="G806">
        <v>2</v>
      </c>
      <c r="H806">
        <v>74.98</v>
      </c>
      <c r="I806">
        <v>899.76</v>
      </c>
      <c r="J806">
        <v>9000</v>
      </c>
      <c r="K806" t="s">
        <v>27</v>
      </c>
      <c r="L806">
        <v>9000</v>
      </c>
      <c r="M806">
        <v>4.83</v>
      </c>
      <c r="N806" t="s">
        <v>49</v>
      </c>
      <c r="O806">
        <v>58</v>
      </c>
      <c r="P806">
        <v>41</v>
      </c>
      <c r="Q806">
        <v>1</v>
      </c>
      <c r="R806">
        <v>4</v>
      </c>
      <c r="S806" t="s">
        <v>65</v>
      </c>
      <c r="T806" t="s">
        <v>30</v>
      </c>
      <c r="U806" t="s">
        <v>107</v>
      </c>
      <c r="V806" t="s">
        <v>39</v>
      </c>
      <c r="W806">
        <v>1</v>
      </c>
      <c r="X806">
        <v>1</v>
      </c>
      <c r="Y806" s="2">
        <f>Table1[[#This Row],[premium_yearly]]*Table1[[#This Row],[tenure_years]]</f>
        <v>4345.8407999999999</v>
      </c>
      <c r="Z806" s="2">
        <f>Table1[[#This Row],[total_collected_premiums]]*(1-$AD$2)</f>
        <v>3172.463784</v>
      </c>
      <c r="AA806" s="2">
        <f>Table1[[#This Row],[retained_premium]]-Table1[[#This Row],[claim_amount_paid]]</f>
        <v>-5827.5362160000004</v>
      </c>
    </row>
    <row r="807" spans="1:27" x14ac:dyDescent="0.35">
      <c r="A807" t="s">
        <v>2460</v>
      </c>
      <c r="B807" t="s">
        <v>2461</v>
      </c>
      <c r="C807" t="s">
        <v>2462</v>
      </c>
      <c r="D807" s="1">
        <v>41204</v>
      </c>
      <c r="E807" s="1">
        <v>44172</v>
      </c>
      <c r="F807" s="1">
        <v>44177</v>
      </c>
      <c r="G807">
        <v>5</v>
      </c>
      <c r="H807">
        <v>95.63</v>
      </c>
      <c r="I807">
        <v>1147.56</v>
      </c>
      <c r="J807">
        <v>1000</v>
      </c>
      <c r="K807" t="s">
        <v>27</v>
      </c>
      <c r="L807">
        <v>1000</v>
      </c>
      <c r="M807">
        <v>6</v>
      </c>
      <c r="N807" t="s">
        <v>49</v>
      </c>
      <c r="O807">
        <v>72</v>
      </c>
      <c r="P807">
        <v>54</v>
      </c>
      <c r="Q807">
        <v>0</v>
      </c>
      <c r="R807">
        <v>7</v>
      </c>
      <c r="S807" t="s">
        <v>29</v>
      </c>
      <c r="T807" t="s">
        <v>44</v>
      </c>
      <c r="U807" t="s">
        <v>38</v>
      </c>
      <c r="V807" t="s">
        <v>32</v>
      </c>
      <c r="W807">
        <v>1</v>
      </c>
      <c r="X807">
        <v>1</v>
      </c>
      <c r="Y807" s="2">
        <f>Table1[[#This Row],[premium_yearly]]*Table1[[#This Row],[tenure_years]]</f>
        <v>6885.36</v>
      </c>
      <c r="Z807" s="2">
        <f>Table1[[#This Row],[total_collected_premiums]]*(1-$AD$2)</f>
        <v>5026.3127999999997</v>
      </c>
      <c r="AA807" s="2">
        <f>Table1[[#This Row],[retained_premium]]-Table1[[#This Row],[claim_amount_paid]]</f>
        <v>4026.3127999999997</v>
      </c>
    </row>
    <row r="808" spans="1:27" x14ac:dyDescent="0.35">
      <c r="A808" t="s">
        <v>2463</v>
      </c>
      <c r="B808" t="s">
        <v>2464</v>
      </c>
      <c r="C808" t="s">
        <v>2465</v>
      </c>
      <c r="D808" s="1">
        <v>43778</v>
      </c>
      <c r="E808" s="1">
        <v>44181</v>
      </c>
      <c r="F808" s="1">
        <v>44182</v>
      </c>
      <c r="G808">
        <v>1</v>
      </c>
      <c r="H808">
        <v>115.86</v>
      </c>
      <c r="I808">
        <v>1390.32</v>
      </c>
      <c r="J808">
        <v>10000</v>
      </c>
      <c r="K808" t="s">
        <v>27</v>
      </c>
      <c r="L808">
        <v>10000</v>
      </c>
      <c r="M808">
        <v>4.83</v>
      </c>
      <c r="N808" t="s">
        <v>49</v>
      </c>
      <c r="O808">
        <v>58</v>
      </c>
      <c r="P808">
        <v>29</v>
      </c>
      <c r="Q808">
        <v>1</v>
      </c>
      <c r="R808">
        <v>3</v>
      </c>
      <c r="S808" t="s">
        <v>29</v>
      </c>
      <c r="T808" t="s">
        <v>44</v>
      </c>
      <c r="U808" t="s">
        <v>31</v>
      </c>
      <c r="V808" t="s">
        <v>32</v>
      </c>
      <c r="W808">
        <v>1</v>
      </c>
      <c r="X808">
        <v>1</v>
      </c>
      <c r="Y808" s="2">
        <f>Table1[[#This Row],[premium_yearly]]*Table1[[#This Row],[tenure_years]]</f>
        <v>6715.2456000000002</v>
      </c>
      <c r="Z808" s="2">
        <f>Table1[[#This Row],[total_collected_premiums]]*(1-$AD$2)</f>
        <v>4902.1292880000001</v>
      </c>
      <c r="AA808" s="2">
        <f>Table1[[#This Row],[retained_premium]]-Table1[[#This Row],[claim_amount_paid]]</f>
        <v>-5097.8707119999999</v>
      </c>
    </row>
    <row r="809" spans="1:27" x14ac:dyDescent="0.35">
      <c r="A809" t="s">
        <v>2466</v>
      </c>
      <c r="B809" t="s">
        <v>2467</v>
      </c>
      <c r="C809" t="s">
        <v>2468</v>
      </c>
      <c r="D809" s="1">
        <v>40550</v>
      </c>
      <c r="E809" s="1">
        <v>44169</v>
      </c>
      <c r="F809" s="1">
        <v>44174</v>
      </c>
      <c r="G809">
        <v>5</v>
      </c>
      <c r="H809">
        <v>102.29</v>
      </c>
      <c r="I809">
        <v>1227.48</v>
      </c>
      <c r="J809">
        <v>3000</v>
      </c>
      <c r="K809" t="s">
        <v>27</v>
      </c>
      <c r="L809">
        <v>3000</v>
      </c>
      <c r="M809">
        <v>1.92</v>
      </c>
      <c r="N809" t="s">
        <v>28</v>
      </c>
      <c r="O809">
        <v>23</v>
      </c>
      <c r="P809">
        <v>36</v>
      </c>
      <c r="Q809">
        <v>0</v>
      </c>
      <c r="R809">
        <v>3</v>
      </c>
      <c r="S809" t="s">
        <v>65</v>
      </c>
      <c r="T809" t="s">
        <v>30</v>
      </c>
      <c r="U809" t="s">
        <v>31</v>
      </c>
      <c r="V809" t="s">
        <v>45</v>
      </c>
      <c r="W809">
        <v>1</v>
      </c>
      <c r="X809">
        <v>1</v>
      </c>
      <c r="Y809" s="2">
        <f>Table1[[#This Row],[premium_yearly]]*Table1[[#This Row],[tenure_years]]</f>
        <v>2356.7615999999998</v>
      </c>
      <c r="Z809" s="2">
        <f>Table1[[#This Row],[total_collected_premiums]]*(1-$AD$2)</f>
        <v>1720.4359679999998</v>
      </c>
      <c r="AA809" s="2">
        <f>Table1[[#This Row],[retained_premium]]-Table1[[#This Row],[claim_amount_paid]]</f>
        <v>-1279.5640320000002</v>
      </c>
    </row>
    <row r="810" spans="1:27" x14ac:dyDescent="0.35">
      <c r="A810" t="s">
        <v>2469</v>
      </c>
      <c r="B810" t="s">
        <v>2470</v>
      </c>
      <c r="C810" t="s">
        <v>2471</v>
      </c>
      <c r="D810" s="1">
        <v>43231</v>
      </c>
      <c r="E810" s="1">
        <v>44180</v>
      </c>
      <c r="F810" s="1">
        <v>44182</v>
      </c>
      <c r="G810">
        <v>2</v>
      </c>
      <c r="H810">
        <v>103.98</v>
      </c>
      <c r="I810">
        <v>1247.76</v>
      </c>
      <c r="J810">
        <v>8000</v>
      </c>
      <c r="K810" t="s">
        <v>27</v>
      </c>
      <c r="L810">
        <v>8000</v>
      </c>
      <c r="M810">
        <v>4.5</v>
      </c>
      <c r="N810" t="s">
        <v>36</v>
      </c>
      <c r="O810">
        <v>54</v>
      </c>
      <c r="P810">
        <v>44</v>
      </c>
      <c r="Q810">
        <v>1</v>
      </c>
      <c r="R810">
        <v>3</v>
      </c>
      <c r="S810" t="s">
        <v>65</v>
      </c>
      <c r="T810" t="s">
        <v>30</v>
      </c>
      <c r="U810" t="s">
        <v>38</v>
      </c>
      <c r="V810" t="s">
        <v>32</v>
      </c>
      <c r="W810">
        <v>1</v>
      </c>
      <c r="X810">
        <v>0</v>
      </c>
      <c r="Y810" s="2">
        <f>Table1[[#This Row],[premium_yearly]]*Table1[[#This Row],[tenure_years]]</f>
        <v>5614.92</v>
      </c>
      <c r="Z810" s="2">
        <f>Table1[[#This Row],[total_collected_premiums]]*(1-$AD$2)</f>
        <v>4098.8915999999999</v>
      </c>
      <c r="AA810" s="2">
        <f>Table1[[#This Row],[retained_premium]]-Table1[[#This Row],[claim_amount_paid]]</f>
        <v>-3901.1084000000001</v>
      </c>
    </row>
    <row r="811" spans="1:27" x14ac:dyDescent="0.35">
      <c r="A811" t="s">
        <v>2472</v>
      </c>
      <c r="B811" t="s">
        <v>2473</v>
      </c>
      <c r="C811" t="s">
        <v>2474</v>
      </c>
      <c r="D811" s="1">
        <v>41170</v>
      </c>
      <c r="E811" s="1">
        <v>44176</v>
      </c>
      <c r="F811" s="1">
        <v>44179</v>
      </c>
      <c r="G811">
        <v>3</v>
      </c>
      <c r="H811">
        <v>138.88999999999999</v>
      </c>
      <c r="I811">
        <v>1666.68</v>
      </c>
      <c r="J811">
        <v>9000</v>
      </c>
      <c r="K811" t="s">
        <v>43</v>
      </c>
      <c r="L811">
        <v>0</v>
      </c>
      <c r="M811">
        <v>7.33</v>
      </c>
      <c r="N811" t="s">
        <v>36</v>
      </c>
      <c r="O811">
        <v>88</v>
      </c>
      <c r="P811">
        <v>56</v>
      </c>
      <c r="Q811">
        <v>0</v>
      </c>
      <c r="R811">
        <v>2</v>
      </c>
      <c r="S811" t="s">
        <v>65</v>
      </c>
      <c r="T811" t="s">
        <v>30</v>
      </c>
      <c r="U811" t="s">
        <v>66</v>
      </c>
      <c r="V811" t="s">
        <v>45</v>
      </c>
      <c r="W811">
        <v>1</v>
      </c>
      <c r="X811">
        <v>1</v>
      </c>
      <c r="Y811" s="2">
        <f>Table1[[#This Row],[premium_yearly]]*Table1[[#This Row],[tenure_years]]</f>
        <v>12216.7644</v>
      </c>
      <c r="Z811" s="2">
        <f>Table1[[#This Row],[total_collected_premiums]]*(1-$AD$2)</f>
        <v>8918.2380119999998</v>
      </c>
      <c r="AA811" s="2">
        <f>Table1[[#This Row],[retained_premium]]-Table1[[#This Row],[claim_amount_paid]]</f>
        <v>8918.2380119999998</v>
      </c>
    </row>
    <row r="812" spans="1:27" x14ac:dyDescent="0.35">
      <c r="A812" t="s">
        <v>2475</v>
      </c>
      <c r="B812" t="s">
        <v>2476</v>
      </c>
      <c r="C812" t="s">
        <v>2477</v>
      </c>
      <c r="D812" s="1">
        <v>40738</v>
      </c>
      <c r="E812" s="1">
        <v>44183</v>
      </c>
      <c r="F812" s="1">
        <v>44183</v>
      </c>
      <c r="G812">
        <v>0</v>
      </c>
      <c r="H812">
        <v>134.15</v>
      </c>
      <c r="I812">
        <v>1609.8</v>
      </c>
      <c r="J812">
        <v>8000</v>
      </c>
      <c r="K812" t="s">
        <v>27</v>
      </c>
      <c r="L812">
        <v>8000</v>
      </c>
      <c r="M812">
        <v>8.25</v>
      </c>
      <c r="N812" t="s">
        <v>36</v>
      </c>
      <c r="O812">
        <v>99</v>
      </c>
      <c r="P812">
        <v>44</v>
      </c>
      <c r="Q812">
        <v>0</v>
      </c>
      <c r="R812">
        <v>4</v>
      </c>
      <c r="S812" t="s">
        <v>29</v>
      </c>
      <c r="T812" t="s">
        <v>44</v>
      </c>
      <c r="U812" t="s">
        <v>58</v>
      </c>
      <c r="V812" t="s">
        <v>32</v>
      </c>
      <c r="W812">
        <v>1</v>
      </c>
      <c r="X812">
        <v>1</v>
      </c>
      <c r="Y812" s="2">
        <f>Table1[[#This Row],[premium_yearly]]*Table1[[#This Row],[tenure_years]]</f>
        <v>13280.85</v>
      </c>
      <c r="Z812" s="2">
        <f>Table1[[#This Row],[total_collected_premiums]]*(1-$AD$2)</f>
        <v>9695.0205000000005</v>
      </c>
      <c r="AA812" s="2">
        <f>Table1[[#This Row],[retained_premium]]-Table1[[#This Row],[claim_amount_paid]]</f>
        <v>1695.0205000000005</v>
      </c>
    </row>
    <row r="813" spans="1:27" x14ac:dyDescent="0.35">
      <c r="A813" t="s">
        <v>2478</v>
      </c>
      <c r="B813" t="s">
        <v>2479</v>
      </c>
      <c r="C813" t="s">
        <v>2480</v>
      </c>
      <c r="D813" s="1">
        <v>41561</v>
      </c>
      <c r="E813" s="1">
        <v>44173</v>
      </c>
      <c r="F813" s="1">
        <v>44178</v>
      </c>
      <c r="G813">
        <v>5</v>
      </c>
      <c r="H813">
        <v>136.76</v>
      </c>
      <c r="I813">
        <v>1641.12</v>
      </c>
      <c r="J813">
        <v>9000</v>
      </c>
      <c r="K813" t="s">
        <v>27</v>
      </c>
      <c r="L813">
        <v>9000</v>
      </c>
      <c r="M813">
        <v>8.5</v>
      </c>
      <c r="N813" t="s">
        <v>28</v>
      </c>
      <c r="O813">
        <v>102</v>
      </c>
      <c r="P813">
        <v>36</v>
      </c>
      <c r="Q813">
        <v>1</v>
      </c>
      <c r="R813">
        <v>5</v>
      </c>
      <c r="S813" t="s">
        <v>65</v>
      </c>
      <c r="T813" t="s">
        <v>30</v>
      </c>
      <c r="U813" t="s">
        <v>38</v>
      </c>
      <c r="V813" t="s">
        <v>39</v>
      </c>
      <c r="W813">
        <v>1</v>
      </c>
      <c r="X813">
        <v>1</v>
      </c>
      <c r="Y813" s="2">
        <f>Table1[[#This Row],[premium_yearly]]*Table1[[#This Row],[tenure_years]]</f>
        <v>13949.519999999999</v>
      </c>
      <c r="Z813" s="2">
        <f>Table1[[#This Row],[total_collected_premiums]]*(1-$AD$2)</f>
        <v>10183.149599999999</v>
      </c>
      <c r="AA813" s="2">
        <f>Table1[[#This Row],[retained_premium]]-Table1[[#This Row],[claim_amount_paid]]</f>
        <v>1183.1495999999988</v>
      </c>
    </row>
    <row r="814" spans="1:27" x14ac:dyDescent="0.35">
      <c r="A814" t="s">
        <v>2481</v>
      </c>
      <c r="B814" t="s">
        <v>2482</v>
      </c>
      <c r="C814" t="s">
        <v>2483</v>
      </c>
      <c r="D814" s="1">
        <v>40886</v>
      </c>
      <c r="E814" s="1">
        <v>44179</v>
      </c>
      <c r="F814" s="1">
        <v>44181</v>
      </c>
      <c r="G814">
        <v>2</v>
      </c>
      <c r="H814">
        <v>79.61</v>
      </c>
      <c r="I814">
        <v>955.32</v>
      </c>
      <c r="J814">
        <v>2000</v>
      </c>
      <c r="K814" t="s">
        <v>27</v>
      </c>
      <c r="L814">
        <v>2000</v>
      </c>
      <c r="M814">
        <v>9.42</v>
      </c>
      <c r="N814" t="s">
        <v>49</v>
      </c>
      <c r="O814">
        <v>113</v>
      </c>
      <c r="P814">
        <v>52</v>
      </c>
      <c r="Q814">
        <v>0</v>
      </c>
      <c r="R814">
        <v>2</v>
      </c>
      <c r="S814" t="s">
        <v>29</v>
      </c>
      <c r="T814" t="s">
        <v>30</v>
      </c>
      <c r="U814" t="s">
        <v>38</v>
      </c>
      <c r="V814" t="s">
        <v>39</v>
      </c>
      <c r="W814">
        <v>0</v>
      </c>
      <c r="X814">
        <v>1</v>
      </c>
      <c r="Y814" s="2">
        <f>Table1[[#This Row],[premium_yearly]]*Table1[[#This Row],[tenure_years]]</f>
        <v>8999.1144000000004</v>
      </c>
      <c r="Z814" s="2">
        <f>Table1[[#This Row],[total_collected_premiums]]*(1-$AD$2)</f>
        <v>6569.3535119999997</v>
      </c>
      <c r="AA814" s="2">
        <f>Table1[[#This Row],[retained_premium]]-Table1[[#This Row],[claim_amount_paid]]</f>
        <v>4569.3535119999997</v>
      </c>
    </row>
    <row r="815" spans="1:27" x14ac:dyDescent="0.35">
      <c r="A815" t="s">
        <v>2484</v>
      </c>
      <c r="B815" t="s">
        <v>2485</v>
      </c>
      <c r="C815" t="s">
        <v>2486</v>
      </c>
      <c r="D815" s="1">
        <v>40835</v>
      </c>
      <c r="E815" s="1">
        <v>44167</v>
      </c>
      <c r="F815" s="1">
        <v>44172</v>
      </c>
      <c r="G815">
        <v>5</v>
      </c>
      <c r="H815">
        <v>111.27</v>
      </c>
      <c r="I815">
        <v>1335.24</v>
      </c>
      <c r="J815">
        <v>6000</v>
      </c>
      <c r="K815" t="s">
        <v>27</v>
      </c>
      <c r="L815">
        <v>6000</v>
      </c>
      <c r="M815">
        <v>5.67</v>
      </c>
      <c r="N815" t="s">
        <v>28</v>
      </c>
      <c r="O815">
        <v>68</v>
      </c>
      <c r="P815">
        <v>48</v>
      </c>
      <c r="Q815">
        <v>1</v>
      </c>
      <c r="R815">
        <v>2</v>
      </c>
      <c r="S815" t="s">
        <v>65</v>
      </c>
      <c r="T815" t="s">
        <v>44</v>
      </c>
      <c r="U815" t="s">
        <v>58</v>
      </c>
      <c r="V815" t="s">
        <v>39</v>
      </c>
      <c r="W815">
        <v>1</v>
      </c>
      <c r="X815">
        <v>1</v>
      </c>
      <c r="Y815" s="2">
        <f>Table1[[#This Row],[premium_yearly]]*Table1[[#This Row],[tenure_years]]</f>
        <v>7570.8108000000002</v>
      </c>
      <c r="Z815" s="2">
        <f>Table1[[#This Row],[total_collected_premiums]]*(1-$AD$2)</f>
        <v>5526.6918839999998</v>
      </c>
      <c r="AA815" s="2">
        <f>Table1[[#This Row],[retained_premium]]-Table1[[#This Row],[claim_amount_paid]]</f>
        <v>-473.30811600000015</v>
      </c>
    </row>
    <row r="816" spans="1:27" x14ac:dyDescent="0.35">
      <c r="A816" t="s">
        <v>2487</v>
      </c>
      <c r="B816" t="s">
        <v>2488</v>
      </c>
      <c r="C816" t="s">
        <v>2489</v>
      </c>
      <c r="D816" s="1">
        <v>40346</v>
      </c>
      <c r="E816" s="1">
        <v>44170</v>
      </c>
      <c r="F816" s="1">
        <v>44175</v>
      </c>
      <c r="G816">
        <v>5</v>
      </c>
      <c r="H816">
        <v>89.24</v>
      </c>
      <c r="I816">
        <v>1070.8800000000001</v>
      </c>
      <c r="J816">
        <v>9000</v>
      </c>
      <c r="K816" t="s">
        <v>43</v>
      </c>
      <c r="L816">
        <v>0</v>
      </c>
      <c r="M816">
        <v>9</v>
      </c>
      <c r="N816" t="s">
        <v>28</v>
      </c>
      <c r="O816">
        <v>108</v>
      </c>
      <c r="P816">
        <v>31</v>
      </c>
      <c r="Q816">
        <v>0</v>
      </c>
      <c r="R816">
        <v>7</v>
      </c>
      <c r="S816" t="s">
        <v>29</v>
      </c>
      <c r="T816" t="s">
        <v>50</v>
      </c>
      <c r="U816" t="s">
        <v>66</v>
      </c>
      <c r="V816" t="s">
        <v>39</v>
      </c>
      <c r="W816">
        <v>0</v>
      </c>
      <c r="X816">
        <v>0</v>
      </c>
      <c r="Y816" s="2">
        <f>Table1[[#This Row],[premium_yearly]]*Table1[[#This Row],[tenure_years]]</f>
        <v>9637.9200000000019</v>
      </c>
      <c r="Z816" s="2">
        <f>Table1[[#This Row],[total_collected_premiums]]*(1-$AD$2)</f>
        <v>7035.6816000000008</v>
      </c>
      <c r="AA816" s="2">
        <f>Table1[[#This Row],[retained_premium]]-Table1[[#This Row],[claim_amount_paid]]</f>
        <v>7035.6816000000008</v>
      </c>
    </row>
    <row r="817" spans="1:27" x14ac:dyDescent="0.35">
      <c r="A817" t="s">
        <v>2490</v>
      </c>
      <c r="B817" t="s">
        <v>2491</v>
      </c>
      <c r="C817" t="s">
        <v>2492</v>
      </c>
      <c r="D817" s="1">
        <v>40973</v>
      </c>
      <c r="E817" s="1">
        <v>44181</v>
      </c>
      <c r="F817" s="1">
        <v>44183</v>
      </c>
      <c r="G817">
        <v>2</v>
      </c>
      <c r="H817">
        <v>71.67</v>
      </c>
      <c r="I817">
        <v>860.04</v>
      </c>
      <c r="J817">
        <v>10000</v>
      </c>
      <c r="K817" t="s">
        <v>27</v>
      </c>
      <c r="L817">
        <v>10000</v>
      </c>
      <c r="M817">
        <v>3.67</v>
      </c>
      <c r="N817" t="s">
        <v>49</v>
      </c>
      <c r="O817">
        <v>44</v>
      </c>
      <c r="P817">
        <v>29</v>
      </c>
      <c r="Q817">
        <v>1</v>
      </c>
      <c r="R817">
        <v>6</v>
      </c>
      <c r="S817" t="s">
        <v>29</v>
      </c>
      <c r="T817" t="s">
        <v>50</v>
      </c>
      <c r="U817" t="s">
        <v>38</v>
      </c>
      <c r="V817" t="s">
        <v>32</v>
      </c>
      <c r="W817">
        <v>0</v>
      </c>
      <c r="X817">
        <v>1</v>
      </c>
      <c r="Y817" s="2">
        <f>Table1[[#This Row],[premium_yearly]]*Table1[[#This Row],[tenure_years]]</f>
        <v>3156.3467999999998</v>
      </c>
      <c r="Z817" s="2">
        <f>Table1[[#This Row],[total_collected_premiums]]*(1-$AD$2)</f>
        <v>2304.1331639999999</v>
      </c>
      <c r="AA817" s="2">
        <f>Table1[[#This Row],[retained_premium]]-Table1[[#This Row],[claim_amount_paid]]</f>
        <v>-7695.8668360000001</v>
      </c>
    </row>
    <row r="818" spans="1:27" x14ac:dyDescent="0.35">
      <c r="A818" t="s">
        <v>2493</v>
      </c>
      <c r="B818" t="s">
        <v>2494</v>
      </c>
      <c r="C818" t="s">
        <v>2495</v>
      </c>
      <c r="D818" s="1">
        <v>43251</v>
      </c>
      <c r="E818" s="1">
        <v>44176</v>
      </c>
      <c r="F818" s="1">
        <v>44181</v>
      </c>
      <c r="G818">
        <v>5</v>
      </c>
      <c r="H818">
        <v>135.01</v>
      </c>
      <c r="I818">
        <v>1620.12</v>
      </c>
      <c r="J818">
        <v>5000</v>
      </c>
      <c r="K818" t="s">
        <v>27</v>
      </c>
      <c r="L818">
        <v>5000</v>
      </c>
      <c r="M818">
        <v>2.08</v>
      </c>
      <c r="N818" t="s">
        <v>28</v>
      </c>
      <c r="O818">
        <v>25</v>
      </c>
      <c r="P818">
        <v>64</v>
      </c>
      <c r="Q818">
        <v>1</v>
      </c>
      <c r="R818">
        <v>4</v>
      </c>
      <c r="S818" t="s">
        <v>29</v>
      </c>
      <c r="T818" t="s">
        <v>30</v>
      </c>
      <c r="U818" t="s">
        <v>107</v>
      </c>
      <c r="V818" t="s">
        <v>45</v>
      </c>
      <c r="W818">
        <v>0</v>
      </c>
      <c r="X818">
        <v>1</v>
      </c>
      <c r="Y818" s="2">
        <f>Table1[[#This Row],[premium_yearly]]*Table1[[#This Row],[tenure_years]]</f>
        <v>3369.8496</v>
      </c>
      <c r="Z818" s="2">
        <f>Table1[[#This Row],[total_collected_premiums]]*(1-$AD$2)</f>
        <v>2459.9902080000002</v>
      </c>
      <c r="AA818" s="2">
        <f>Table1[[#This Row],[retained_premium]]-Table1[[#This Row],[claim_amount_paid]]</f>
        <v>-2540.0097919999998</v>
      </c>
    </row>
    <row r="819" spans="1:27" x14ac:dyDescent="0.35">
      <c r="A819" t="s">
        <v>2496</v>
      </c>
      <c r="B819" t="s">
        <v>2497</v>
      </c>
      <c r="C819" t="s">
        <v>2498</v>
      </c>
      <c r="D819" s="1">
        <v>42235</v>
      </c>
      <c r="E819" s="1">
        <v>44177</v>
      </c>
      <c r="F819" s="1">
        <v>44180</v>
      </c>
      <c r="G819">
        <v>3</v>
      </c>
      <c r="H819">
        <v>103.73</v>
      </c>
      <c r="I819">
        <v>1244.76</v>
      </c>
      <c r="J819">
        <v>1000</v>
      </c>
      <c r="K819" t="s">
        <v>27</v>
      </c>
      <c r="L819">
        <v>1000</v>
      </c>
      <c r="M819">
        <v>2.17</v>
      </c>
      <c r="N819" t="s">
        <v>28</v>
      </c>
      <c r="O819">
        <v>26</v>
      </c>
      <c r="P819">
        <v>64</v>
      </c>
      <c r="Q819">
        <v>1</v>
      </c>
      <c r="R819">
        <v>6</v>
      </c>
      <c r="S819" t="s">
        <v>37</v>
      </c>
      <c r="T819" t="s">
        <v>30</v>
      </c>
      <c r="U819" t="s">
        <v>31</v>
      </c>
      <c r="V819" t="s">
        <v>45</v>
      </c>
      <c r="W819">
        <v>1</v>
      </c>
      <c r="X819">
        <v>1</v>
      </c>
      <c r="Y819" s="2">
        <f>Table1[[#This Row],[premium_yearly]]*Table1[[#This Row],[tenure_years]]</f>
        <v>2701.1291999999999</v>
      </c>
      <c r="Z819" s="2">
        <f>Table1[[#This Row],[total_collected_premiums]]*(1-$AD$2)</f>
        <v>1971.824316</v>
      </c>
      <c r="AA819" s="2">
        <f>Table1[[#This Row],[retained_premium]]-Table1[[#This Row],[claim_amount_paid]]</f>
        <v>971.82431599999995</v>
      </c>
    </row>
    <row r="820" spans="1:27" x14ac:dyDescent="0.35">
      <c r="A820" t="s">
        <v>2499</v>
      </c>
      <c r="B820" t="s">
        <v>2500</v>
      </c>
      <c r="C820" t="s">
        <v>2501</v>
      </c>
      <c r="D820" s="1">
        <v>41233</v>
      </c>
      <c r="E820" s="1">
        <v>44177</v>
      </c>
      <c r="F820" s="1">
        <v>44182</v>
      </c>
      <c r="G820">
        <v>5</v>
      </c>
      <c r="H820">
        <v>88.74</v>
      </c>
      <c r="I820">
        <v>1064.8800000000001</v>
      </c>
      <c r="J820">
        <v>10000</v>
      </c>
      <c r="K820" t="s">
        <v>27</v>
      </c>
      <c r="L820">
        <v>10000</v>
      </c>
      <c r="M820">
        <v>8.92</v>
      </c>
      <c r="N820" t="s">
        <v>28</v>
      </c>
      <c r="O820">
        <v>107</v>
      </c>
      <c r="P820">
        <v>36</v>
      </c>
      <c r="Q820">
        <v>1</v>
      </c>
      <c r="R820">
        <v>6</v>
      </c>
      <c r="S820" t="s">
        <v>29</v>
      </c>
      <c r="T820" t="s">
        <v>44</v>
      </c>
      <c r="U820" t="s">
        <v>58</v>
      </c>
      <c r="V820" t="s">
        <v>39</v>
      </c>
      <c r="W820">
        <v>1</v>
      </c>
      <c r="X820">
        <v>1</v>
      </c>
      <c r="Y820" s="2">
        <f>Table1[[#This Row],[premium_yearly]]*Table1[[#This Row],[tenure_years]]</f>
        <v>9498.7296000000006</v>
      </c>
      <c r="Z820" s="2">
        <f>Table1[[#This Row],[total_collected_premiums]]*(1-$AD$2)</f>
        <v>6934.0726080000004</v>
      </c>
      <c r="AA820" s="2">
        <f>Table1[[#This Row],[retained_premium]]-Table1[[#This Row],[claim_amount_paid]]</f>
        <v>-3065.9273919999996</v>
      </c>
    </row>
    <row r="821" spans="1:27" x14ac:dyDescent="0.35">
      <c r="A821" t="s">
        <v>2502</v>
      </c>
      <c r="B821" t="s">
        <v>2503</v>
      </c>
      <c r="C821" t="s">
        <v>2504</v>
      </c>
      <c r="D821" s="1">
        <v>42983</v>
      </c>
      <c r="E821" s="1">
        <v>44183</v>
      </c>
      <c r="F821" s="1">
        <v>44184</v>
      </c>
      <c r="G821">
        <v>1</v>
      </c>
      <c r="H821">
        <v>76.739999999999995</v>
      </c>
      <c r="I821">
        <v>920.88</v>
      </c>
      <c r="J821">
        <v>9000</v>
      </c>
      <c r="K821" t="s">
        <v>27</v>
      </c>
      <c r="L821">
        <v>9000</v>
      </c>
      <c r="M821">
        <v>7.5</v>
      </c>
      <c r="N821" t="s">
        <v>36</v>
      </c>
      <c r="O821">
        <v>90</v>
      </c>
      <c r="P821">
        <v>49</v>
      </c>
      <c r="Q821">
        <v>0</v>
      </c>
      <c r="R821">
        <v>5</v>
      </c>
      <c r="S821" t="s">
        <v>29</v>
      </c>
      <c r="T821" t="s">
        <v>30</v>
      </c>
      <c r="U821" t="s">
        <v>58</v>
      </c>
      <c r="V821" t="s">
        <v>45</v>
      </c>
      <c r="W821">
        <v>1</v>
      </c>
      <c r="X821">
        <v>1</v>
      </c>
      <c r="Y821" s="2">
        <f>Table1[[#This Row],[premium_yearly]]*Table1[[#This Row],[tenure_years]]</f>
        <v>6906.6</v>
      </c>
      <c r="Z821" s="2">
        <f>Table1[[#This Row],[total_collected_premiums]]*(1-$AD$2)</f>
        <v>5041.8180000000002</v>
      </c>
      <c r="AA821" s="2">
        <f>Table1[[#This Row],[retained_premium]]-Table1[[#This Row],[claim_amount_paid]]</f>
        <v>-3958.1819999999998</v>
      </c>
    </row>
    <row r="822" spans="1:27" x14ac:dyDescent="0.35">
      <c r="A822" t="s">
        <v>2505</v>
      </c>
      <c r="B822" t="s">
        <v>2506</v>
      </c>
      <c r="C822" t="s">
        <v>2507</v>
      </c>
      <c r="D822" s="1">
        <v>43584</v>
      </c>
      <c r="E822" s="1">
        <v>44176</v>
      </c>
      <c r="F822" s="1">
        <v>44181</v>
      </c>
      <c r="G822">
        <v>5</v>
      </c>
      <c r="H822">
        <v>112.92</v>
      </c>
      <c r="I822">
        <v>1355.04</v>
      </c>
      <c r="J822">
        <v>5000</v>
      </c>
      <c r="K822" t="s">
        <v>27</v>
      </c>
      <c r="L822">
        <v>5000</v>
      </c>
      <c r="M822">
        <v>1.58</v>
      </c>
      <c r="N822" t="s">
        <v>28</v>
      </c>
      <c r="O822">
        <v>19</v>
      </c>
      <c r="P822">
        <v>33</v>
      </c>
      <c r="Q822">
        <v>0</v>
      </c>
      <c r="R822">
        <v>6</v>
      </c>
      <c r="S822" t="s">
        <v>29</v>
      </c>
      <c r="T822" t="s">
        <v>30</v>
      </c>
      <c r="U822" t="s">
        <v>38</v>
      </c>
      <c r="V822" t="s">
        <v>45</v>
      </c>
      <c r="W822">
        <v>1</v>
      </c>
      <c r="X822">
        <v>1</v>
      </c>
      <c r="Y822" s="2">
        <f>Table1[[#This Row],[premium_yearly]]*Table1[[#This Row],[tenure_years]]</f>
        <v>2140.9632000000001</v>
      </c>
      <c r="Z822" s="2">
        <f>Table1[[#This Row],[total_collected_premiums]]*(1-$AD$2)</f>
        <v>1562.9031360000001</v>
      </c>
      <c r="AA822" s="2">
        <f>Table1[[#This Row],[retained_premium]]-Table1[[#This Row],[claim_amount_paid]]</f>
        <v>-3437.0968640000001</v>
      </c>
    </row>
    <row r="823" spans="1:27" x14ac:dyDescent="0.35">
      <c r="A823" t="s">
        <v>2508</v>
      </c>
      <c r="B823" t="s">
        <v>2509</v>
      </c>
      <c r="C823" t="s">
        <v>2510</v>
      </c>
      <c r="D823" s="1">
        <v>43271</v>
      </c>
      <c r="E823" s="1">
        <v>44184</v>
      </c>
      <c r="F823" s="1">
        <v>44185</v>
      </c>
      <c r="G823">
        <v>1</v>
      </c>
      <c r="H823">
        <v>121.05</v>
      </c>
      <c r="I823">
        <v>1452.6</v>
      </c>
      <c r="J823">
        <v>6000</v>
      </c>
      <c r="K823" t="s">
        <v>27</v>
      </c>
      <c r="L823">
        <v>6000</v>
      </c>
      <c r="M823">
        <v>3.92</v>
      </c>
      <c r="N823" t="s">
        <v>28</v>
      </c>
      <c r="O823">
        <v>47</v>
      </c>
      <c r="P823">
        <v>60</v>
      </c>
      <c r="Q823">
        <v>1</v>
      </c>
      <c r="R823">
        <v>2</v>
      </c>
      <c r="S823" t="s">
        <v>29</v>
      </c>
      <c r="T823" t="s">
        <v>30</v>
      </c>
      <c r="U823" t="s">
        <v>58</v>
      </c>
      <c r="V823" t="s">
        <v>39</v>
      </c>
      <c r="W823">
        <v>0</v>
      </c>
      <c r="X823">
        <v>1</v>
      </c>
      <c r="Y823" s="2">
        <f>Table1[[#This Row],[premium_yearly]]*Table1[[#This Row],[tenure_years]]</f>
        <v>5694.1919999999991</v>
      </c>
      <c r="Z823" s="2">
        <f>Table1[[#This Row],[total_collected_premiums]]*(1-$AD$2)</f>
        <v>4156.7601599999989</v>
      </c>
      <c r="AA823" s="2">
        <f>Table1[[#This Row],[retained_premium]]-Table1[[#This Row],[claim_amount_paid]]</f>
        <v>-1843.2398400000011</v>
      </c>
    </row>
    <row r="824" spans="1:27" x14ac:dyDescent="0.35">
      <c r="A824" t="s">
        <v>2511</v>
      </c>
      <c r="B824" t="s">
        <v>2512</v>
      </c>
      <c r="C824" t="s">
        <v>2513</v>
      </c>
      <c r="D824" s="1">
        <v>43360</v>
      </c>
      <c r="E824" s="1">
        <v>44178</v>
      </c>
      <c r="F824" s="1">
        <v>44181</v>
      </c>
      <c r="G824">
        <v>3</v>
      </c>
      <c r="H824">
        <v>111.73</v>
      </c>
      <c r="I824">
        <v>1340.76</v>
      </c>
      <c r="J824">
        <v>6000</v>
      </c>
      <c r="K824" t="s">
        <v>27</v>
      </c>
      <c r="L824">
        <v>6000</v>
      </c>
      <c r="M824">
        <v>1.33</v>
      </c>
      <c r="N824" t="s">
        <v>49</v>
      </c>
      <c r="O824">
        <v>16</v>
      </c>
      <c r="P824">
        <v>50</v>
      </c>
      <c r="Q824">
        <v>1</v>
      </c>
      <c r="R824">
        <v>4</v>
      </c>
      <c r="S824" t="s">
        <v>65</v>
      </c>
      <c r="T824" t="s">
        <v>44</v>
      </c>
      <c r="U824" t="s">
        <v>31</v>
      </c>
      <c r="V824" t="s">
        <v>45</v>
      </c>
      <c r="W824">
        <v>0</v>
      </c>
      <c r="X824">
        <v>1</v>
      </c>
      <c r="Y824" s="2">
        <f>Table1[[#This Row],[premium_yearly]]*Table1[[#This Row],[tenure_years]]</f>
        <v>1783.2108000000001</v>
      </c>
      <c r="Z824" s="2">
        <f>Table1[[#This Row],[total_collected_premiums]]*(1-$AD$2)</f>
        <v>1301.743884</v>
      </c>
      <c r="AA824" s="2">
        <f>Table1[[#This Row],[retained_premium]]-Table1[[#This Row],[claim_amount_paid]]</f>
        <v>-4698.2561160000005</v>
      </c>
    </row>
    <row r="825" spans="1:27" x14ac:dyDescent="0.35">
      <c r="A825" t="s">
        <v>2514</v>
      </c>
      <c r="B825" t="s">
        <v>2515</v>
      </c>
      <c r="C825" t="s">
        <v>2516</v>
      </c>
      <c r="D825" s="1">
        <v>41177</v>
      </c>
      <c r="E825" s="1">
        <v>44186</v>
      </c>
      <c r="F825" s="1">
        <v>44186</v>
      </c>
      <c r="G825">
        <v>0</v>
      </c>
      <c r="H825">
        <v>106.89</v>
      </c>
      <c r="I825">
        <v>1282.68</v>
      </c>
      <c r="J825">
        <v>9000</v>
      </c>
      <c r="K825" t="s">
        <v>27</v>
      </c>
      <c r="L825">
        <v>9000</v>
      </c>
      <c r="M825">
        <v>1.08</v>
      </c>
      <c r="N825" t="s">
        <v>28</v>
      </c>
      <c r="O825">
        <v>13</v>
      </c>
      <c r="P825">
        <v>47</v>
      </c>
      <c r="Q825">
        <v>0</v>
      </c>
      <c r="R825">
        <v>5</v>
      </c>
      <c r="S825" t="s">
        <v>65</v>
      </c>
      <c r="T825" t="s">
        <v>30</v>
      </c>
      <c r="U825" t="s">
        <v>88</v>
      </c>
      <c r="V825" t="s">
        <v>39</v>
      </c>
      <c r="W825">
        <v>1</v>
      </c>
      <c r="X825">
        <v>1</v>
      </c>
      <c r="Y825" s="2">
        <f>Table1[[#This Row],[premium_yearly]]*Table1[[#This Row],[tenure_years]]</f>
        <v>1385.2944000000002</v>
      </c>
      <c r="Z825" s="2">
        <f>Table1[[#This Row],[total_collected_premiums]]*(1-$AD$2)</f>
        <v>1011.2649120000001</v>
      </c>
      <c r="AA825" s="2">
        <f>Table1[[#This Row],[retained_premium]]-Table1[[#This Row],[claim_amount_paid]]</f>
        <v>-7988.7350879999995</v>
      </c>
    </row>
    <row r="826" spans="1:27" x14ac:dyDescent="0.35">
      <c r="A826" t="s">
        <v>2517</v>
      </c>
      <c r="B826" t="s">
        <v>2518</v>
      </c>
      <c r="C826" t="s">
        <v>2519</v>
      </c>
      <c r="D826" s="1">
        <v>42536</v>
      </c>
      <c r="E826" s="1">
        <v>44169</v>
      </c>
      <c r="F826" s="1">
        <v>44174</v>
      </c>
      <c r="G826">
        <v>5</v>
      </c>
      <c r="H826">
        <v>106.91</v>
      </c>
      <c r="I826">
        <v>1282.92</v>
      </c>
      <c r="J826">
        <v>8000</v>
      </c>
      <c r="K826" t="s">
        <v>27</v>
      </c>
      <c r="L826">
        <v>8000</v>
      </c>
      <c r="M826">
        <v>2.75</v>
      </c>
      <c r="N826" t="s">
        <v>28</v>
      </c>
      <c r="O826">
        <v>33</v>
      </c>
      <c r="P826">
        <v>34</v>
      </c>
      <c r="Q826">
        <v>0</v>
      </c>
      <c r="R826">
        <v>5</v>
      </c>
      <c r="S826" t="s">
        <v>29</v>
      </c>
      <c r="T826" t="s">
        <v>50</v>
      </c>
      <c r="U826" t="s">
        <v>31</v>
      </c>
      <c r="V826" t="s">
        <v>32</v>
      </c>
      <c r="W826">
        <v>0</v>
      </c>
      <c r="X826">
        <v>1</v>
      </c>
      <c r="Y826" s="2">
        <f>Table1[[#This Row],[premium_yearly]]*Table1[[#This Row],[tenure_years]]</f>
        <v>3528.03</v>
      </c>
      <c r="Z826" s="2">
        <f>Table1[[#This Row],[total_collected_premiums]]*(1-$AD$2)</f>
        <v>2575.4619000000002</v>
      </c>
      <c r="AA826" s="2">
        <f>Table1[[#This Row],[retained_premium]]-Table1[[#This Row],[claim_amount_paid]]</f>
        <v>-5424.5380999999998</v>
      </c>
    </row>
    <row r="827" spans="1:27" x14ac:dyDescent="0.35">
      <c r="A827" t="s">
        <v>2520</v>
      </c>
      <c r="B827" t="s">
        <v>2521</v>
      </c>
      <c r="C827" t="s">
        <v>2522</v>
      </c>
      <c r="D827" s="1">
        <v>42468</v>
      </c>
      <c r="E827" s="1">
        <v>44176</v>
      </c>
      <c r="F827" s="1">
        <v>44181</v>
      </c>
      <c r="G827">
        <v>5</v>
      </c>
      <c r="H827">
        <v>103.18</v>
      </c>
      <c r="I827">
        <v>1238.1600000000001</v>
      </c>
      <c r="J827">
        <v>9000</v>
      </c>
      <c r="K827" t="s">
        <v>27</v>
      </c>
      <c r="L827">
        <v>9000</v>
      </c>
      <c r="M827">
        <v>6</v>
      </c>
      <c r="N827" t="s">
        <v>36</v>
      </c>
      <c r="O827">
        <v>72</v>
      </c>
      <c r="P827">
        <v>37</v>
      </c>
      <c r="Q827">
        <v>1</v>
      </c>
      <c r="R827">
        <v>3</v>
      </c>
      <c r="S827" t="s">
        <v>29</v>
      </c>
      <c r="T827" t="s">
        <v>44</v>
      </c>
      <c r="U827" t="s">
        <v>66</v>
      </c>
      <c r="V827" t="s">
        <v>45</v>
      </c>
      <c r="W827">
        <v>1</v>
      </c>
      <c r="X827">
        <v>1</v>
      </c>
      <c r="Y827" s="2">
        <f>Table1[[#This Row],[premium_yearly]]*Table1[[#This Row],[tenure_years]]</f>
        <v>7428.9600000000009</v>
      </c>
      <c r="Z827" s="2">
        <f>Table1[[#This Row],[total_collected_premiums]]*(1-$AD$2)</f>
        <v>5423.1408000000001</v>
      </c>
      <c r="AA827" s="2">
        <f>Table1[[#This Row],[retained_premium]]-Table1[[#This Row],[claim_amount_paid]]</f>
        <v>-3576.8591999999999</v>
      </c>
    </row>
    <row r="828" spans="1:27" x14ac:dyDescent="0.35">
      <c r="A828" t="s">
        <v>2523</v>
      </c>
      <c r="B828" t="s">
        <v>2524</v>
      </c>
      <c r="C828" t="s">
        <v>2525</v>
      </c>
      <c r="D828" s="1">
        <v>40534</v>
      </c>
      <c r="E828" s="1">
        <v>44180</v>
      </c>
      <c r="F828" s="1">
        <v>44183</v>
      </c>
      <c r="G828">
        <v>3</v>
      </c>
      <c r="H828">
        <v>136.09</v>
      </c>
      <c r="I828">
        <v>1633.08</v>
      </c>
      <c r="J828">
        <v>1000</v>
      </c>
      <c r="K828" t="s">
        <v>27</v>
      </c>
      <c r="L828">
        <v>1000</v>
      </c>
      <c r="M828">
        <v>1.5</v>
      </c>
      <c r="N828" t="s">
        <v>28</v>
      </c>
      <c r="O828">
        <v>18</v>
      </c>
      <c r="P828">
        <v>32</v>
      </c>
      <c r="Q828">
        <v>1</v>
      </c>
      <c r="R828">
        <v>6</v>
      </c>
      <c r="S828" t="s">
        <v>65</v>
      </c>
      <c r="T828" t="s">
        <v>50</v>
      </c>
      <c r="U828" t="s">
        <v>66</v>
      </c>
      <c r="V828" t="s">
        <v>39</v>
      </c>
      <c r="W828">
        <v>1</v>
      </c>
      <c r="X828">
        <v>1</v>
      </c>
      <c r="Y828" s="2">
        <f>Table1[[#This Row],[premium_yearly]]*Table1[[#This Row],[tenure_years]]</f>
        <v>2449.62</v>
      </c>
      <c r="Z828" s="2">
        <f>Table1[[#This Row],[total_collected_premiums]]*(1-$AD$2)</f>
        <v>1788.2225999999998</v>
      </c>
      <c r="AA828" s="2">
        <f>Table1[[#This Row],[retained_premium]]-Table1[[#This Row],[claim_amount_paid]]</f>
        <v>788.22259999999983</v>
      </c>
    </row>
    <row r="829" spans="1:27" x14ac:dyDescent="0.35">
      <c r="A829" t="s">
        <v>2526</v>
      </c>
      <c r="B829" t="s">
        <v>2527</v>
      </c>
      <c r="C829" t="s">
        <v>2528</v>
      </c>
      <c r="D829" s="1">
        <v>40356</v>
      </c>
      <c r="E829" s="1">
        <v>44180</v>
      </c>
      <c r="F829" s="1">
        <v>44183</v>
      </c>
      <c r="G829">
        <v>3</v>
      </c>
      <c r="H829">
        <v>114.12</v>
      </c>
      <c r="I829">
        <v>1369.44</v>
      </c>
      <c r="J829">
        <v>7000</v>
      </c>
      <c r="K829" t="s">
        <v>27</v>
      </c>
      <c r="L829">
        <v>7000</v>
      </c>
      <c r="M829">
        <v>2.92</v>
      </c>
      <c r="N829" t="s">
        <v>36</v>
      </c>
      <c r="O829">
        <v>35</v>
      </c>
      <c r="P829">
        <v>63</v>
      </c>
      <c r="Q829">
        <v>1</v>
      </c>
      <c r="R829">
        <v>6</v>
      </c>
      <c r="S829" t="s">
        <v>65</v>
      </c>
      <c r="T829" t="s">
        <v>30</v>
      </c>
      <c r="U829" t="s">
        <v>38</v>
      </c>
      <c r="V829" t="s">
        <v>45</v>
      </c>
      <c r="W829">
        <v>1</v>
      </c>
      <c r="X829">
        <v>1</v>
      </c>
      <c r="Y829" s="2">
        <f>Table1[[#This Row],[premium_yearly]]*Table1[[#This Row],[tenure_years]]</f>
        <v>3998.7647999999999</v>
      </c>
      <c r="Z829" s="2">
        <f>Table1[[#This Row],[total_collected_premiums]]*(1-$AD$2)</f>
        <v>2919.0983040000001</v>
      </c>
      <c r="AA829" s="2">
        <f>Table1[[#This Row],[retained_premium]]-Table1[[#This Row],[claim_amount_paid]]</f>
        <v>-4080.9016959999999</v>
      </c>
    </row>
    <row r="830" spans="1:27" x14ac:dyDescent="0.35">
      <c r="A830" t="s">
        <v>2529</v>
      </c>
      <c r="B830" t="s">
        <v>2530</v>
      </c>
      <c r="C830" t="s">
        <v>2531</v>
      </c>
      <c r="D830" s="1">
        <v>41250</v>
      </c>
      <c r="E830" s="1">
        <v>44174</v>
      </c>
      <c r="F830" s="1">
        <v>44179</v>
      </c>
      <c r="G830">
        <v>5</v>
      </c>
      <c r="H830">
        <v>114.52</v>
      </c>
      <c r="I830">
        <v>1374.24</v>
      </c>
      <c r="J830">
        <v>10000</v>
      </c>
      <c r="K830" t="s">
        <v>27</v>
      </c>
      <c r="L830">
        <v>10000</v>
      </c>
      <c r="M830">
        <v>6.83</v>
      </c>
      <c r="N830" t="s">
        <v>28</v>
      </c>
      <c r="O830">
        <v>82</v>
      </c>
      <c r="P830">
        <v>47</v>
      </c>
      <c r="Q830">
        <v>1</v>
      </c>
      <c r="R830">
        <v>3</v>
      </c>
      <c r="S830" t="s">
        <v>29</v>
      </c>
      <c r="T830" t="s">
        <v>30</v>
      </c>
      <c r="U830" t="s">
        <v>51</v>
      </c>
      <c r="V830" t="s">
        <v>39</v>
      </c>
      <c r="W830">
        <v>1</v>
      </c>
      <c r="X830">
        <v>1</v>
      </c>
      <c r="Y830" s="2">
        <f>Table1[[#This Row],[premium_yearly]]*Table1[[#This Row],[tenure_years]]</f>
        <v>9386.0591999999997</v>
      </c>
      <c r="Z830" s="2">
        <f>Table1[[#This Row],[total_collected_premiums]]*(1-$AD$2)</f>
        <v>6851.8232159999998</v>
      </c>
      <c r="AA830" s="2">
        <f>Table1[[#This Row],[retained_premium]]-Table1[[#This Row],[claim_amount_paid]]</f>
        <v>-3148.1767840000002</v>
      </c>
    </row>
    <row r="831" spans="1:27" x14ac:dyDescent="0.35">
      <c r="A831" t="s">
        <v>2532</v>
      </c>
      <c r="B831" t="s">
        <v>2533</v>
      </c>
      <c r="C831" t="s">
        <v>2534</v>
      </c>
      <c r="D831" s="1">
        <v>42210</v>
      </c>
      <c r="E831" s="1">
        <v>44172</v>
      </c>
      <c r="F831" s="1">
        <v>44177</v>
      </c>
      <c r="G831">
        <v>5</v>
      </c>
      <c r="H831">
        <v>109.18</v>
      </c>
      <c r="I831">
        <v>1310.1600000000001</v>
      </c>
      <c r="J831">
        <v>5000</v>
      </c>
      <c r="K831" t="s">
        <v>27</v>
      </c>
      <c r="L831">
        <v>5000</v>
      </c>
      <c r="M831">
        <v>5.5</v>
      </c>
      <c r="N831" t="s">
        <v>36</v>
      </c>
      <c r="O831">
        <v>66</v>
      </c>
      <c r="P831">
        <v>63</v>
      </c>
      <c r="Q831">
        <v>0</v>
      </c>
      <c r="R831">
        <v>3</v>
      </c>
      <c r="S831" t="s">
        <v>65</v>
      </c>
      <c r="T831" t="s">
        <v>30</v>
      </c>
      <c r="U831" t="s">
        <v>38</v>
      </c>
      <c r="V831" t="s">
        <v>39</v>
      </c>
      <c r="W831">
        <v>1</v>
      </c>
      <c r="X831">
        <v>1</v>
      </c>
      <c r="Y831" s="2">
        <f>Table1[[#This Row],[premium_yearly]]*Table1[[#This Row],[tenure_years]]</f>
        <v>7205.88</v>
      </c>
      <c r="Z831" s="2">
        <f>Table1[[#This Row],[total_collected_premiums]]*(1-$AD$2)</f>
        <v>5260.2924000000003</v>
      </c>
      <c r="AA831" s="2">
        <f>Table1[[#This Row],[retained_premium]]-Table1[[#This Row],[claim_amount_paid]]</f>
        <v>260.29240000000027</v>
      </c>
    </row>
    <row r="832" spans="1:27" x14ac:dyDescent="0.35">
      <c r="A832" t="s">
        <v>2535</v>
      </c>
      <c r="B832" t="s">
        <v>2536</v>
      </c>
      <c r="C832" t="s">
        <v>2537</v>
      </c>
      <c r="D832" s="1">
        <v>41296</v>
      </c>
      <c r="E832" s="1">
        <v>44187</v>
      </c>
      <c r="F832" s="1">
        <v>44187</v>
      </c>
      <c r="G832">
        <v>0</v>
      </c>
      <c r="H832">
        <v>92.6</v>
      </c>
      <c r="I832">
        <v>1111.2</v>
      </c>
      <c r="J832">
        <v>3000</v>
      </c>
      <c r="K832" t="s">
        <v>27</v>
      </c>
      <c r="L832">
        <v>3000</v>
      </c>
      <c r="M832">
        <v>2.17</v>
      </c>
      <c r="N832" t="s">
        <v>36</v>
      </c>
      <c r="O832">
        <v>26</v>
      </c>
      <c r="P832">
        <v>49</v>
      </c>
      <c r="Q832">
        <v>0</v>
      </c>
      <c r="R832">
        <v>7</v>
      </c>
      <c r="S832" t="s">
        <v>29</v>
      </c>
      <c r="T832" t="s">
        <v>50</v>
      </c>
      <c r="U832" t="s">
        <v>66</v>
      </c>
      <c r="V832" t="s">
        <v>39</v>
      </c>
      <c r="W832">
        <v>1</v>
      </c>
      <c r="X832">
        <v>1</v>
      </c>
      <c r="Y832" s="2">
        <f>Table1[[#This Row],[premium_yearly]]*Table1[[#This Row],[tenure_years]]</f>
        <v>2411.3040000000001</v>
      </c>
      <c r="Z832" s="2">
        <f>Table1[[#This Row],[total_collected_premiums]]*(1-$AD$2)</f>
        <v>1760.2519199999999</v>
      </c>
      <c r="AA832" s="2">
        <f>Table1[[#This Row],[retained_premium]]-Table1[[#This Row],[claim_amount_paid]]</f>
        <v>-1239.7480800000001</v>
      </c>
    </row>
    <row r="833" spans="1:27" x14ac:dyDescent="0.35">
      <c r="A833" t="s">
        <v>2538</v>
      </c>
      <c r="B833" t="s">
        <v>2539</v>
      </c>
      <c r="C833" t="s">
        <v>2540</v>
      </c>
      <c r="D833" s="1">
        <v>40712</v>
      </c>
      <c r="E833" s="1">
        <v>44187</v>
      </c>
      <c r="F833" s="1">
        <v>44187</v>
      </c>
      <c r="G833">
        <v>0</v>
      </c>
      <c r="H833">
        <v>131.22</v>
      </c>
      <c r="I833">
        <v>1574.64</v>
      </c>
      <c r="J833">
        <v>6000</v>
      </c>
      <c r="K833" t="s">
        <v>27</v>
      </c>
      <c r="L833">
        <v>6000</v>
      </c>
      <c r="M833">
        <v>4.08</v>
      </c>
      <c r="N833" t="s">
        <v>49</v>
      </c>
      <c r="O833">
        <v>49</v>
      </c>
      <c r="P833">
        <v>32</v>
      </c>
      <c r="Q833">
        <v>1</v>
      </c>
      <c r="R833">
        <v>7</v>
      </c>
      <c r="S833" t="s">
        <v>29</v>
      </c>
      <c r="T833" t="s">
        <v>30</v>
      </c>
      <c r="U833" t="s">
        <v>31</v>
      </c>
      <c r="V833" t="s">
        <v>45</v>
      </c>
      <c r="W833">
        <v>1</v>
      </c>
      <c r="X833">
        <v>0</v>
      </c>
      <c r="Y833" s="2">
        <f>Table1[[#This Row],[premium_yearly]]*Table1[[#This Row],[tenure_years]]</f>
        <v>6424.5312000000004</v>
      </c>
      <c r="Z833" s="2">
        <f>Table1[[#This Row],[total_collected_premiums]]*(1-$AD$2)</f>
        <v>4689.907776</v>
      </c>
      <c r="AA833" s="2">
        <f>Table1[[#This Row],[retained_premium]]-Table1[[#This Row],[claim_amount_paid]]</f>
        <v>-1310.092224</v>
      </c>
    </row>
    <row r="834" spans="1:27" x14ac:dyDescent="0.35">
      <c r="A834" t="s">
        <v>2541</v>
      </c>
      <c r="B834" t="s">
        <v>2542</v>
      </c>
      <c r="C834" t="s">
        <v>2543</v>
      </c>
      <c r="D834" s="1">
        <v>41884</v>
      </c>
      <c r="E834" s="1">
        <v>44178</v>
      </c>
      <c r="F834" s="1">
        <v>44183</v>
      </c>
      <c r="G834">
        <v>5</v>
      </c>
      <c r="H834">
        <v>88.6</v>
      </c>
      <c r="I834">
        <v>1063.2</v>
      </c>
      <c r="J834">
        <v>4000</v>
      </c>
      <c r="K834" t="s">
        <v>27</v>
      </c>
      <c r="L834">
        <v>4000</v>
      </c>
      <c r="M834">
        <v>5.25</v>
      </c>
      <c r="N834" t="s">
        <v>49</v>
      </c>
      <c r="O834">
        <v>63</v>
      </c>
      <c r="P834">
        <v>26</v>
      </c>
      <c r="Q834">
        <v>0</v>
      </c>
      <c r="R834">
        <v>7</v>
      </c>
      <c r="S834" t="s">
        <v>29</v>
      </c>
      <c r="T834" t="s">
        <v>50</v>
      </c>
      <c r="U834" t="s">
        <v>58</v>
      </c>
      <c r="V834" t="s">
        <v>32</v>
      </c>
      <c r="W834">
        <v>1</v>
      </c>
      <c r="X834">
        <v>1</v>
      </c>
      <c r="Y834" s="2">
        <f>Table1[[#This Row],[premium_yearly]]*Table1[[#This Row],[tenure_years]]</f>
        <v>5581.8</v>
      </c>
      <c r="Z834" s="2">
        <f>Table1[[#This Row],[total_collected_premiums]]*(1-$AD$2)</f>
        <v>4074.7139999999999</v>
      </c>
      <c r="AA834" s="2">
        <f>Table1[[#This Row],[retained_premium]]-Table1[[#This Row],[claim_amount_paid]]</f>
        <v>74.713999999999942</v>
      </c>
    </row>
    <row r="835" spans="1:27" x14ac:dyDescent="0.35">
      <c r="A835" t="s">
        <v>2544</v>
      </c>
      <c r="B835" t="s">
        <v>2545</v>
      </c>
      <c r="C835" t="s">
        <v>2546</v>
      </c>
      <c r="D835" s="1">
        <v>40572</v>
      </c>
      <c r="E835" s="1">
        <v>44182</v>
      </c>
      <c r="F835" s="1">
        <v>44185</v>
      </c>
      <c r="G835">
        <v>3</v>
      </c>
      <c r="H835">
        <v>76.38</v>
      </c>
      <c r="I835">
        <v>916.56</v>
      </c>
      <c r="J835">
        <v>10000</v>
      </c>
      <c r="K835" t="s">
        <v>27</v>
      </c>
      <c r="L835">
        <v>10000</v>
      </c>
      <c r="M835">
        <v>7.58</v>
      </c>
      <c r="N835" t="s">
        <v>36</v>
      </c>
      <c r="O835">
        <v>91</v>
      </c>
      <c r="P835">
        <v>50</v>
      </c>
      <c r="Q835">
        <v>1</v>
      </c>
      <c r="R835">
        <v>3</v>
      </c>
      <c r="S835" t="s">
        <v>29</v>
      </c>
      <c r="T835" t="s">
        <v>44</v>
      </c>
      <c r="U835" t="s">
        <v>38</v>
      </c>
      <c r="V835" t="s">
        <v>45</v>
      </c>
      <c r="W835">
        <v>1</v>
      </c>
      <c r="X835">
        <v>1</v>
      </c>
      <c r="Y835" s="2">
        <f>Table1[[#This Row],[premium_yearly]]*Table1[[#This Row],[tenure_years]]</f>
        <v>6947.5247999999992</v>
      </c>
      <c r="Z835" s="2">
        <f>Table1[[#This Row],[total_collected_premiums]]*(1-$AD$2)</f>
        <v>5071.693103999999</v>
      </c>
      <c r="AA835" s="2">
        <f>Table1[[#This Row],[retained_premium]]-Table1[[#This Row],[claim_amount_paid]]</f>
        <v>-4928.306896000001</v>
      </c>
    </row>
    <row r="836" spans="1:27" x14ac:dyDescent="0.35">
      <c r="A836" t="s">
        <v>2547</v>
      </c>
      <c r="B836" t="s">
        <v>2548</v>
      </c>
      <c r="C836" t="s">
        <v>2549</v>
      </c>
      <c r="D836" s="1">
        <v>40336</v>
      </c>
      <c r="E836" s="1">
        <v>44175</v>
      </c>
      <c r="F836" s="1">
        <v>44180</v>
      </c>
      <c r="G836">
        <v>5</v>
      </c>
      <c r="H836">
        <v>127.37</v>
      </c>
      <c r="I836">
        <v>1528.44</v>
      </c>
      <c r="J836">
        <v>3000</v>
      </c>
      <c r="K836" t="s">
        <v>27</v>
      </c>
      <c r="L836">
        <v>3000</v>
      </c>
      <c r="M836">
        <v>2.5</v>
      </c>
      <c r="N836" t="s">
        <v>28</v>
      </c>
      <c r="O836">
        <v>30</v>
      </c>
      <c r="P836">
        <v>64</v>
      </c>
      <c r="Q836">
        <v>1</v>
      </c>
      <c r="R836">
        <v>2</v>
      </c>
      <c r="S836" t="s">
        <v>65</v>
      </c>
      <c r="T836" t="s">
        <v>50</v>
      </c>
      <c r="U836" t="s">
        <v>58</v>
      </c>
      <c r="V836" t="s">
        <v>39</v>
      </c>
      <c r="W836">
        <v>1</v>
      </c>
      <c r="X836">
        <v>0</v>
      </c>
      <c r="Y836" s="2">
        <f>Table1[[#This Row],[premium_yearly]]*Table1[[#This Row],[tenure_years]]</f>
        <v>3821.1000000000004</v>
      </c>
      <c r="Z836" s="2">
        <f>Table1[[#This Row],[total_collected_premiums]]*(1-$AD$2)</f>
        <v>2789.4030000000002</v>
      </c>
      <c r="AA836" s="2">
        <f>Table1[[#This Row],[retained_premium]]-Table1[[#This Row],[claim_amount_paid]]</f>
        <v>-210.59699999999975</v>
      </c>
    </row>
    <row r="837" spans="1:27" x14ac:dyDescent="0.35">
      <c r="A837" t="s">
        <v>2550</v>
      </c>
      <c r="B837" t="s">
        <v>2551</v>
      </c>
      <c r="C837" t="s">
        <v>2552</v>
      </c>
      <c r="D837" s="1">
        <v>43666</v>
      </c>
      <c r="E837" s="1">
        <v>44188</v>
      </c>
      <c r="F837" s="1">
        <v>44189</v>
      </c>
      <c r="G837">
        <v>1</v>
      </c>
      <c r="H837">
        <v>97.47</v>
      </c>
      <c r="I837">
        <v>1169.6400000000001</v>
      </c>
      <c r="J837">
        <v>7000</v>
      </c>
      <c r="K837" t="s">
        <v>43</v>
      </c>
      <c r="L837">
        <v>0</v>
      </c>
      <c r="M837">
        <v>7.58</v>
      </c>
      <c r="N837" t="s">
        <v>36</v>
      </c>
      <c r="O837">
        <v>91</v>
      </c>
      <c r="P837">
        <v>41</v>
      </c>
      <c r="Q837">
        <v>1</v>
      </c>
      <c r="R837">
        <v>7</v>
      </c>
      <c r="S837" t="s">
        <v>29</v>
      </c>
      <c r="T837" t="s">
        <v>30</v>
      </c>
      <c r="U837" t="s">
        <v>58</v>
      </c>
      <c r="V837" t="s">
        <v>32</v>
      </c>
      <c r="W837">
        <v>1</v>
      </c>
      <c r="X837">
        <v>1</v>
      </c>
      <c r="Y837" s="2">
        <f>Table1[[#This Row],[premium_yearly]]*Table1[[#This Row],[tenure_years]]</f>
        <v>8865.8712000000014</v>
      </c>
      <c r="Z837" s="2">
        <f>Table1[[#This Row],[total_collected_premiums]]*(1-$AD$2)</f>
        <v>6472.0859760000012</v>
      </c>
      <c r="AA837" s="2">
        <f>Table1[[#This Row],[retained_premium]]-Table1[[#This Row],[claim_amount_paid]]</f>
        <v>6472.0859760000012</v>
      </c>
    </row>
    <row r="838" spans="1:27" x14ac:dyDescent="0.35">
      <c r="A838" t="s">
        <v>2553</v>
      </c>
      <c r="B838" t="s">
        <v>2554</v>
      </c>
      <c r="C838" t="s">
        <v>2555</v>
      </c>
      <c r="D838" s="1">
        <v>41671</v>
      </c>
      <c r="E838" s="1">
        <v>44173</v>
      </c>
      <c r="F838" s="1">
        <v>44178</v>
      </c>
      <c r="G838">
        <v>5</v>
      </c>
      <c r="H838">
        <v>131.47</v>
      </c>
      <c r="I838">
        <v>1577.64</v>
      </c>
      <c r="J838">
        <v>9000</v>
      </c>
      <c r="K838" t="s">
        <v>27</v>
      </c>
      <c r="L838">
        <v>9000</v>
      </c>
      <c r="M838">
        <v>6.92</v>
      </c>
      <c r="N838" t="s">
        <v>36</v>
      </c>
      <c r="O838">
        <v>83</v>
      </c>
      <c r="P838">
        <v>55</v>
      </c>
      <c r="Q838">
        <v>1</v>
      </c>
      <c r="R838">
        <v>5</v>
      </c>
      <c r="S838" t="s">
        <v>29</v>
      </c>
      <c r="T838" t="s">
        <v>30</v>
      </c>
      <c r="U838" t="s">
        <v>38</v>
      </c>
      <c r="V838" t="s">
        <v>39</v>
      </c>
      <c r="W838">
        <v>0</v>
      </c>
      <c r="X838">
        <v>1</v>
      </c>
      <c r="Y838" s="2">
        <f>Table1[[#This Row],[premium_yearly]]*Table1[[#This Row],[tenure_years]]</f>
        <v>10917.2688</v>
      </c>
      <c r="Z838" s="2">
        <f>Table1[[#This Row],[total_collected_premiums]]*(1-$AD$2)</f>
        <v>7969.6062240000001</v>
      </c>
      <c r="AA838" s="2">
        <f>Table1[[#This Row],[retained_premium]]-Table1[[#This Row],[claim_amount_paid]]</f>
        <v>-1030.3937759999999</v>
      </c>
    </row>
    <row r="839" spans="1:27" x14ac:dyDescent="0.35">
      <c r="A839" t="s">
        <v>2556</v>
      </c>
      <c r="B839" t="s">
        <v>2557</v>
      </c>
      <c r="C839" t="s">
        <v>2558</v>
      </c>
      <c r="D839" s="1">
        <v>40884</v>
      </c>
      <c r="E839" s="1">
        <v>44188</v>
      </c>
      <c r="F839" s="1">
        <v>44189</v>
      </c>
      <c r="G839">
        <v>1</v>
      </c>
      <c r="H839">
        <v>95.15</v>
      </c>
      <c r="I839">
        <v>1141.8</v>
      </c>
      <c r="J839">
        <v>5000</v>
      </c>
      <c r="K839" t="s">
        <v>27</v>
      </c>
      <c r="L839">
        <v>5000</v>
      </c>
      <c r="M839">
        <v>7.58</v>
      </c>
      <c r="N839" t="s">
        <v>36</v>
      </c>
      <c r="O839">
        <v>91</v>
      </c>
      <c r="P839">
        <v>35</v>
      </c>
      <c r="Q839">
        <v>1</v>
      </c>
      <c r="R839">
        <v>2</v>
      </c>
      <c r="S839" t="s">
        <v>29</v>
      </c>
      <c r="T839" t="s">
        <v>50</v>
      </c>
      <c r="U839" t="s">
        <v>51</v>
      </c>
      <c r="V839" t="s">
        <v>45</v>
      </c>
      <c r="W839">
        <v>1</v>
      </c>
      <c r="X839">
        <v>1</v>
      </c>
      <c r="Y839" s="2">
        <f>Table1[[#This Row],[premium_yearly]]*Table1[[#This Row],[tenure_years]]</f>
        <v>8654.8439999999991</v>
      </c>
      <c r="Z839" s="2">
        <f>Table1[[#This Row],[total_collected_premiums]]*(1-$AD$2)</f>
        <v>6318.0361199999988</v>
      </c>
      <c r="AA839" s="2">
        <f>Table1[[#This Row],[retained_premium]]-Table1[[#This Row],[claim_amount_paid]]</f>
        <v>1318.0361199999988</v>
      </c>
    </row>
    <row r="840" spans="1:27" x14ac:dyDescent="0.35">
      <c r="A840" t="s">
        <v>2559</v>
      </c>
      <c r="B840" t="s">
        <v>2560</v>
      </c>
      <c r="C840" t="s">
        <v>2561</v>
      </c>
      <c r="D840" s="1">
        <v>41184</v>
      </c>
      <c r="E840" s="1">
        <v>44190</v>
      </c>
      <c r="F840" s="1">
        <v>44190</v>
      </c>
      <c r="G840">
        <v>0</v>
      </c>
      <c r="H840">
        <v>125.14</v>
      </c>
      <c r="I840">
        <v>1501.68</v>
      </c>
      <c r="J840">
        <v>4000</v>
      </c>
      <c r="K840" t="s">
        <v>27</v>
      </c>
      <c r="L840">
        <v>4000</v>
      </c>
      <c r="M840">
        <v>3</v>
      </c>
      <c r="N840" t="s">
        <v>49</v>
      </c>
      <c r="O840">
        <v>36</v>
      </c>
      <c r="P840">
        <v>52</v>
      </c>
      <c r="Q840">
        <v>0</v>
      </c>
      <c r="R840">
        <v>6</v>
      </c>
      <c r="S840" t="s">
        <v>29</v>
      </c>
      <c r="T840" t="s">
        <v>30</v>
      </c>
      <c r="U840" t="s">
        <v>38</v>
      </c>
      <c r="V840" t="s">
        <v>45</v>
      </c>
      <c r="W840">
        <v>1</v>
      </c>
      <c r="X840">
        <v>1</v>
      </c>
      <c r="Y840" s="2">
        <f>Table1[[#This Row],[premium_yearly]]*Table1[[#This Row],[tenure_years]]</f>
        <v>4505.04</v>
      </c>
      <c r="Z840" s="2">
        <f>Table1[[#This Row],[total_collected_premiums]]*(1-$AD$2)</f>
        <v>3288.6792</v>
      </c>
      <c r="AA840" s="2">
        <f>Table1[[#This Row],[retained_premium]]-Table1[[#This Row],[claim_amount_paid]]</f>
        <v>-711.32079999999996</v>
      </c>
    </row>
    <row r="841" spans="1:27" x14ac:dyDescent="0.35">
      <c r="A841" t="s">
        <v>2562</v>
      </c>
      <c r="B841" t="s">
        <v>2563</v>
      </c>
      <c r="C841" t="s">
        <v>2564</v>
      </c>
      <c r="D841" s="1">
        <v>40478</v>
      </c>
      <c r="E841" s="1">
        <v>44176</v>
      </c>
      <c r="F841" s="1">
        <v>44181</v>
      </c>
      <c r="G841">
        <v>5</v>
      </c>
      <c r="H841">
        <v>131.59</v>
      </c>
      <c r="I841">
        <v>1579.08</v>
      </c>
      <c r="J841">
        <v>4000</v>
      </c>
      <c r="K841" t="s">
        <v>27</v>
      </c>
      <c r="L841">
        <v>4000</v>
      </c>
      <c r="M841">
        <v>6.33</v>
      </c>
      <c r="N841" t="s">
        <v>36</v>
      </c>
      <c r="O841">
        <v>76</v>
      </c>
      <c r="P841">
        <v>59</v>
      </c>
      <c r="Q841">
        <v>1</v>
      </c>
      <c r="R841">
        <v>5</v>
      </c>
      <c r="S841" t="s">
        <v>29</v>
      </c>
      <c r="T841" t="s">
        <v>30</v>
      </c>
      <c r="U841" t="s">
        <v>38</v>
      </c>
      <c r="V841" t="s">
        <v>45</v>
      </c>
      <c r="W841">
        <v>1</v>
      </c>
      <c r="X841">
        <v>1</v>
      </c>
      <c r="Y841" s="2">
        <f>Table1[[#This Row],[premium_yearly]]*Table1[[#This Row],[tenure_years]]</f>
        <v>9995.5763999999999</v>
      </c>
      <c r="Z841" s="2">
        <f>Table1[[#This Row],[total_collected_premiums]]*(1-$AD$2)</f>
        <v>7296.7707719999999</v>
      </c>
      <c r="AA841" s="2">
        <f>Table1[[#This Row],[retained_premium]]-Table1[[#This Row],[claim_amount_paid]]</f>
        <v>3296.7707719999999</v>
      </c>
    </row>
    <row r="842" spans="1:27" x14ac:dyDescent="0.35">
      <c r="A842" t="s">
        <v>2565</v>
      </c>
      <c r="B842" t="s">
        <v>2566</v>
      </c>
      <c r="C842" t="s">
        <v>2567</v>
      </c>
      <c r="D842" s="1">
        <v>43720</v>
      </c>
      <c r="E842" s="1">
        <v>44177</v>
      </c>
      <c r="F842" s="1">
        <v>44182</v>
      </c>
      <c r="G842">
        <v>5</v>
      </c>
      <c r="H842">
        <v>90.31</v>
      </c>
      <c r="I842">
        <v>1083.72</v>
      </c>
      <c r="J842">
        <v>8000</v>
      </c>
      <c r="K842" t="s">
        <v>27</v>
      </c>
      <c r="L842">
        <v>8000</v>
      </c>
      <c r="M842">
        <v>5.08</v>
      </c>
      <c r="N842" t="s">
        <v>49</v>
      </c>
      <c r="O842">
        <v>61</v>
      </c>
      <c r="P842">
        <v>40</v>
      </c>
      <c r="Q842">
        <v>1</v>
      </c>
      <c r="R842">
        <v>4</v>
      </c>
      <c r="S842" t="s">
        <v>37</v>
      </c>
      <c r="T842" t="s">
        <v>50</v>
      </c>
      <c r="U842" t="s">
        <v>38</v>
      </c>
      <c r="V842" t="s">
        <v>39</v>
      </c>
      <c r="W842">
        <v>0</v>
      </c>
      <c r="X842">
        <v>1</v>
      </c>
      <c r="Y842" s="2">
        <f>Table1[[#This Row],[premium_yearly]]*Table1[[#This Row],[tenure_years]]</f>
        <v>5505.2975999999999</v>
      </c>
      <c r="Z842" s="2">
        <f>Table1[[#This Row],[total_collected_premiums]]*(1-$AD$2)</f>
        <v>4018.867248</v>
      </c>
      <c r="AA842" s="2">
        <f>Table1[[#This Row],[retained_premium]]-Table1[[#This Row],[claim_amount_paid]]</f>
        <v>-3981.132752</v>
      </c>
    </row>
    <row r="843" spans="1:27" x14ac:dyDescent="0.35">
      <c r="A843" t="s">
        <v>2568</v>
      </c>
      <c r="B843" t="s">
        <v>2569</v>
      </c>
      <c r="C843" t="s">
        <v>2570</v>
      </c>
      <c r="D843" s="1">
        <v>42328</v>
      </c>
      <c r="E843" s="1">
        <v>44189</v>
      </c>
      <c r="F843" s="1">
        <v>44190</v>
      </c>
      <c r="G843">
        <v>1</v>
      </c>
      <c r="H843">
        <v>109.36</v>
      </c>
      <c r="I843">
        <v>1312.32</v>
      </c>
      <c r="J843">
        <v>2000</v>
      </c>
      <c r="K843" t="s">
        <v>27</v>
      </c>
      <c r="L843">
        <v>2000</v>
      </c>
      <c r="M843">
        <v>1.42</v>
      </c>
      <c r="N843" t="s">
        <v>49</v>
      </c>
      <c r="O843">
        <v>17</v>
      </c>
      <c r="P843">
        <v>45</v>
      </c>
      <c r="Q843">
        <v>0</v>
      </c>
      <c r="R843">
        <v>3</v>
      </c>
      <c r="S843" t="s">
        <v>37</v>
      </c>
      <c r="T843" t="s">
        <v>30</v>
      </c>
      <c r="U843" t="s">
        <v>88</v>
      </c>
      <c r="V843" t="s">
        <v>45</v>
      </c>
      <c r="W843">
        <v>0</v>
      </c>
      <c r="X843">
        <v>1</v>
      </c>
      <c r="Y843" s="2">
        <f>Table1[[#This Row],[premium_yearly]]*Table1[[#This Row],[tenure_years]]</f>
        <v>1863.4943999999998</v>
      </c>
      <c r="Z843" s="2">
        <f>Table1[[#This Row],[total_collected_premiums]]*(1-$AD$2)</f>
        <v>1360.3509119999999</v>
      </c>
      <c r="AA843" s="2">
        <f>Table1[[#This Row],[retained_premium]]-Table1[[#This Row],[claim_amount_paid]]</f>
        <v>-639.64908800000012</v>
      </c>
    </row>
    <row r="844" spans="1:27" x14ac:dyDescent="0.35">
      <c r="A844" t="s">
        <v>2571</v>
      </c>
      <c r="B844" t="s">
        <v>2572</v>
      </c>
      <c r="C844" t="s">
        <v>2573</v>
      </c>
      <c r="D844" s="1">
        <v>41090</v>
      </c>
      <c r="E844" s="1">
        <v>44173</v>
      </c>
      <c r="F844" s="1">
        <v>44178</v>
      </c>
      <c r="G844">
        <v>5</v>
      </c>
      <c r="H844">
        <v>117.1</v>
      </c>
      <c r="I844">
        <v>1405.2</v>
      </c>
      <c r="J844">
        <v>2000</v>
      </c>
      <c r="K844" t="s">
        <v>27</v>
      </c>
      <c r="L844">
        <v>2000</v>
      </c>
      <c r="M844">
        <v>4.08</v>
      </c>
      <c r="N844" t="s">
        <v>28</v>
      </c>
      <c r="O844">
        <v>49</v>
      </c>
      <c r="P844">
        <v>46</v>
      </c>
      <c r="Q844">
        <v>1</v>
      </c>
      <c r="R844">
        <v>6</v>
      </c>
      <c r="S844" t="s">
        <v>29</v>
      </c>
      <c r="T844" t="s">
        <v>44</v>
      </c>
      <c r="U844" t="s">
        <v>38</v>
      </c>
      <c r="V844" t="s">
        <v>39</v>
      </c>
      <c r="W844">
        <v>0</v>
      </c>
      <c r="X844">
        <v>1</v>
      </c>
      <c r="Y844" s="2">
        <f>Table1[[#This Row],[premium_yearly]]*Table1[[#This Row],[tenure_years]]</f>
        <v>5733.2160000000003</v>
      </c>
      <c r="Z844" s="2">
        <f>Table1[[#This Row],[total_collected_premiums]]*(1-$AD$2)</f>
        <v>4185.2476800000004</v>
      </c>
      <c r="AA844" s="2">
        <f>Table1[[#This Row],[retained_premium]]-Table1[[#This Row],[claim_amount_paid]]</f>
        <v>2185.2476800000004</v>
      </c>
    </row>
    <row r="845" spans="1:27" x14ac:dyDescent="0.35">
      <c r="A845" t="s">
        <v>2574</v>
      </c>
      <c r="B845" t="s">
        <v>2575</v>
      </c>
      <c r="C845" t="s">
        <v>2576</v>
      </c>
      <c r="D845" s="1">
        <v>41679</v>
      </c>
      <c r="E845" s="1">
        <v>44186</v>
      </c>
      <c r="F845" s="1">
        <v>44188</v>
      </c>
      <c r="G845">
        <v>2</v>
      </c>
      <c r="H845">
        <v>100.57</v>
      </c>
      <c r="I845">
        <v>1206.8399999999999</v>
      </c>
      <c r="J845">
        <v>10000</v>
      </c>
      <c r="K845" t="s">
        <v>27</v>
      </c>
      <c r="L845">
        <v>10000</v>
      </c>
      <c r="M845">
        <v>8.5</v>
      </c>
      <c r="N845" t="s">
        <v>49</v>
      </c>
      <c r="O845">
        <v>102</v>
      </c>
      <c r="P845">
        <v>35</v>
      </c>
      <c r="Q845">
        <v>0</v>
      </c>
      <c r="R845">
        <v>6</v>
      </c>
      <c r="S845" t="s">
        <v>65</v>
      </c>
      <c r="T845" t="s">
        <v>44</v>
      </c>
      <c r="U845" t="s">
        <v>51</v>
      </c>
      <c r="V845" t="s">
        <v>32</v>
      </c>
      <c r="W845">
        <v>1</v>
      </c>
      <c r="X845">
        <v>1</v>
      </c>
      <c r="Y845" s="2">
        <f>Table1[[#This Row],[premium_yearly]]*Table1[[#This Row],[tenure_years]]</f>
        <v>10258.14</v>
      </c>
      <c r="Z845" s="2">
        <f>Table1[[#This Row],[total_collected_premiums]]*(1-$AD$2)</f>
        <v>7488.4421999999995</v>
      </c>
      <c r="AA845" s="2">
        <f>Table1[[#This Row],[retained_premium]]-Table1[[#This Row],[claim_amount_paid]]</f>
        <v>-2511.5578000000005</v>
      </c>
    </row>
    <row r="846" spans="1:27" x14ac:dyDescent="0.35">
      <c r="A846" t="s">
        <v>2577</v>
      </c>
      <c r="B846" t="s">
        <v>2578</v>
      </c>
      <c r="C846" t="s">
        <v>2579</v>
      </c>
      <c r="D846" s="1">
        <v>43375</v>
      </c>
      <c r="E846" s="1">
        <v>44177</v>
      </c>
      <c r="F846" s="1">
        <v>44182</v>
      </c>
      <c r="G846">
        <v>5</v>
      </c>
      <c r="H846">
        <v>83.86</v>
      </c>
      <c r="I846">
        <v>1006.32</v>
      </c>
      <c r="J846">
        <v>4000</v>
      </c>
      <c r="K846" t="s">
        <v>27</v>
      </c>
      <c r="L846">
        <v>4000</v>
      </c>
      <c r="M846">
        <v>3</v>
      </c>
      <c r="N846" t="s">
        <v>36</v>
      </c>
      <c r="O846">
        <v>36</v>
      </c>
      <c r="P846">
        <v>47</v>
      </c>
      <c r="Q846">
        <v>0</v>
      </c>
      <c r="R846">
        <v>5</v>
      </c>
      <c r="S846" t="s">
        <v>65</v>
      </c>
      <c r="T846" t="s">
        <v>30</v>
      </c>
      <c r="U846" t="s">
        <v>38</v>
      </c>
      <c r="V846" t="s">
        <v>32</v>
      </c>
      <c r="W846">
        <v>0</v>
      </c>
      <c r="X846">
        <v>0</v>
      </c>
      <c r="Y846" s="2">
        <f>Table1[[#This Row],[premium_yearly]]*Table1[[#This Row],[tenure_years]]</f>
        <v>3018.96</v>
      </c>
      <c r="Z846" s="2">
        <f>Table1[[#This Row],[total_collected_premiums]]*(1-$AD$2)</f>
        <v>2203.8407999999999</v>
      </c>
      <c r="AA846" s="2">
        <f>Table1[[#This Row],[retained_premium]]-Table1[[#This Row],[claim_amount_paid]]</f>
        <v>-1796.1592000000001</v>
      </c>
    </row>
    <row r="847" spans="1:27" x14ac:dyDescent="0.35">
      <c r="A847" t="s">
        <v>2580</v>
      </c>
      <c r="B847" t="s">
        <v>2581</v>
      </c>
      <c r="C847" t="s">
        <v>2582</v>
      </c>
      <c r="D847" s="1">
        <v>42585</v>
      </c>
      <c r="E847" s="1">
        <v>44186</v>
      </c>
      <c r="F847" s="1">
        <v>44188</v>
      </c>
      <c r="G847">
        <v>2</v>
      </c>
      <c r="H847">
        <v>71.97</v>
      </c>
      <c r="I847">
        <v>863.64</v>
      </c>
      <c r="J847">
        <v>8000</v>
      </c>
      <c r="K847" t="s">
        <v>27</v>
      </c>
      <c r="L847">
        <v>8000</v>
      </c>
      <c r="M847">
        <v>6</v>
      </c>
      <c r="N847" t="s">
        <v>49</v>
      </c>
      <c r="O847">
        <v>72</v>
      </c>
      <c r="P847">
        <v>59</v>
      </c>
      <c r="Q847">
        <v>1</v>
      </c>
      <c r="R847">
        <v>6</v>
      </c>
      <c r="S847" t="s">
        <v>65</v>
      </c>
      <c r="T847" t="s">
        <v>50</v>
      </c>
      <c r="U847" t="s">
        <v>58</v>
      </c>
      <c r="V847" t="s">
        <v>45</v>
      </c>
      <c r="W847">
        <v>0</v>
      </c>
      <c r="X847">
        <v>1</v>
      </c>
      <c r="Y847" s="2">
        <f>Table1[[#This Row],[premium_yearly]]*Table1[[#This Row],[tenure_years]]</f>
        <v>5181.84</v>
      </c>
      <c r="Z847" s="2">
        <f>Table1[[#This Row],[total_collected_premiums]]*(1-$AD$2)</f>
        <v>3782.7431999999999</v>
      </c>
      <c r="AA847" s="2">
        <f>Table1[[#This Row],[retained_premium]]-Table1[[#This Row],[claim_amount_paid]]</f>
        <v>-4217.2568000000001</v>
      </c>
    </row>
    <row r="848" spans="1:27" x14ac:dyDescent="0.35">
      <c r="A848" t="s">
        <v>2583</v>
      </c>
      <c r="B848" t="s">
        <v>2584</v>
      </c>
      <c r="C848" t="s">
        <v>2585</v>
      </c>
      <c r="D848" s="1">
        <v>42021</v>
      </c>
      <c r="E848" s="1">
        <v>44184</v>
      </c>
      <c r="F848" s="1">
        <v>44187</v>
      </c>
      <c r="G848">
        <v>3</v>
      </c>
      <c r="H848">
        <v>92.8</v>
      </c>
      <c r="I848">
        <v>1113.5999999999999</v>
      </c>
      <c r="J848">
        <v>4000</v>
      </c>
      <c r="K848" t="s">
        <v>27</v>
      </c>
      <c r="L848">
        <v>4000</v>
      </c>
      <c r="M848">
        <v>1</v>
      </c>
      <c r="N848" t="s">
        <v>28</v>
      </c>
      <c r="O848">
        <v>12</v>
      </c>
      <c r="P848">
        <v>25</v>
      </c>
      <c r="Q848">
        <v>1</v>
      </c>
      <c r="R848">
        <v>6</v>
      </c>
      <c r="S848" t="s">
        <v>65</v>
      </c>
      <c r="T848" t="s">
        <v>50</v>
      </c>
      <c r="U848" t="s">
        <v>38</v>
      </c>
      <c r="V848" t="s">
        <v>32</v>
      </c>
      <c r="W848">
        <v>1</v>
      </c>
      <c r="X848">
        <v>0</v>
      </c>
      <c r="Y848" s="2">
        <f>Table1[[#This Row],[premium_yearly]]*Table1[[#This Row],[tenure_years]]</f>
        <v>1113.5999999999999</v>
      </c>
      <c r="Z848" s="2">
        <f>Table1[[#This Row],[total_collected_premiums]]*(1-$AD$2)</f>
        <v>812.92799999999988</v>
      </c>
      <c r="AA848" s="2">
        <f>Table1[[#This Row],[retained_premium]]-Table1[[#This Row],[claim_amount_paid]]</f>
        <v>-3187.0720000000001</v>
      </c>
    </row>
    <row r="849" spans="1:27" x14ac:dyDescent="0.35">
      <c r="A849" t="s">
        <v>2586</v>
      </c>
      <c r="B849" t="s">
        <v>2587</v>
      </c>
      <c r="C849" t="s">
        <v>2588</v>
      </c>
      <c r="D849" s="1">
        <v>43352</v>
      </c>
      <c r="E849" s="1">
        <v>44174</v>
      </c>
      <c r="F849" s="1">
        <v>44179</v>
      </c>
      <c r="G849">
        <v>5</v>
      </c>
      <c r="H849">
        <v>72.55</v>
      </c>
      <c r="I849">
        <v>870.6</v>
      </c>
      <c r="J849">
        <v>5000</v>
      </c>
      <c r="K849" t="s">
        <v>43</v>
      </c>
      <c r="L849">
        <v>0</v>
      </c>
      <c r="M849">
        <v>6</v>
      </c>
      <c r="N849" t="s">
        <v>36</v>
      </c>
      <c r="O849">
        <v>72</v>
      </c>
      <c r="P849">
        <v>28</v>
      </c>
      <c r="Q849">
        <v>1</v>
      </c>
      <c r="R849">
        <v>7</v>
      </c>
      <c r="S849" t="s">
        <v>29</v>
      </c>
      <c r="T849" t="s">
        <v>44</v>
      </c>
      <c r="U849" t="s">
        <v>58</v>
      </c>
      <c r="V849" t="s">
        <v>39</v>
      </c>
      <c r="W849">
        <v>0</v>
      </c>
      <c r="X849">
        <v>0</v>
      </c>
      <c r="Y849" s="2">
        <f>Table1[[#This Row],[premium_yearly]]*Table1[[#This Row],[tenure_years]]</f>
        <v>5223.6000000000004</v>
      </c>
      <c r="Z849" s="2">
        <f>Table1[[#This Row],[total_collected_premiums]]*(1-$AD$2)</f>
        <v>3813.2280000000001</v>
      </c>
      <c r="AA849" s="2">
        <f>Table1[[#This Row],[retained_premium]]-Table1[[#This Row],[claim_amount_paid]]</f>
        <v>3813.2280000000001</v>
      </c>
    </row>
    <row r="850" spans="1:27" x14ac:dyDescent="0.35">
      <c r="A850" t="s">
        <v>2589</v>
      </c>
      <c r="B850" t="s">
        <v>2590</v>
      </c>
      <c r="C850" t="s">
        <v>2591</v>
      </c>
      <c r="D850" s="1">
        <v>42058</v>
      </c>
      <c r="E850" s="1">
        <v>44185</v>
      </c>
      <c r="F850" s="1">
        <v>44188</v>
      </c>
      <c r="G850">
        <v>3</v>
      </c>
      <c r="H850">
        <v>121.52</v>
      </c>
      <c r="I850">
        <v>1458.24</v>
      </c>
      <c r="J850">
        <v>1000</v>
      </c>
      <c r="K850" t="s">
        <v>27</v>
      </c>
      <c r="L850">
        <v>1000</v>
      </c>
      <c r="M850">
        <v>8.92</v>
      </c>
      <c r="N850" t="s">
        <v>49</v>
      </c>
      <c r="O850">
        <v>107</v>
      </c>
      <c r="P850">
        <v>36</v>
      </c>
      <c r="Q850">
        <v>1</v>
      </c>
      <c r="R850">
        <v>6</v>
      </c>
      <c r="S850" t="s">
        <v>29</v>
      </c>
      <c r="T850" t="s">
        <v>50</v>
      </c>
      <c r="U850" t="s">
        <v>66</v>
      </c>
      <c r="V850" t="s">
        <v>32</v>
      </c>
      <c r="W850">
        <v>1</v>
      </c>
      <c r="X850">
        <v>1</v>
      </c>
      <c r="Y850" s="2">
        <f>Table1[[#This Row],[premium_yearly]]*Table1[[#This Row],[tenure_years]]</f>
        <v>13007.5008</v>
      </c>
      <c r="Z850" s="2">
        <f>Table1[[#This Row],[total_collected_premiums]]*(1-$AD$2)</f>
        <v>9495.4755839999998</v>
      </c>
      <c r="AA850" s="2">
        <f>Table1[[#This Row],[retained_premium]]-Table1[[#This Row],[claim_amount_paid]]</f>
        <v>8495.4755839999998</v>
      </c>
    </row>
    <row r="851" spans="1:27" x14ac:dyDescent="0.35">
      <c r="A851" t="s">
        <v>2592</v>
      </c>
      <c r="B851" t="s">
        <v>2593</v>
      </c>
      <c r="C851" t="s">
        <v>2594</v>
      </c>
      <c r="D851" s="1">
        <v>41123</v>
      </c>
      <c r="E851" s="1">
        <v>44190</v>
      </c>
      <c r="F851" s="1">
        <v>44191</v>
      </c>
      <c r="G851">
        <v>1</v>
      </c>
      <c r="H851">
        <v>75.38</v>
      </c>
      <c r="I851">
        <v>904.56</v>
      </c>
      <c r="J851">
        <v>2000</v>
      </c>
      <c r="K851" t="s">
        <v>27</v>
      </c>
      <c r="L851">
        <v>2000</v>
      </c>
      <c r="M851">
        <v>2.58</v>
      </c>
      <c r="N851" t="s">
        <v>28</v>
      </c>
      <c r="O851">
        <v>31</v>
      </c>
      <c r="P851">
        <v>30</v>
      </c>
      <c r="Q851">
        <v>0</v>
      </c>
      <c r="R851">
        <v>3</v>
      </c>
      <c r="S851" t="s">
        <v>29</v>
      </c>
      <c r="T851" t="s">
        <v>30</v>
      </c>
      <c r="U851" t="s">
        <v>38</v>
      </c>
      <c r="V851" t="s">
        <v>32</v>
      </c>
      <c r="W851">
        <v>0</v>
      </c>
      <c r="X851">
        <v>0</v>
      </c>
      <c r="Y851" s="2">
        <f>Table1[[#This Row],[premium_yearly]]*Table1[[#This Row],[tenure_years]]</f>
        <v>2333.7647999999999</v>
      </c>
      <c r="Z851" s="2">
        <f>Table1[[#This Row],[total_collected_premiums]]*(1-$AD$2)</f>
        <v>1703.6483039999998</v>
      </c>
      <c r="AA851" s="2">
        <f>Table1[[#This Row],[retained_premium]]-Table1[[#This Row],[claim_amount_paid]]</f>
        <v>-296.35169600000017</v>
      </c>
    </row>
    <row r="852" spans="1:27" x14ac:dyDescent="0.35">
      <c r="A852" t="s">
        <v>2595</v>
      </c>
      <c r="B852" t="s">
        <v>2596</v>
      </c>
      <c r="C852" t="s">
        <v>2597</v>
      </c>
      <c r="D852" s="1">
        <v>43286</v>
      </c>
      <c r="E852" s="1">
        <v>44187</v>
      </c>
      <c r="F852" s="1">
        <v>44190</v>
      </c>
      <c r="G852">
        <v>3</v>
      </c>
      <c r="H852">
        <v>87.02</v>
      </c>
      <c r="I852">
        <v>1044.24</v>
      </c>
      <c r="J852">
        <v>1000</v>
      </c>
      <c r="K852" t="s">
        <v>27</v>
      </c>
      <c r="L852">
        <v>1000</v>
      </c>
      <c r="M852">
        <v>1.08</v>
      </c>
      <c r="N852" t="s">
        <v>28</v>
      </c>
      <c r="O852">
        <v>13</v>
      </c>
      <c r="P852">
        <v>25</v>
      </c>
      <c r="Q852">
        <v>0</v>
      </c>
      <c r="R852">
        <v>4</v>
      </c>
      <c r="S852" t="s">
        <v>29</v>
      </c>
      <c r="T852" t="s">
        <v>50</v>
      </c>
      <c r="U852" t="s">
        <v>88</v>
      </c>
      <c r="V852" t="s">
        <v>45</v>
      </c>
      <c r="W852">
        <v>1</v>
      </c>
      <c r="X852">
        <v>0</v>
      </c>
      <c r="Y852" s="2">
        <f>Table1[[#This Row],[premium_yearly]]*Table1[[#This Row],[tenure_years]]</f>
        <v>1127.7792000000002</v>
      </c>
      <c r="Z852" s="2">
        <f>Table1[[#This Row],[total_collected_premiums]]*(1-$AD$2)</f>
        <v>823.27881600000012</v>
      </c>
      <c r="AA852" s="2">
        <f>Table1[[#This Row],[retained_premium]]-Table1[[#This Row],[claim_amount_paid]]</f>
        <v>-176.72118399999988</v>
      </c>
    </row>
    <row r="853" spans="1:27" x14ac:dyDescent="0.35">
      <c r="A853" t="s">
        <v>2598</v>
      </c>
      <c r="B853" t="s">
        <v>2599</v>
      </c>
      <c r="C853" t="s">
        <v>2600</v>
      </c>
      <c r="D853" s="1">
        <v>41550</v>
      </c>
      <c r="E853" s="1">
        <v>44181</v>
      </c>
      <c r="F853" s="1">
        <v>44186</v>
      </c>
      <c r="G853">
        <v>5</v>
      </c>
      <c r="H853">
        <v>129.25</v>
      </c>
      <c r="I853">
        <v>1551</v>
      </c>
      <c r="J853">
        <v>1000</v>
      </c>
      <c r="K853" t="s">
        <v>27</v>
      </c>
      <c r="L853">
        <v>1000</v>
      </c>
      <c r="M853">
        <v>5.5</v>
      </c>
      <c r="N853" t="s">
        <v>49</v>
      </c>
      <c r="O853">
        <v>66</v>
      </c>
      <c r="P853">
        <v>58</v>
      </c>
      <c r="Q853">
        <v>0</v>
      </c>
      <c r="R853">
        <v>3</v>
      </c>
      <c r="S853" t="s">
        <v>65</v>
      </c>
      <c r="T853" t="s">
        <v>30</v>
      </c>
      <c r="U853" t="s">
        <v>31</v>
      </c>
      <c r="V853" t="s">
        <v>39</v>
      </c>
      <c r="W853">
        <v>1</v>
      </c>
      <c r="X853">
        <v>1</v>
      </c>
      <c r="Y853" s="2">
        <f>Table1[[#This Row],[premium_yearly]]*Table1[[#This Row],[tenure_years]]</f>
        <v>8530.5</v>
      </c>
      <c r="Z853" s="2">
        <f>Table1[[#This Row],[total_collected_premiums]]*(1-$AD$2)</f>
        <v>6227.2649999999994</v>
      </c>
      <c r="AA853" s="2">
        <f>Table1[[#This Row],[retained_premium]]-Table1[[#This Row],[claim_amount_paid]]</f>
        <v>5227.2649999999994</v>
      </c>
    </row>
    <row r="854" spans="1:27" x14ac:dyDescent="0.35">
      <c r="A854" t="s">
        <v>2601</v>
      </c>
      <c r="B854" t="s">
        <v>2602</v>
      </c>
      <c r="C854" t="s">
        <v>2603</v>
      </c>
      <c r="D854" s="1">
        <v>40852</v>
      </c>
      <c r="E854" s="1">
        <v>44175</v>
      </c>
      <c r="F854" s="1">
        <v>44180</v>
      </c>
      <c r="G854">
        <v>5</v>
      </c>
      <c r="H854">
        <v>72.56</v>
      </c>
      <c r="I854">
        <v>870.72</v>
      </c>
      <c r="J854">
        <v>3000</v>
      </c>
      <c r="K854" t="s">
        <v>27</v>
      </c>
      <c r="L854">
        <v>3000</v>
      </c>
      <c r="M854">
        <v>5.08</v>
      </c>
      <c r="N854" t="s">
        <v>49</v>
      </c>
      <c r="O854">
        <v>61</v>
      </c>
      <c r="P854">
        <v>47</v>
      </c>
      <c r="Q854">
        <v>1</v>
      </c>
      <c r="R854">
        <v>7</v>
      </c>
      <c r="S854" t="s">
        <v>65</v>
      </c>
      <c r="T854" t="s">
        <v>30</v>
      </c>
      <c r="U854" t="s">
        <v>38</v>
      </c>
      <c r="V854" t="s">
        <v>32</v>
      </c>
      <c r="W854">
        <v>1</v>
      </c>
      <c r="X854">
        <v>1</v>
      </c>
      <c r="Y854" s="2">
        <f>Table1[[#This Row],[premium_yearly]]*Table1[[#This Row],[tenure_years]]</f>
        <v>4423.2575999999999</v>
      </c>
      <c r="Z854" s="2">
        <f>Table1[[#This Row],[total_collected_premiums]]*(1-$AD$2)</f>
        <v>3228.9780479999999</v>
      </c>
      <c r="AA854" s="2">
        <f>Table1[[#This Row],[retained_premium]]-Table1[[#This Row],[claim_amount_paid]]</f>
        <v>228.97804799999994</v>
      </c>
    </row>
    <row r="855" spans="1:27" x14ac:dyDescent="0.35">
      <c r="A855" t="s">
        <v>2604</v>
      </c>
      <c r="B855" t="s">
        <v>2605</v>
      </c>
      <c r="C855" t="s">
        <v>2606</v>
      </c>
      <c r="D855" s="1">
        <v>41028</v>
      </c>
      <c r="E855" s="1">
        <v>44175</v>
      </c>
      <c r="F855" s="1">
        <v>44180</v>
      </c>
      <c r="G855">
        <v>5</v>
      </c>
      <c r="H855">
        <v>130.83000000000001</v>
      </c>
      <c r="I855">
        <v>1569.96</v>
      </c>
      <c r="J855">
        <v>1000</v>
      </c>
      <c r="K855" t="s">
        <v>27</v>
      </c>
      <c r="L855">
        <v>1000</v>
      </c>
      <c r="M855">
        <v>2.5</v>
      </c>
      <c r="N855" t="s">
        <v>49</v>
      </c>
      <c r="O855">
        <v>30</v>
      </c>
      <c r="P855">
        <v>56</v>
      </c>
      <c r="Q855">
        <v>0</v>
      </c>
      <c r="R855">
        <v>4</v>
      </c>
      <c r="S855" t="s">
        <v>65</v>
      </c>
      <c r="T855" t="s">
        <v>50</v>
      </c>
      <c r="U855" t="s">
        <v>31</v>
      </c>
      <c r="V855" t="s">
        <v>39</v>
      </c>
      <c r="W855">
        <v>1</v>
      </c>
      <c r="X855">
        <v>0</v>
      </c>
      <c r="Y855" s="2">
        <f>Table1[[#This Row],[premium_yearly]]*Table1[[#This Row],[tenure_years]]</f>
        <v>3924.9</v>
      </c>
      <c r="Z855" s="2">
        <f>Table1[[#This Row],[total_collected_premiums]]*(1-$AD$2)</f>
        <v>2865.1770000000001</v>
      </c>
      <c r="AA855" s="2">
        <f>Table1[[#This Row],[retained_premium]]-Table1[[#This Row],[claim_amount_paid]]</f>
        <v>1865.1770000000001</v>
      </c>
    </row>
    <row r="856" spans="1:27" x14ac:dyDescent="0.35">
      <c r="A856" t="s">
        <v>2607</v>
      </c>
      <c r="B856" t="s">
        <v>2608</v>
      </c>
      <c r="C856" t="s">
        <v>2609</v>
      </c>
      <c r="D856" s="1">
        <v>41718</v>
      </c>
      <c r="E856" s="1">
        <v>44180</v>
      </c>
      <c r="F856" s="1">
        <v>44185</v>
      </c>
      <c r="G856">
        <v>5</v>
      </c>
      <c r="H856">
        <v>105.85</v>
      </c>
      <c r="I856">
        <v>1270.2</v>
      </c>
      <c r="J856">
        <v>6000</v>
      </c>
      <c r="K856" t="s">
        <v>27</v>
      </c>
      <c r="L856">
        <v>6000</v>
      </c>
      <c r="M856">
        <v>8.75</v>
      </c>
      <c r="N856" t="s">
        <v>28</v>
      </c>
      <c r="O856">
        <v>105</v>
      </c>
      <c r="P856">
        <v>55</v>
      </c>
      <c r="Q856">
        <v>0</v>
      </c>
      <c r="R856">
        <v>3</v>
      </c>
      <c r="S856" t="s">
        <v>29</v>
      </c>
      <c r="T856" t="s">
        <v>50</v>
      </c>
      <c r="U856" t="s">
        <v>31</v>
      </c>
      <c r="V856" t="s">
        <v>39</v>
      </c>
      <c r="W856">
        <v>1</v>
      </c>
      <c r="X856">
        <v>0</v>
      </c>
      <c r="Y856" s="2">
        <f>Table1[[#This Row],[premium_yearly]]*Table1[[#This Row],[tenure_years]]</f>
        <v>11114.25</v>
      </c>
      <c r="Z856" s="2">
        <f>Table1[[#This Row],[total_collected_premiums]]*(1-$AD$2)</f>
        <v>8113.4025000000001</v>
      </c>
      <c r="AA856" s="2">
        <f>Table1[[#This Row],[retained_premium]]-Table1[[#This Row],[claim_amount_paid]]</f>
        <v>2113.4025000000001</v>
      </c>
    </row>
    <row r="857" spans="1:27" x14ac:dyDescent="0.35">
      <c r="A857" t="s">
        <v>2610</v>
      </c>
      <c r="B857" t="s">
        <v>2611</v>
      </c>
      <c r="C857" t="s">
        <v>2612</v>
      </c>
      <c r="D857" s="1">
        <v>41520</v>
      </c>
      <c r="E857" s="1">
        <v>44184</v>
      </c>
      <c r="F857" s="1">
        <v>44189</v>
      </c>
      <c r="G857">
        <v>5</v>
      </c>
      <c r="H857">
        <v>139.72999999999999</v>
      </c>
      <c r="I857">
        <v>1676.76</v>
      </c>
      <c r="J857">
        <v>8000</v>
      </c>
      <c r="K857" t="s">
        <v>27</v>
      </c>
      <c r="L857">
        <v>8000</v>
      </c>
      <c r="M857">
        <v>0.75</v>
      </c>
      <c r="N857" t="s">
        <v>49</v>
      </c>
      <c r="O857">
        <v>9</v>
      </c>
      <c r="P857">
        <v>43</v>
      </c>
      <c r="Q857">
        <v>1</v>
      </c>
      <c r="R857">
        <v>7</v>
      </c>
      <c r="S857" t="s">
        <v>65</v>
      </c>
      <c r="T857" t="s">
        <v>30</v>
      </c>
      <c r="U857" t="s">
        <v>38</v>
      </c>
      <c r="V857" t="s">
        <v>39</v>
      </c>
      <c r="W857">
        <v>1</v>
      </c>
      <c r="X857">
        <v>1</v>
      </c>
      <c r="Y857" s="2">
        <f>Table1[[#This Row],[premium_yearly]]*Table1[[#This Row],[tenure_years]]</f>
        <v>1257.57</v>
      </c>
      <c r="Z857" s="2">
        <f>Table1[[#This Row],[total_collected_premiums]]*(1-$AD$2)</f>
        <v>918.02609999999993</v>
      </c>
      <c r="AA857" s="2">
        <f>Table1[[#This Row],[retained_premium]]-Table1[[#This Row],[claim_amount_paid]]</f>
        <v>-7081.9739</v>
      </c>
    </row>
    <row r="858" spans="1:27" x14ac:dyDescent="0.35">
      <c r="A858" t="s">
        <v>2613</v>
      </c>
      <c r="B858" t="s">
        <v>2614</v>
      </c>
      <c r="C858" t="s">
        <v>2615</v>
      </c>
      <c r="D858" s="1">
        <v>43698</v>
      </c>
      <c r="E858" s="1">
        <v>44196</v>
      </c>
      <c r="F858" s="1">
        <v>44196</v>
      </c>
      <c r="G858">
        <v>0</v>
      </c>
      <c r="H858">
        <v>123.23</v>
      </c>
      <c r="I858">
        <v>1478.76</v>
      </c>
      <c r="J858">
        <v>9000</v>
      </c>
      <c r="K858" t="s">
        <v>27</v>
      </c>
      <c r="L858">
        <v>9000</v>
      </c>
      <c r="M858">
        <v>8.25</v>
      </c>
      <c r="N858" t="s">
        <v>49</v>
      </c>
      <c r="O858">
        <v>99</v>
      </c>
      <c r="P858">
        <v>49</v>
      </c>
      <c r="Q858">
        <v>1</v>
      </c>
      <c r="R858">
        <v>7</v>
      </c>
      <c r="S858" t="s">
        <v>65</v>
      </c>
      <c r="T858" t="s">
        <v>50</v>
      </c>
      <c r="U858" t="s">
        <v>38</v>
      </c>
      <c r="V858" t="s">
        <v>32</v>
      </c>
      <c r="W858">
        <v>1</v>
      </c>
      <c r="X858">
        <v>0</v>
      </c>
      <c r="Y858" s="2">
        <f>Table1[[#This Row],[premium_yearly]]*Table1[[#This Row],[tenure_years]]</f>
        <v>12199.77</v>
      </c>
      <c r="Z858" s="2">
        <f>Table1[[#This Row],[total_collected_premiums]]*(1-$AD$2)</f>
        <v>8905.8320999999996</v>
      </c>
      <c r="AA858" s="2">
        <f>Table1[[#This Row],[retained_premium]]-Table1[[#This Row],[claim_amount_paid]]</f>
        <v>-94.167900000000373</v>
      </c>
    </row>
    <row r="859" spans="1:27" x14ac:dyDescent="0.35">
      <c r="A859" t="s">
        <v>2616</v>
      </c>
      <c r="B859" t="s">
        <v>2617</v>
      </c>
      <c r="C859" t="s">
        <v>2618</v>
      </c>
      <c r="D859" s="1">
        <v>40552</v>
      </c>
      <c r="E859" s="1">
        <v>44188</v>
      </c>
      <c r="F859" s="1">
        <v>44191</v>
      </c>
      <c r="G859">
        <v>3</v>
      </c>
      <c r="H859">
        <v>78.89</v>
      </c>
      <c r="I859">
        <v>946.68</v>
      </c>
      <c r="J859">
        <v>9000</v>
      </c>
      <c r="K859" t="s">
        <v>27</v>
      </c>
      <c r="L859">
        <v>9000</v>
      </c>
      <c r="M859">
        <v>9.42</v>
      </c>
      <c r="N859" t="s">
        <v>49</v>
      </c>
      <c r="O859">
        <v>113</v>
      </c>
      <c r="P859">
        <v>42</v>
      </c>
      <c r="Q859">
        <v>1</v>
      </c>
      <c r="R859">
        <v>5</v>
      </c>
      <c r="S859" t="s">
        <v>65</v>
      </c>
      <c r="T859" t="s">
        <v>30</v>
      </c>
      <c r="U859" t="s">
        <v>31</v>
      </c>
      <c r="V859" t="s">
        <v>45</v>
      </c>
      <c r="W859">
        <v>0</v>
      </c>
      <c r="X859">
        <v>1</v>
      </c>
      <c r="Y859" s="2">
        <f>Table1[[#This Row],[premium_yearly]]*Table1[[#This Row],[tenure_years]]</f>
        <v>8917.7255999999998</v>
      </c>
      <c r="Z859" s="2">
        <f>Table1[[#This Row],[total_collected_premiums]]*(1-$AD$2)</f>
        <v>6509.9396879999995</v>
      </c>
      <c r="AA859" s="2">
        <f>Table1[[#This Row],[retained_premium]]-Table1[[#This Row],[claim_amount_paid]]</f>
        <v>-2490.0603120000005</v>
      </c>
    </row>
    <row r="860" spans="1:27" x14ac:dyDescent="0.35">
      <c r="A860" t="s">
        <v>2619</v>
      </c>
      <c r="B860" t="s">
        <v>2620</v>
      </c>
      <c r="C860" t="s">
        <v>2621</v>
      </c>
      <c r="D860" s="1">
        <v>42574</v>
      </c>
      <c r="E860" s="1">
        <v>44178</v>
      </c>
      <c r="F860" s="1">
        <v>44183</v>
      </c>
      <c r="G860">
        <v>5</v>
      </c>
      <c r="H860">
        <v>109.68</v>
      </c>
      <c r="I860">
        <v>1316.16</v>
      </c>
      <c r="J860">
        <v>2000</v>
      </c>
      <c r="K860" t="s">
        <v>27</v>
      </c>
      <c r="L860">
        <v>2000</v>
      </c>
      <c r="M860">
        <v>5.33</v>
      </c>
      <c r="N860" t="s">
        <v>36</v>
      </c>
      <c r="O860">
        <v>64</v>
      </c>
      <c r="P860">
        <v>26</v>
      </c>
      <c r="Q860">
        <v>0</v>
      </c>
      <c r="R860">
        <v>2</v>
      </c>
      <c r="S860" t="s">
        <v>29</v>
      </c>
      <c r="T860" t="s">
        <v>44</v>
      </c>
      <c r="U860" t="s">
        <v>31</v>
      </c>
      <c r="V860" t="s">
        <v>39</v>
      </c>
      <c r="W860">
        <v>0</v>
      </c>
      <c r="X860">
        <v>1</v>
      </c>
      <c r="Y860" s="2">
        <f>Table1[[#This Row],[premium_yearly]]*Table1[[#This Row],[tenure_years]]</f>
        <v>7015.1328000000003</v>
      </c>
      <c r="Z860" s="2">
        <f>Table1[[#This Row],[total_collected_premiums]]*(1-$AD$2)</f>
        <v>5121.0469439999997</v>
      </c>
      <c r="AA860" s="2">
        <f>Table1[[#This Row],[retained_premium]]-Table1[[#This Row],[claim_amount_paid]]</f>
        <v>3121.0469439999997</v>
      </c>
    </row>
    <row r="861" spans="1:27" x14ac:dyDescent="0.35">
      <c r="A861" t="s">
        <v>2622</v>
      </c>
      <c r="B861" t="s">
        <v>2623</v>
      </c>
      <c r="C861" t="s">
        <v>2624</v>
      </c>
      <c r="D861" s="1">
        <v>41044</v>
      </c>
      <c r="E861" s="1">
        <v>44184</v>
      </c>
      <c r="F861" s="1">
        <v>44189</v>
      </c>
      <c r="G861">
        <v>5</v>
      </c>
      <c r="H861">
        <v>103.62</v>
      </c>
      <c r="I861">
        <v>1243.44</v>
      </c>
      <c r="J861">
        <v>3000</v>
      </c>
      <c r="K861" t="s">
        <v>27</v>
      </c>
      <c r="L861">
        <v>3000</v>
      </c>
      <c r="M861">
        <v>2.17</v>
      </c>
      <c r="N861" t="s">
        <v>28</v>
      </c>
      <c r="O861">
        <v>26</v>
      </c>
      <c r="P861">
        <v>26</v>
      </c>
      <c r="Q861">
        <v>0</v>
      </c>
      <c r="R861">
        <v>7</v>
      </c>
      <c r="S861" t="s">
        <v>37</v>
      </c>
      <c r="T861" t="s">
        <v>30</v>
      </c>
      <c r="U861" t="s">
        <v>51</v>
      </c>
      <c r="V861" t="s">
        <v>45</v>
      </c>
      <c r="W861">
        <v>1</v>
      </c>
      <c r="X861">
        <v>0</v>
      </c>
      <c r="Y861" s="2">
        <f>Table1[[#This Row],[premium_yearly]]*Table1[[#This Row],[tenure_years]]</f>
        <v>2698.2647999999999</v>
      </c>
      <c r="Z861" s="2">
        <f>Table1[[#This Row],[total_collected_premiums]]*(1-$AD$2)</f>
        <v>1969.7333039999999</v>
      </c>
      <c r="AA861" s="2">
        <f>Table1[[#This Row],[retained_premium]]-Table1[[#This Row],[claim_amount_paid]]</f>
        <v>-1030.2666960000001</v>
      </c>
    </row>
    <row r="862" spans="1:27" x14ac:dyDescent="0.35">
      <c r="A862" t="s">
        <v>2625</v>
      </c>
      <c r="B862" t="s">
        <v>2626</v>
      </c>
      <c r="C862" t="s">
        <v>2627</v>
      </c>
      <c r="D862" s="1">
        <v>43447</v>
      </c>
      <c r="E862" s="1">
        <v>44188</v>
      </c>
      <c r="F862" s="1">
        <v>44193</v>
      </c>
      <c r="G862">
        <v>5</v>
      </c>
      <c r="H862">
        <v>134.16</v>
      </c>
      <c r="I862">
        <v>1609.92</v>
      </c>
      <c r="J862">
        <v>5000</v>
      </c>
      <c r="K862" t="s">
        <v>27</v>
      </c>
      <c r="L862">
        <v>5000</v>
      </c>
      <c r="M862">
        <v>1.75</v>
      </c>
      <c r="N862" t="s">
        <v>36</v>
      </c>
      <c r="O862">
        <v>21</v>
      </c>
      <c r="P862">
        <v>35</v>
      </c>
      <c r="Q862">
        <v>1</v>
      </c>
      <c r="R862">
        <v>4</v>
      </c>
      <c r="S862" t="s">
        <v>37</v>
      </c>
      <c r="T862" t="s">
        <v>30</v>
      </c>
      <c r="U862" t="s">
        <v>38</v>
      </c>
      <c r="V862" t="s">
        <v>32</v>
      </c>
      <c r="W862">
        <v>0</v>
      </c>
      <c r="X862">
        <v>1</v>
      </c>
      <c r="Y862" s="2">
        <f>Table1[[#This Row],[premium_yearly]]*Table1[[#This Row],[tenure_years]]</f>
        <v>2817.36</v>
      </c>
      <c r="Z862" s="2">
        <f>Table1[[#This Row],[total_collected_premiums]]*(1-$AD$2)</f>
        <v>2056.6727999999998</v>
      </c>
      <c r="AA862" s="2">
        <f>Table1[[#This Row],[retained_premium]]-Table1[[#This Row],[claim_amount_paid]]</f>
        <v>-2943.3272000000002</v>
      </c>
    </row>
    <row r="863" spans="1:27" x14ac:dyDescent="0.35">
      <c r="A863" t="s">
        <v>2628</v>
      </c>
      <c r="B863" t="s">
        <v>2629</v>
      </c>
      <c r="C863" t="s">
        <v>2630</v>
      </c>
      <c r="D863" s="1">
        <v>42097</v>
      </c>
      <c r="E863" s="1">
        <v>44190</v>
      </c>
      <c r="F863" s="1">
        <v>44193</v>
      </c>
      <c r="G863">
        <v>3</v>
      </c>
      <c r="H863">
        <v>134.61000000000001</v>
      </c>
      <c r="I863">
        <v>1615.32</v>
      </c>
      <c r="J863">
        <v>3000</v>
      </c>
      <c r="K863" t="s">
        <v>27</v>
      </c>
      <c r="L863">
        <v>3000</v>
      </c>
      <c r="M863">
        <v>5</v>
      </c>
      <c r="N863" t="s">
        <v>28</v>
      </c>
      <c r="O863">
        <v>60</v>
      </c>
      <c r="P863">
        <v>25</v>
      </c>
      <c r="Q863">
        <v>1</v>
      </c>
      <c r="R863">
        <v>2</v>
      </c>
      <c r="S863" t="s">
        <v>29</v>
      </c>
      <c r="T863" t="s">
        <v>44</v>
      </c>
      <c r="U863" t="s">
        <v>38</v>
      </c>
      <c r="V863" t="s">
        <v>39</v>
      </c>
      <c r="W863">
        <v>1</v>
      </c>
      <c r="X863">
        <v>1</v>
      </c>
      <c r="Y863" s="2">
        <f>Table1[[#This Row],[premium_yearly]]*Table1[[#This Row],[tenure_years]]</f>
        <v>8076.5999999999995</v>
      </c>
      <c r="Z863" s="2">
        <f>Table1[[#This Row],[total_collected_premiums]]*(1-$AD$2)</f>
        <v>5895.9179999999997</v>
      </c>
      <c r="AA863" s="2">
        <f>Table1[[#This Row],[retained_premium]]-Table1[[#This Row],[claim_amount_paid]]</f>
        <v>2895.9179999999997</v>
      </c>
    </row>
    <row r="864" spans="1:27" x14ac:dyDescent="0.35">
      <c r="A864" t="s">
        <v>2631</v>
      </c>
      <c r="B864" t="s">
        <v>2632</v>
      </c>
      <c r="C864" t="s">
        <v>2633</v>
      </c>
      <c r="D864" s="1">
        <v>41243</v>
      </c>
      <c r="E864" s="1">
        <v>44182</v>
      </c>
      <c r="F864" s="1">
        <v>44187</v>
      </c>
      <c r="G864">
        <v>5</v>
      </c>
      <c r="H864">
        <v>124.9</v>
      </c>
      <c r="I864">
        <v>1498.8</v>
      </c>
      <c r="J864">
        <v>3000</v>
      </c>
      <c r="K864" t="s">
        <v>27</v>
      </c>
      <c r="L864">
        <v>3000</v>
      </c>
      <c r="M864">
        <v>1.17</v>
      </c>
      <c r="N864" t="s">
        <v>49</v>
      </c>
      <c r="O864">
        <v>14</v>
      </c>
      <c r="P864">
        <v>63</v>
      </c>
      <c r="Q864">
        <v>1</v>
      </c>
      <c r="R864">
        <v>2</v>
      </c>
      <c r="S864" t="s">
        <v>65</v>
      </c>
      <c r="T864" t="s">
        <v>30</v>
      </c>
      <c r="U864" t="s">
        <v>31</v>
      </c>
      <c r="V864" t="s">
        <v>45</v>
      </c>
      <c r="W864">
        <v>0</v>
      </c>
      <c r="X864">
        <v>0</v>
      </c>
      <c r="Y864" s="2">
        <f>Table1[[#This Row],[premium_yearly]]*Table1[[#This Row],[tenure_years]]</f>
        <v>1753.5959999999998</v>
      </c>
      <c r="Z864" s="2">
        <f>Table1[[#This Row],[total_collected_premiums]]*(1-$AD$2)</f>
        <v>1280.1250799999998</v>
      </c>
      <c r="AA864" s="2">
        <f>Table1[[#This Row],[retained_premium]]-Table1[[#This Row],[claim_amount_paid]]</f>
        <v>-1719.8749200000002</v>
      </c>
    </row>
    <row r="865" spans="1:27" x14ac:dyDescent="0.35">
      <c r="A865" t="s">
        <v>2634</v>
      </c>
      <c r="B865" t="s">
        <v>2635</v>
      </c>
      <c r="C865" t="s">
        <v>2636</v>
      </c>
      <c r="D865" s="1">
        <v>41021</v>
      </c>
      <c r="E865" s="1">
        <v>44198</v>
      </c>
      <c r="F865" s="1">
        <v>44198</v>
      </c>
      <c r="G865">
        <v>0</v>
      </c>
      <c r="H865">
        <v>124.05</v>
      </c>
      <c r="I865">
        <v>1488.6</v>
      </c>
      <c r="J865">
        <v>3000</v>
      </c>
      <c r="K865" t="s">
        <v>27</v>
      </c>
      <c r="L865">
        <v>3000</v>
      </c>
      <c r="M865">
        <v>3.17</v>
      </c>
      <c r="N865" t="s">
        <v>28</v>
      </c>
      <c r="O865">
        <v>38</v>
      </c>
      <c r="P865">
        <v>48</v>
      </c>
      <c r="Q865">
        <v>1</v>
      </c>
      <c r="R865">
        <v>6</v>
      </c>
      <c r="S865" t="s">
        <v>65</v>
      </c>
      <c r="T865" t="s">
        <v>44</v>
      </c>
      <c r="U865" t="s">
        <v>31</v>
      </c>
      <c r="V865" t="s">
        <v>39</v>
      </c>
      <c r="W865">
        <v>0</v>
      </c>
      <c r="X865">
        <v>0</v>
      </c>
      <c r="Y865" s="2">
        <f>Table1[[#This Row],[premium_yearly]]*Table1[[#This Row],[tenure_years]]</f>
        <v>4718.8619999999992</v>
      </c>
      <c r="Z865" s="2">
        <f>Table1[[#This Row],[total_collected_premiums]]*(1-$AD$2)</f>
        <v>3444.7692599999991</v>
      </c>
      <c r="AA865" s="2">
        <f>Table1[[#This Row],[retained_premium]]-Table1[[#This Row],[claim_amount_paid]]</f>
        <v>444.76925999999912</v>
      </c>
    </row>
    <row r="866" spans="1:27" x14ac:dyDescent="0.35">
      <c r="A866" t="s">
        <v>2637</v>
      </c>
      <c r="B866" t="s">
        <v>2638</v>
      </c>
      <c r="C866" t="s">
        <v>2639</v>
      </c>
      <c r="D866" s="1">
        <v>42302</v>
      </c>
      <c r="E866" s="1">
        <v>44191</v>
      </c>
      <c r="F866" s="1">
        <v>44194</v>
      </c>
      <c r="G866">
        <v>3</v>
      </c>
      <c r="H866">
        <v>87.65</v>
      </c>
      <c r="I866">
        <v>1051.8</v>
      </c>
      <c r="J866">
        <v>7000</v>
      </c>
      <c r="K866" t="s">
        <v>27</v>
      </c>
      <c r="L866">
        <v>7000</v>
      </c>
      <c r="M866">
        <v>2.5</v>
      </c>
      <c r="N866" t="s">
        <v>28</v>
      </c>
      <c r="O866">
        <v>30</v>
      </c>
      <c r="P866">
        <v>31</v>
      </c>
      <c r="Q866">
        <v>0</v>
      </c>
      <c r="R866">
        <v>2</v>
      </c>
      <c r="S866" t="s">
        <v>29</v>
      </c>
      <c r="T866" t="s">
        <v>44</v>
      </c>
      <c r="U866" t="s">
        <v>31</v>
      </c>
      <c r="V866" t="s">
        <v>45</v>
      </c>
      <c r="W866">
        <v>0</v>
      </c>
      <c r="X866">
        <v>0</v>
      </c>
      <c r="Y866" s="2">
        <f>Table1[[#This Row],[premium_yearly]]*Table1[[#This Row],[tenure_years]]</f>
        <v>2629.5</v>
      </c>
      <c r="Z866" s="2">
        <f>Table1[[#This Row],[total_collected_premiums]]*(1-$AD$2)</f>
        <v>1919.5349999999999</v>
      </c>
      <c r="AA866" s="2">
        <f>Table1[[#This Row],[retained_premium]]-Table1[[#This Row],[claim_amount_paid]]</f>
        <v>-5080.4650000000001</v>
      </c>
    </row>
    <row r="867" spans="1:27" x14ac:dyDescent="0.35">
      <c r="A867" t="s">
        <v>2640</v>
      </c>
      <c r="B867" t="s">
        <v>2641</v>
      </c>
      <c r="C867" t="s">
        <v>2642</v>
      </c>
      <c r="D867" s="1">
        <v>41581</v>
      </c>
      <c r="E867" s="1">
        <v>44185</v>
      </c>
      <c r="F867" s="1">
        <v>44190</v>
      </c>
      <c r="G867">
        <v>5</v>
      </c>
      <c r="H867">
        <v>70.05</v>
      </c>
      <c r="I867">
        <v>840.6</v>
      </c>
      <c r="J867">
        <v>9000</v>
      </c>
      <c r="K867" t="s">
        <v>27</v>
      </c>
      <c r="L867">
        <v>9000</v>
      </c>
      <c r="M867">
        <v>3.25</v>
      </c>
      <c r="N867" t="s">
        <v>28</v>
      </c>
      <c r="O867">
        <v>39</v>
      </c>
      <c r="P867">
        <v>48</v>
      </c>
      <c r="Q867">
        <v>0</v>
      </c>
      <c r="R867">
        <v>2</v>
      </c>
      <c r="S867" t="s">
        <v>29</v>
      </c>
      <c r="T867" t="s">
        <v>44</v>
      </c>
      <c r="U867" t="s">
        <v>58</v>
      </c>
      <c r="V867" t="s">
        <v>45</v>
      </c>
      <c r="W867">
        <v>1</v>
      </c>
      <c r="X867">
        <v>1</v>
      </c>
      <c r="Y867" s="2">
        <f>Table1[[#This Row],[premium_yearly]]*Table1[[#This Row],[tenure_years]]</f>
        <v>2731.9500000000003</v>
      </c>
      <c r="Z867" s="2">
        <f>Table1[[#This Row],[total_collected_premiums]]*(1-$AD$2)</f>
        <v>1994.3235000000002</v>
      </c>
      <c r="AA867" s="2">
        <f>Table1[[#This Row],[retained_premium]]-Table1[[#This Row],[claim_amount_paid]]</f>
        <v>-7005.6764999999996</v>
      </c>
    </row>
    <row r="868" spans="1:27" x14ac:dyDescent="0.35">
      <c r="A868" t="s">
        <v>2643</v>
      </c>
      <c r="B868" t="s">
        <v>2644</v>
      </c>
      <c r="C868" t="s">
        <v>2645</v>
      </c>
      <c r="D868" s="1">
        <v>42421</v>
      </c>
      <c r="E868" s="1">
        <v>44189</v>
      </c>
      <c r="F868" s="1">
        <v>44194</v>
      </c>
      <c r="G868">
        <v>5</v>
      </c>
      <c r="H868">
        <v>73.62</v>
      </c>
      <c r="I868">
        <v>883.44</v>
      </c>
      <c r="J868">
        <v>7000</v>
      </c>
      <c r="K868" t="s">
        <v>27</v>
      </c>
      <c r="L868">
        <v>7000</v>
      </c>
      <c r="M868">
        <v>7.58</v>
      </c>
      <c r="N868" t="s">
        <v>28</v>
      </c>
      <c r="O868">
        <v>91</v>
      </c>
      <c r="P868">
        <v>61</v>
      </c>
      <c r="Q868">
        <v>0</v>
      </c>
      <c r="R868">
        <v>2</v>
      </c>
      <c r="S868" t="s">
        <v>29</v>
      </c>
      <c r="T868" t="s">
        <v>50</v>
      </c>
      <c r="U868" t="s">
        <v>51</v>
      </c>
      <c r="V868" t="s">
        <v>39</v>
      </c>
      <c r="W868">
        <v>0</v>
      </c>
      <c r="X868">
        <v>1</v>
      </c>
      <c r="Y868" s="2">
        <f>Table1[[#This Row],[premium_yearly]]*Table1[[#This Row],[tenure_years]]</f>
        <v>6696.4752000000008</v>
      </c>
      <c r="Z868" s="2">
        <f>Table1[[#This Row],[total_collected_premiums]]*(1-$AD$2)</f>
        <v>4888.4268960000009</v>
      </c>
      <c r="AA868" s="2">
        <f>Table1[[#This Row],[retained_premium]]-Table1[[#This Row],[claim_amount_paid]]</f>
        <v>-2111.5731039999991</v>
      </c>
    </row>
    <row r="869" spans="1:27" x14ac:dyDescent="0.35">
      <c r="A869" t="s">
        <v>2646</v>
      </c>
      <c r="B869" t="s">
        <v>2647</v>
      </c>
      <c r="C869" t="s">
        <v>2648</v>
      </c>
      <c r="D869" s="1">
        <v>41751</v>
      </c>
      <c r="E869" s="1">
        <v>44181</v>
      </c>
      <c r="F869" s="1">
        <v>44186</v>
      </c>
      <c r="G869">
        <v>5</v>
      </c>
      <c r="H869">
        <v>96.11</v>
      </c>
      <c r="I869">
        <v>1153.32</v>
      </c>
      <c r="J869">
        <v>8000</v>
      </c>
      <c r="K869" t="s">
        <v>27</v>
      </c>
      <c r="L869">
        <v>8000</v>
      </c>
      <c r="M869">
        <v>8.58</v>
      </c>
      <c r="N869" t="s">
        <v>49</v>
      </c>
      <c r="O869">
        <v>103</v>
      </c>
      <c r="P869">
        <v>56</v>
      </c>
      <c r="Q869">
        <v>1</v>
      </c>
      <c r="R869">
        <v>7</v>
      </c>
      <c r="S869" t="s">
        <v>65</v>
      </c>
      <c r="T869" t="s">
        <v>30</v>
      </c>
      <c r="U869" t="s">
        <v>38</v>
      </c>
      <c r="V869" t="s">
        <v>45</v>
      </c>
      <c r="W869">
        <v>1</v>
      </c>
      <c r="X869">
        <v>1</v>
      </c>
      <c r="Y869" s="2">
        <f>Table1[[#This Row],[premium_yearly]]*Table1[[#This Row],[tenure_years]]</f>
        <v>9895.4856</v>
      </c>
      <c r="Z869" s="2">
        <f>Table1[[#This Row],[total_collected_premiums]]*(1-$AD$2)</f>
        <v>7223.7044879999994</v>
      </c>
      <c r="AA869" s="2">
        <f>Table1[[#This Row],[retained_premium]]-Table1[[#This Row],[claim_amount_paid]]</f>
        <v>-776.2955120000006</v>
      </c>
    </row>
    <row r="870" spans="1:27" x14ac:dyDescent="0.35">
      <c r="A870" t="s">
        <v>2649</v>
      </c>
      <c r="B870" t="s">
        <v>2650</v>
      </c>
      <c r="C870" t="s">
        <v>2651</v>
      </c>
      <c r="D870" s="1">
        <v>40478</v>
      </c>
      <c r="E870" s="1">
        <v>44193</v>
      </c>
      <c r="F870" s="1">
        <v>44196</v>
      </c>
      <c r="G870">
        <v>3</v>
      </c>
      <c r="H870">
        <v>75.72</v>
      </c>
      <c r="I870">
        <v>908.64</v>
      </c>
      <c r="J870">
        <v>5000</v>
      </c>
      <c r="K870" t="s">
        <v>27</v>
      </c>
      <c r="L870">
        <v>5000</v>
      </c>
      <c r="M870">
        <v>1.5</v>
      </c>
      <c r="N870" t="s">
        <v>36</v>
      </c>
      <c r="O870">
        <v>18</v>
      </c>
      <c r="P870">
        <v>49</v>
      </c>
      <c r="Q870">
        <v>1</v>
      </c>
      <c r="R870">
        <v>5</v>
      </c>
      <c r="S870" t="s">
        <v>65</v>
      </c>
      <c r="T870" t="s">
        <v>50</v>
      </c>
      <c r="U870" t="s">
        <v>66</v>
      </c>
      <c r="V870" t="s">
        <v>45</v>
      </c>
      <c r="W870">
        <v>1</v>
      </c>
      <c r="X870">
        <v>0</v>
      </c>
      <c r="Y870" s="2">
        <f>Table1[[#This Row],[premium_yearly]]*Table1[[#This Row],[tenure_years]]</f>
        <v>1362.96</v>
      </c>
      <c r="Z870" s="2">
        <f>Table1[[#This Row],[total_collected_premiums]]*(1-$AD$2)</f>
        <v>994.96079999999995</v>
      </c>
      <c r="AA870" s="2">
        <f>Table1[[#This Row],[retained_premium]]-Table1[[#This Row],[claim_amount_paid]]</f>
        <v>-4005.0392000000002</v>
      </c>
    </row>
    <row r="871" spans="1:27" x14ac:dyDescent="0.35">
      <c r="A871" t="s">
        <v>2652</v>
      </c>
      <c r="B871" t="s">
        <v>2653</v>
      </c>
      <c r="C871" t="s">
        <v>2654</v>
      </c>
      <c r="D871" s="1">
        <v>43012</v>
      </c>
      <c r="E871" s="1">
        <v>44186</v>
      </c>
      <c r="F871" s="1">
        <v>44191</v>
      </c>
      <c r="G871">
        <v>5</v>
      </c>
      <c r="H871">
        <v>79.59</v>
      </c>
      <c r="I871">
        <v>955.08</v>
      </c>
      <c r="J871">
        <v>10000</v>
      </c>
      <c r="K871" t="s">
        <v>27</v>
      </c>
      <c r="L871">
        <v>10000</v>
      </c>
      <c r="M871">
        <v>3.17</v>
      </c>
      <c r="N871" t="s">
        <v>36</v>
      </c>
      <c r="O871">
        <v>38</v>
      </c>
      <c r="P871">
        <v>41</v>
      </c>
      <c r="Q871">
        <v>0</v>
      </c>
      <c r="R871">
        <v>7</v>
      </c>
      <c r="S871" t="s">
        <v>29</v>
      </c>
      <c r="T871" t="s">
        <v>30</v>
      </c>
      <c r="U871" t="s">
        <v>58</v>
      </c>
      <c r="V871" t="s">
        <v>32</v>
      </c>
      <c r="W871">
        <v>1</v>
      </c>
      <c r="X871">
        <v>1</v>
      </c>
      <c r="Y871" s="2">
        <f>Table1[[#This Row],[premium_yearly]]*Table1[[#This Row],[tenure_years]]</f>
        <v>3027.6035999999999</v>
      </c>
      <c r="Z871" s="2">
        <f>Table1[[#This Row],[total_collected_premiums]]*(1-$AD$2)</f>
        <v>2210.1506279999999</v>
      </c>
      <c r="AA871" s="2">
        <f>Table1[[#This Row],[retained_premium]]-Table1[[#This Row],[claim_amount_paid]]</f>
        <v>-7789.8493720000006</v>
      </c>
    </row>
    <row r="872" spans="1:27" x14ac:dyDescent="0.35">
      <c r="A872" t="s">
        <v>2655</v>
      </c>
      <c r="B872" t="s">
        <v>2656</v>
      </c>
      <c r="C872" t="s">
        <v>2657</v>
      </c>
      <c r="D872" s="1">
        <v>43443</v>
      </c>
      <c r="E872" s="1">
        <v>44182</v>
      </c>
      <c r="F872" s="1">
        <v>44187</v>
      </c>
      <c r="G872">
        <v>5</v>
      </c>
      <c r="H872">
        <v>114.18</v>
      </c>
      <c r="I872">
        <v>1370.16</v>
      </c>
      <c r="J872">
        <v>7000</v>
      </c>
      <c r="K872" t="s">
        <v>27</v>
      </c>
      <c r="L872">
        <v>7000</v>
      </c>
      <c r="M872">
        <v>0.67</v>
      </c>
      <c r="N872" t="s">
        <v>28</v>
      </c>
      <c r="O872">
        <v>8</v>
      </c>
      <c r="P872">
        <v>64</v>
      </c>
      <c r="Q872">
        <v>1</v>
      </c>
      <c r="R872">
        <v>7</v>
      </c>
      <c r="S872" t="s">
        <v>65</v>
      </c>
      <c r="T872" t="s">
        <v>44</v>
      </c>
      <c r="U872" t="s">
        <v>51</v>
      </c>
      <c r="V872" t="s">
        <v>32</v>
      </c>
      <c r="W872">
        <v>0</v>
      </c>
      <c r="X872">
        <v>1</v>
      </c>
      <c r="Y872" s="2">
        <f>Table1[[#This Row],[premium_yearly]]*Table1[[#This Row],[tenure_years]]</f>
        <v>918.00720000000013</v>
      </c>
      <c r="Z872" s="2">
        <f>Table1[[#This Row],[total_collected_premiums]]*(1-$AD$2)</f>
        <v>670.14525600000013</v>
      </c>
      <c r="AA872" s="2">
        <f>Table1[[#This Row],[retained_premium]]-Table1[[#This Row],[claim_amount_paid]]</f>
        <v>-6329.8547440000002</v>
      </c>
    </row>
    <row r="873" spans="1:27" x14ac:dyDescent="0.35">
      <c r="A873" t="s">
        <v>2658</v>
      </c>
      <c r="B873" t="s">
        <v>2659</v>
      </c>
      <c r="C873" t="s">
        <v>2660</v>
      </c>
      <c r="D873" s="1">
        <v>40864</v>
      </c>
      <c r="E873" s="1">
        <v>44192</v>
      </c>
      <c r="F873" s="1">
        <v>44195</v>
      </c>
      <c r="G873">
        <v>3</v>
      </c>
      <c r="H873">
        <v>103.16</v>
      </c>
      <c r="I873">
        <v>1237.92</v>
      </c>
      <c r="J873">
        <v>9000</v>
      </c>
      <c r="K873" t="s">
        <v>27</v>
      </c>
      <c r="L873">
        <v>9000</v>
      </c>
      <c r="M873">
        <v>2.5</v>
      </c>
      <c r="N873" t="s">
        <v>28</v>
      </c>
      <c r="O873">
        <v>30</v>
      </c>
      <c r="P873">
        <v>57</v>
      </c>
      <c r="Q873">
        <v>1</v>
      </c>
      <c r="R873">
        <v>4</v>
      </c>
      <c r="S873" t="s">
        <v>65</v>
      </c>
      <c r="T873" t="s">
        <v>30</v>
      </c>
      <c r="U873" t="s">
        <v>51</v>
      </c>
      <c r="V873" t="s">
        <v>45</v>
      </c>
      <c r="W873">
        <v>1</v>
      </c>
      <c r="X873">
        <v>1</v>
      </c>
      <c r="Y873" s="2">
        <f>Table1[[#This Row],[premium_yearly]]*Table1[[#This Row],[tenure_years]]</f>
        <v>3094.8</v>
      </c>
      <c r="Z873" s="2">
        <f>Table1[[#This Row],[total_collected_premiums]]*(1-$AD$2)</f>
        <v>2259.2040000000002</v>
      </c>
      <c r="AA873" s="2">
        <f>Table1[[#This Row],[retained_premium]]-Table1[[#This Row],[claim_amount_paid]]</f>
        <v>-6740.7960000000003</v>
      </c>
    </row>
    <row r="874" spans="1:27" x14ac:dyDescent="0.35">
      <c r="A874" t="s">
        <v>2661</v>
      </c>
      <c r="B874" t="s">
        <v>2662</v>
      </c>
      <c r="C874" t="s">
        <v>2663</v>
      </c>
      <c r="D874" s="1">
        <v>42556</v>
      </c>
      <c r="E874" s="1">
        <v>44184</v>
      </c>
      <c r="F874" s="1">
        <v>44189</v>
      </c>
      <c r="G874">
        <v>5</v>
      </c>
      <c r="H874">
        <v>99.92</v>
      </c>
      <c r="I874">
        <v>1199.04</v>
      </c>
      <c r="J874">
        <v>8000</v>
      </c>
      <c r="K874" t="s">
        <v>27</v>
      </c>
      <c r="L874">
        <v>8000</v>
      </c>
      <c r="M874">
        <v>9.17</v>
      </c>
      <c r="N874" t="s">
        <v>49</v>
      </c>
      <c r="O874">
        <v>110</v>
      </c>
      <c r="P874">
        <v>54</v>
      </c>
      <c r="Q874">
        <v>0</v>
      </c>
      <c r="R874">
        <v>7</v>
      </c>
      <c r="S874" t="s">
        <v>65</v>
      </c>
      <c r="T874" t="s">
        <v>30</v>
      </c>
      <c r="U874" t="s">
        <v>38</v>
      </c>
      <c r="V874" t="s">
        <v>39</v>
      </c>
      <c r="W874">
        <v>0</v>
      </c>
      <c r="X874">
        <v>0</v>
      </c>
      <c r="Y874" s="2">
        <f>Table1[[#This Row],[premium_yearly]]*Table1[[#This Row],[tenure_years]]</f>
        <v>10995.1968</v>
      </c>
      <c r="Z874" s="2">
        <f>Table1[[#This Row],[total_collected_premiums]]*(1-$AD$2)</f>
        <v>8026.4936639999996</v>
      </c>
      <c r="AA874" s="2">
        <f>Table1[[#This Row],[retained_premium]]-Table1[[#This Row],[claim_amount_paid]]</f>
        <v>26.493663999999626</v>
      </c>
    </row>
    <row r="875" spans="1:27" x14ac:dyDescent="0.35">
      <c r="A875" t="s">
        <v>2664</v>
      </c>
      <c r="B875" t="s">
        <v>2665</v>
      </c>
      <c r="C875" t="s">
        <v>2666</v>
      </c>
      <c r="D875" s="1">
        <v>40567</v>
      </c>
      <c r="E875" s="1">
        <v>44195</v>
      </c>
      <c r="F875" s="1">
        <v>44197</v>
      </c>
      <c r="G875">
        <v>2</v>
      </c>
      <c r="H875">
        <v>105.16</v>
      </c>
      <c r="I875">
        <v>1261.92</v>
      </c>
      <c r="J875">
        <v>10000</v>
      </c>
      <c r="K875" t="s">
        <v>27</v>
      </c>
      <c r="L875">
        <v>10000</v>
      </c>
      <c r="M875">
        <v>6.83</v>
      </c>
      <c r="N875" t="s">
        <v>28</v>
      </c>
      <c r="O875">
        <v>82</v>
      </c>
      <c r="P875">
        <v>31</v>
      </c>
      <c r="Q875">
        <v>1</v>
      </c>
      <c r="R875">
        <v>3</v>
      </c>
      <c r="S875" t="s">
        <v>65</v>
      </c>
      <c r="T875" t="s">
        <v>44</v>
      </c>
      <c r="U875" t="s">
        <v>38</v>
      </c>
      <c r="V875" t="s">
        <v>45</v>
      </c>
      <c r="W875">
        <v>1</v>
      </c>
      <c r="X875">
        <v>1</v>
      </c>
      <c r="Y875" s="2">
        <f>Table1[[#This Row],[premium_yearly]]*Table1[[#This Row],[tenure_years]]</f>
        <v>8618.9135999999999</v>
      </c>
      <c r="Z875" s="2">
        <f>Table1[[#This Row],[total_collected_premiums]]*(1-$AD$2)</f>
        <v>6291.806928</v>
      </c>
      <c r="AA875" s="2">
        <f>Table1[[#This Row],[retained_premium]]-Table1[[#This Row],[claim_amount_paid]]</f>
        <v>-3708.193072</v>
      </c>
    </row>
    <row r="876" spans="1:27" x14ac:dyDescent="0.35">
      <c r="A876" t="s">
        <v>2667</v>
      </c>
      <c r="B876" t="s">
        <v>2668</v>
      </c>
      <c r="C876" t="s">
        <v>2669</v>
      </c>
      <c r="D876" s="1">
        <v>41495</v>
      </c>
      <c r="E876" s="1">
        <v>44183</v>
      </c>
      <c r="F876" s="1">
        <v>44188</v>
      </c>
      <c r="G876">
        <v>5</v>
      </c>
      <c r="H876">
        <v>87.52</v>
      </c>
      <c r="I876">
        <v>1050.24</v>
      </c>
      <c r="J876">
        <v>4000</v>
      </c>
      <c r="K876" t="s">
        <v>27</v>
      </c>
      <c r="L876">
        <v>4000</v>
      </c>
      <c r="M876">
        <v>3.58</v>
      </c>
      <c r="N876" t="s">
        <v>49</v>
      </c>
      <c r="O876">
        <v>43</v>
      </c>
      <c r="P876">
        <v>58</v>
      </c>
      <c r="Q876">
        <v>1</v>
      </c>
      <c r="R876">
        <v>5</v>
      </c>
      <c r="S876" t="s">
        <v>29</v>
      </c>
      <c r="T876" t="s">
        <v>50</v>
      </c>
      <c r="U876" t="s">
        <v>31</v>
      </c>
      <c r="V876" t="s">
        <v>32</v>
      </c>
      <c r="W876">
        <v>1</v>
      </c>
      <c r="X876">
        <v>1</v>
      </c>
      <c r="Y876" s="2">
        <f>Table1[[#This Row],[premium_yearly]]*Table1[[#This Row],[tenure_years]]</f>
        <v>3759.8592000000003</v>
      </c>
      <c r="Z876" s="2">
        <f>Table1[[#This Row],[total_collected_premiums]]*(1-$AD$2)</f>
        <v>2744.697216</v>
      </c>
      <c r="AA876" s="2">
        <f>Table1[[#This Row],[retained_premium]]-Table1[[#This Row],[claim_amount_paid]]</f>
        <v>-1255.302784</v>
      </c>
    </row>
    <row r="877" spans="1:27" x14ac:dyDescent="0.35">
      <c r="A877" t="s">
        <v>2670</v>
      </c>
      <c r="B877" t="s">
        <v>2671</v>
      </c>
      <c r="C877" t="s">
        <v>2672</v>
      </c>
      <c r="D877" s="1">
        <v>40820</v>
      </c>
      <c r="E877" s="1">
        <v>44189</v>
      </c>
      <c r="F877" s="1">
        <v>44194</v>
      </c>
      <c r="G877">
        <v>5</v>
      </c>
      <c r="H877">
        <v>111.74</v>
      </c>
      <c r="I877">
        <v>1340.88</v>
      </c>
      <c r="J877">
        <v>3000</v>
      </c>
      <c r="K877" t="s">
        <v>27</v>
      </c>
      <c r="L877">
        <v>3000</v>
      </c>
      <c r="M877">
        <v>7.08</v>
      </c>
      <c r="N877" t="s">
        <v>36</v>
      </c>
      <c r="O877">
        <v>85</v>
      </c>
      <c r="P877">
        <v>50</v>
      </c>
      <c r="Q877">
        <v>1</v>
      </c>
      <c r="R877">
        <v>3</v>
      </c>
      <c r="S877" t="s">
        <v>29</v>
      </c>
      <c r="T877" t="s">
        <v>50</v>
      </c>
      <c r="U877" t="s">
        <v>66</v>
      </c>
      <c r="V877" t="s">
        <v>32</v>
      </c>
      <c r="W877">
        <v>0</v>
      </c>
      <c r="X877">
        <v>1</v>
      </c>
      <c r="Y877" s="2">
        <f>Table1[[#This Row],[premium_yearly]]*Table1[[#This Row],[tenure_years]]</f>
        <v>9493.4304000000011</v>
      </c>
      <c r="Z877" s="2">
        <f>Table1[[#This Row],[total_collected_premiums]]*(1-$AD$2)</f>
        <v>6930.2041920000011</v>
      </c>
      <c r="AA877" s="2">
        <f>Table1[[#This Row],[retained_premium]]-Table1[[#This Row],[claim_amount_paid]]</f>
        <v>3930.2041920000011</v>
      </c>
    </row>
    <row r="878" spans="1:27" x14ac:dyDescent="0.35">
      <c r="A878" t="s">
        <v>2673</v>
      </c>
      <c r="B878" t="s">
        <v>2674</v>
      </c>
      <c r="C878" t="s">
        <v>2675</v>
      </c>
      <c r="D878" s="1">
        <v>40766</v>
      </c>
      <c r="E878" s="1">
        <v>44200</v>
      </c>
      <c r="F878" s="1">
        <v>44200</v>
      </c>
      <c r="G878">
        <v>0</v>
      </c>
      <c r="H878">
        <v>123.71</v>
      </c>
      <c r="I878">
        <v>1484.52</v>
      </c>
      <c r="J878">
        <v>1000</v>
      </c>
      <c r="K878" t="s">
        <v>27</v>
      </c>
      <c r="L878">
        <v>1000</v>
      </c>
      <c r="M878">
        <v>4.08</v>
      </c>
      <c r="N878" t="s">
        <v>49</v>
      </c>
      <c r="O878">
        <v>49</v>
      </c>
      <c r="P878">
        <v>42</v>
      </c>
      <c r="Q878">
        <v>1</v>
      </c>
      <c r="R878">
        <v>6</v>
      </c>
      <c r="S878" t="s">
        <v>29</v>
      </c>
      <c r="T878" t="s">
        <v>30</v>
      </c>
      <c r="U878" t="s">
        <v>51</v>
      </c>
      <c r="V878" t="s">
        <v>39</v>
      </c>
      <c r="W878">
        <v>0</v>
      </c>
      <c r="X878">
        <v>1</v>
      </c>
      <c r="Y878" s="2">
        <f>Table1[[#This Row],[premium_yearly]]*Table1[[#This Row],[tenure_years]]</f>
        <v>6056.8415999999997</v>
      </c>
      <c r="Z878" s="2">
        <f>Table1[[#This Row],[total_collected_premiums]]*(1-$AD$2)</f>
        <v>4421.4943679999997</v>
      </c>
      <c r="AA878" s="2">
        <f>Table1[[#This Row],[retained_premium]]-Table1[[#This Row],[claim_amount_paid]]</f>
        <v>3421.4943679999997</v>
      </c>
    </row>
    <row r="879" spans="1:27" x14ac:dyDescent="0.35">
      <c r="A879" t="s">
        <v>2676</v>
      </c>
      <c r="B879" t="s">
        <v>2677</v>
      </c>
      <c r="C879" t="s">
        <v>2678</v>
      </c>
      <c r="D879" s="1">
        <v>43444</v>
      </c>
      <c r="E879" s="1">
        <v>44183</v>
      </c>
      <c r="F879" s="1">
        <v>44188</v>
      </c>
      <c r="G879">
        <v>5</v>
      </c>
      <c r="H879">
        <v>90.37</v>
      </c>
      <c r="I879">
        <v>1084.44</v>
      </c>
      <c r="J879">
        <v>2000</v>
      </c>
      <c r="K879" t="s">
        <v>27</v>
      </c>
      <c r="L879">
        <v>2000</v>
      </c>
      <c r="M879">
        <v>3.17</v>
      </c>
      <c r="N879" t="s">
        <v>49</v>
      </c>
      <c r="O879">
        <v>38</v>
      </c>
      <c r="P879">
        <v>32</v>
      </c>
      <c r="Q879">
        <v>1</v>
      </c>
      <c r="R879">
        <v>5</v>
      </c>
      <c r="S879" t="s">
        <v>29</v>
      </c>
      <c r="T879" t="s">
        <v>30</v>
      </c>
      <c r="U879" t="s">
        <v>107</v>
      </c>
      <c r="V879" t="s">
        <v>32</v>
      </c>
      <c r="W879">
        <v>1</v>
      </c>
      <c r="X879">
        <v>0</v>
      </c>
      <c r="Y879" s="2">
        <f>Table1[[#This Row],[premium_yearly]]*Table1[[#This Row],[tenure_years]]</f>
        <v>3437.6748000000002</v>
      </c>
      <c r="Z879" s="2">
        <f>Table1[[#This Row],[total_collected_premiums]]*(1-$AD$2)</f>
        <v>2509.5026040000002</v>
      </c>
      <c r="AA879" s="2">
        <f>Table1[[#This Row],[retained_premium]]-Table1[[#This Row],[claim_amount_paid]]</f>
        <v>509.50260400000025</v>
      </c>
    </row>
    <row r="880" spans="1:27" x14ac:dyDescent="0.35">
      <c r="A880" t="s">
        <v>2679</v>
      </c>
      <c r="B880" t="s">
        <v>2680</v>
      </c>
      <c r="C880" t="s">
        <v>2681</v>
      </c>
      <c r="D880" s="1">
        <v>43424</v>
      </c>
      <c r="E880" s="1">
        <v>44191</v>
      </c>
      <c r="F880" s="1">
        <v>44196</v>
      </c>
      <c r="G880">
        <v>5</v>
      </c>
      <c r="H880">
        <v>85.9</v>
      </c>
      <c r="I880">
        <v>1030.8</v>
      </c>
      <c r="J880">
        <v>1000</v>
      </c>
      <c r="K880" t="s">
        <v>27</v>
      </c>
      <c r="L880">
        <v>1000</v>
      </c>
      <c r="M880">
        <v>8.25</v>
      </c>
      <c r="N880" t="s">
        <v>28</v>
      </c>
      <c r="O880">
        <v>99</v>
      </c>
      <c r="P880">
        <v>25</v>
      </c>
      <c r="Q880">
        <v>1</v>
      </c>
      <c r="R880">
        <v>2</v>
      </c>
      <c r="S880" t="s">
        <v>29</v>
      </c>
      <c r="T880" t="s">
        <v>44</v>
      </c>
      <c r="U880" t="s">
        <v>31</v>
      </c>
      <c r="V880" t="s">
        <v>45</v>
      </c>
      <c r="W880">
        <v>1</v>
      </c>
      <c r="X880">
        <v>0</v>
      </c>
      <c r="Y880" s="2">
        <f>Table1[[#This Row],[premium_yearly]]*Table1[[#This Row],[tenure_years]]</f>
        <v>8504.1</v>
      </c>
      <c r="Z880" s="2">
        <f>Table1[[#This Row],[total_collected_premiums]]*(1-$AD$2)</f>
        <v>6207.9930000000004</v>
      </c>
      <c r="AA880" s="2">
        <f>Table1[[#This Row],[retained_premium]]-Table1[[#This Row],[claim_amount_paid]]</f>
        <v>5207.9930000000004</v>
      </c>
    </row>
    <row r="881" spans="1:27" x14ac:dyDescent="0.35">
      <c r="A881" t="s">
        <v>2682</v>
      </c>
      <c r="B881" t="s">
        <v>2683</v>
      </c>
      <c r="C881" t="s">
        <v>2684</v>
      </c>
      <c r="D881" s="1">
        <v>42943</v>
      </c>
      <c r="E881" s="1">
        <v>44192</v>
      </c>
      <c r="F881" s="1">
        <v>44197</v>
      </c>
      <c r="G881">
        <v>5</v>
      </c>
      <c r="H881">
        <v>125.71</v>
      </c>
      <c r="I881">
        <v>1508.52</v>
      </c>
      <c r="J881">
        <v>9000</v>
      </c>
      <c r="K881" t="s">
        <v>27</v>
      </c>
      <c r="L881">
        <v>9000</v>
      </c>
      <c r="M881">
        <v>6.08</v>
      </c>
      <c r="N881" t="s">
        <v>28</v>
      </c>
      <c r="O881">
        <v>73</v>
      </c>
      <c r="P881">
        <v>55</v>
      </c>
      <c r="Q881">
        <v>0</v>
      </c>
      <c r="R881">
        <v>4</v>
      </c>
      <c r="S881" t="s">
        <v>65</v>
      </c>
      <c r="T881" t="s">
        <v>44</v>
      </c>
      <c r="U881" t="s">
        <v>38</v>
      </c>
      <c r="V881" t="s">
        <v>39</v>
      </c>
      <c r="W881">
        <v>1</v>
      </c>
      <c r="X881">
        <v>1</v>
      </c>
      <c r="Y881" s="2">
        <f>Table1[[#This Row],[premium_yearly]]*Table1[[#This Row],[tenure_years]]</f>
        <v>9171.8016000000007</v>
      </c>
      <c r="Z881" s="2">
        <f>Table1[[#This Row],[total_collected_premiums]]*(1-$AD$2)</f>
        <v>6695.4151680000004</v>
      </c>
      <c r="AA881" s="2">
        <f>Table1[[#This Row],[retained_premium]]-Table1[[#This Row],[claim_amount_paid]]</f>
        <v>-2304.5848319999996</v>
      </c>
    </row>
    <row r="882" spans="1:27" x14ac:dyDescent="0.35">
      <c r="A882" t="s">
        <v>2685</v>
      </c>
      <c r="B882" t="s">
        <v>2686</v>
      </c>
      <c r="C882" t="s">
        <v>2687</v>
      </c>
      <c r="D882" s="1">
        <v>41312</v>
      </c>
      <c r="E882" s="1">
        <v>44189</v>
      </c>
      <c r="F882" s="1">
        <v>44194</v>
      </c>
      <c r="G882">
        <v>5</v>
      </c>
      <c r="H882">
        <v>122.97</v>
      </c>
      <c r="I882">
        <v>1475.64</v>
      </c>
      <c r="J882">
        <v>4000</v>
      </c>
      <c r="K882" t="s">
        <v>27</v>
      </c>
      <c r="L882">
        <v>4000</v>
      </c>
      <c r="M882">
        <v>2.5</v>
      </c>
      <c r="N882" t="s">
        <v>49</v>
      </c>
      <c r="O882">
        <v>30</v>
      </c>
      <c r="P882">
        <v>43</v>
      </c>
      <c r="Q882">
        <v>1</v>
      </c>
      <c r="R882">
        <v>3</v>
      </c>
      <c r="S882" t="s">
        <v>29</v>
      </c>
      <c r="T882" t="s">
        <v>44</v>
      </c>
      <c r="U882" t="s">
        <v>38</v>
      </c>
      <c r="V882" t="s">
        <v>45</v>
      </c>
      <c r="W882">
        <v>1</v>
      </c>
      <c r="X882">
        <v>1</v>
      </c>
      <c r="Y882" s="2">
        <f>Table1[[#This Row],[premium_yearly]]*Table1[[#This Row],[tenure_years]]</f>
        <v>3689.1000000000004</v>
      </c>
      <c r="Z882" s="2">
        <f>Table1[[#This Row],[total_collected_premiums]]*(1-$AD$2)</f>
        <v>2693.0430000000001</v>
      </c>
      <c r="AA882" s="2">
        <f>Table1[[#This Row],[retained_premium]]-Table1[[#This Row],[claim_amount_paid]]</f>
        <v>-1306.9569999999999</v>
      </c>
    </row>
    <row r="883" spans="1:27" x14ac:dyDescent="0.35">
      <c r="A883" t="s">
        <v>2688</v>
      </c>
      <c r="B883" t="s">
        <v>2689</v>
      </c>
      <c r="C883" t="s">
        <v>2690</v>
      </c>
      <c r="D883" s="1">
        <v>40965</v>
      </c>
      <c r="E883" s="1">
        <v>44189</v>
      </c>
      <c r="F883" s="1">
        <v>44194</v>
      </c>
      <c r="G883">
        <v>5</v>
      </c>
      <c r="H883">
        <v>115.27</v>
      </c>
      <c r="I883">
        <v>1383.24</v>
      </c>
      <c r="J883">
        <v>8000</v>
      </c>
      <c r="K883" t="s">
        <v>27</v>
      </c>
      <c r="L883">
        <v>8000</v>
      </c>
      <c r="M883">
        <v>9.08</v>
      </c>
      <c r="N883" t="s">
        <v>49</v>
      </c>
      <c r="O883">
        <v>109</v>
      </c>
      <c r="P883">
        <v>57</v>
      </c>
      <c r="Q883">
        <v>0</v>
      </c>
      <c r="R883">
        <v>2</v>
      </c>
      <c r="S883" t="s">
        <v>29</v>
      </c>
      <c r="T883" t="s">
        <v>30</v>
      </c>
      <c r="U883" t="s">
        <v>31</v>
      </c>
      <c r="V883" t="s">
        <v>32</v>
      </c>
      <c r="W883">
        <v>0</v>
      </c>
      <c r="X883">
        <v>1</v>
      </c>
      <c r="Y883" s="2">
        <f>Table1[[#This Row],[premium_yearly]]*Table1[[#This Row],[tenure_years]]</f>
        <v>12559.8192</v>
      </c>
      <c r="Z883" s="2">
        <f>Table1[[#This Row],[total_collected_premiums]]*(1-$AD$2)</f>
        <v>9168.6680159999996</v>
      </c>
      <c r="AA883" s="2">
        <f>Table1[[#This Row],[retained_premium]]-Table1[[#This Row],[claim_amount_paid]]</f>
        <v>1168.6680159999996</v>
      </c>
    </row>
    <row r="884" spans="1:27" x14ac:dyDescent="0.35">
      <c r="A884" t="s">
        <v>2691</v>
      </c>
      <c r="B884" t="s">
        <v>2692</v>
      </c>
      <c r="C884" t="s">
        <v>2693</v>
      </c>
      <c r="D884" s="1">
        <v>42640</v>
      </c>
      <c r="E884" s="1">
        <v>44200</v>
      </c>
      <c r="F884" s="1">
        <v>44201</v>
      </c>
      <c r="G884">
        <v>1</v>
      </c>
      <c r="H884">
        <v>91.34</v>
      </c>
      <c r="I884">
        <v>1096.08</v>
      </c>
      <c r="J884">
        <v>3000</v>
      </c>
      <c r="K884" t="s">
        <v>27</v>
      </c>
      <c r="L884">
        <v>3000</v>
      </c>
      <c r="M884">
        <v>6.83</v>
      </c>
      <c r="N884" t="s">
        <v>28</v>
      </c>
      <c r="O884">
        <v>82</v>
      </c>
      <c r="P884">
        <v>60</v>
      </c>
      <c r="Q884">
        <v>0</v>
      </c>
      <c r="R884">
        <v>7</v>
      </c>
      <c r="S884" t="s">
        <v>29</v>
      </c>
      <c r="T884" t="s">
        <v>50</v>
      </c>
      <c r="U884" t="s">
        <v>31</v>
      </c>
      <c r="V884" t="s">
        <v>32</v>
      </c>
      <c r="W884">
        <v>0</v>
      </c>
      <c r="X884">
        <v>1</v>
      </c>
      <c r="Y884" s="2">
        <f>Table1[[#This Row],[premium_yearly]]*Table1[[#This Row],[tenure_years]]</f>
        <v>7486.2263999999996</v>
      </c>
      <c r="Z884" s="2">
        <f>Table1[[#This Row],[total_collected_premiums]]*(1-$AD$2)</f>
        <v>5464.9452719999999</v>
      </c>
      <c r="AA884" s="2">
        <f>Table1[[#This Row],[retained_premium]]-Table1[[#This Row],[claim_amount_paid]]</f>
        <v>2464.9452719999999</v>
      </c>
    </row>
    <row r="885" spans="1:27" x14ac:dyDescent="0.35">
      <c r="A885" t="s">
        <v>2694</v>
      </c>
      <c r="B885" t="s">
        <v>2695</v>
      </c>
      <c r="C885" t="s">
        <v>2696</v>
      </c>
      <c r="D885" s="1">
        <v>41295</v>
      </c>
      <c r="E885" s="1">
        <v>44192</v>
      </c>
      <c r="F885" s="1">
        <v>44197</v>
      </c>
      <c r="G885">
        <v>5</v>
      </c>
      <c r="H885">
        <v>127.23</v>
      </c>
      <c r="I885">
        <v>1526.76</v>
      </c>
      <c r="J885">
        <v>2000</v>
      </c>
      <c r="K885" t="s">
        <v>27</v>
      </c>
      <c r="L885">
        <v>2000</v>
      </c>
      <c r="M885">
        <v>6.33</v>
      </c>
      <c r="N885" t="s">
        <v>49</v>
      </c>
      <c r="O885">
        <v>76</v>
      </c>
      <c r="P885">
        <v>55</v>
      </c>
      <c r="Q885">
        <v>0</v>
      </c>
      <c r="R885">
        <v>7</v>
      </c>
      <c r="S885" t="s">
        <v>29</v>
      </c>
      <c r="T885" t="s">
        <v>30</v>
      </c>
      <c r="U885" t="s">
        <v>38</v>
      </c>
      <c r="V885" t="s">
        <v>39</v>
      </c>
      <c r="W885">
        <v>1</v>
      </c>
      <c r="X885">
        <v>1</v>
      </c>
      <c r="Y885" s="2">
        <f>Table1[[#This Row],[premium_yearly]]*Table1[[#This Row],[tenure_years]]</f>
        <v>9664.3907999999992</v>
      </c>
      <c r="Z885" s="2">
        <f>Table1[[#This Row],[total_collected_premiums]]*(1-$AD$2)</f>
        <v>7055.0052839999989</v>
      </c>
      <c r="AA885" s="2">
        <f>Table1[[#This Row],[retained_premium]]-Table1[[#This Row],[claim_amount_paid]]</f>
        <v>5055.0052839999989</v>
      </c>
    </row>
    <row r="886" spans="1:27" x14ac:dyDescent="0.35">
      <c r="A886" t="s">
        <v>2697</v>
      </c>
      <c r="B886" t="s">
        <v>2698</v>
      </c>
      <c r="C886" t="s">
        <v>2699</v>
      </c>
      <c r="D886" s="1">
        <v>41633</v>
      </c>
      <c r="E886" s="1">
        <v>44198</v>
      </c>
      <c r="F886" s="1">
        <v>44200</v>
      </c>
      <c r="G886">
        <v>2</v>
      </c>
      <c r="H886">
        <v>86.5</v>
      </c>
      <c r="I886">
        <v>1038</v>
      </c>
      <c r="J886">
        <v>8000</v>
      </c>
      <c r="K886" t="s">
        <v>27</v>
      </c>
      <c r="L886">
        <v>8000</v>
      </c>
      <c r="M886">
        <v>7</v>
      </c>
      <c r="N886" t="s">
        <v>49</v>
      </c>
      <c r="O886">
        <v>84</v>
      </c>
      <c r="P886">
        <v>32</v>
      </c>
      <c r="Q886">
        <v>1</v>
      </c>
      <c r="R886">
        <v>5</v>
      </c>
      <c r="S886" t="s">
        <v>37</v>
      </c>
      <c r="T886" t="s">
        <v>30</v>
      </c>
      <c r="U886" t="s">
        <v>38</v>
      </c>
      <c r="V886" t="s">
        <v>39</v>
      </c>
      <c r="W886">
        <v>1</v>
      </c>
      <c r="X886">
        <v>1</v>
      </c>
      <c r="Y886" s="2">
        <f>Table1[[#This Row],[premium_yearly]]*Table1[[#This Row],[tenure_years]]</f>
        <v>7266</v>
      </c>
      <c r="Z886" s="2">
        <f>Table1[[#This Row],[total_collected_premiums]]*(1-$AD$2)</f>
        <v>5304.18</v>
      </c>
      <c r="AA886" s="2">
        <f>Table1[[#This Row],[retained_premium]]-Table1[[#This Row],[claim_amount_paid]]</f>
        <v>-2695.8199999999997</v>
      </c>
    </row>
    <row r="887" spans="1:27" x14ac:dyDescent="0.35">
      <c r="A887" t="s">
        <v>2700</v>
      </c>
      <c r="B887" t="s">
        <v>2701</v>
      </c>
      <c r="C887" t="s">
        <v>2702</v>
      </c>
      <c r="D887" s="1">
        <v>41753</v>
      </c>
      <c r="E887" s="1">
        <v>44185</v>
      </c>
      <c r="F887" s="1">
        <v>44190</v>
      </c>
      <c r="G887">
        <v>5</v>
      </c>
      <c r="H887">
        <v>93.98</v>
      </c>
      <c r="I887">
        <v>1127.76</v>
      </c>
      <c r="J887">
        <v>2000</v>
      </c>
      <c r="K887" t="s">
        <v>27</v>
      </c>
      <c r="L887">
        <v>2000</v>
      </c>
      <c r="M887">
        <v>1.17</v>
      </c>
      <c r="N887" t="s">
        <v>49</v>
      </c>
      <c r="O887">
        <v>14</v>
      </c>
      <c r="P887">
        <v>40</v>
      </c>
      <c r="Q887">
        <v>1</v>
      </c>
      <c r="R887">
        <v>2</v>
      </c>
      <c r="S887" t="s">
        <v>29</v>
      </c>
      <c r="T887" t="s">
        <v>30</v>
      </c>
      <c r="U887" t="s">
        <v>51</v>
      </c>
      <c r="V887" t="s">
        <v>39</v>
      </c>
      <c r="W887">
        <v>1</v>
      </c>
      <c r="X887">
        <v>1</v>
      </c>
      <c r="Y887" s="2">
        <f>Table1[[#This Row],[premium_yearly]]*Table1[[#This Row],[tenure_years]]</f>
        <v>1319.4792</v>
      </c>
      <c r="Z887" s="2">
        <f>Table1[[#This Row],[total_collected_premiums]]*(1-$AD$2)</f>
        <v>963.21981599999992</v>
      </c>
      <c r="AA887" s="2">
        <f>Table1[[#This Row],[retained_premium]]-Table1[[#This Row],[claim_amount_paid]]</f>
        <v>-1036.7801840000002</v>
      </c>
    </row>
    <row r="888" spans="1:27" x14ac:dyDescent="0.35">
      <c r="A888" t="s">
        <v>2703</v>
      </c>
      <c r="B888" t="s">
        <v>2704</v>
      </c>
      <c r="C888" t="s">
        <v>2705</v>
      </c>
      <c r="D888" s="1">
        <v>41007</v>
      </c>
      <c r="E888" s="1">
        <v>44190</v>
      </c>
      <c r="F888" s="1">
        <v>44195</v>
      </c>
      <c r="G888">
        <v>5</v>
      </c>
      <c r="H888">
        <v>85.52</v>
      </c>
      <c r="I888">
        <v>1026.24</v>
      </c>
      <c r="J888">
        <v>6000</v>
      </c>
      <c r="K888" t="s">
        <v>27</v>
      </c>
      <c r="L888">
        <v>6000</v>
      </c>
      <c r="M888">
        <v>3.08</v>
      </c>
      <c r="N888" t="s">
        <v>36</v>
      </c>
      <c r="O888">
        <v>37</v>
      </c>
      <c r="P888">
        <v>64</v>
      </c>
      <c r="Q888">
        <v>1</v>
      </c>
      <c r="R888">
        <v>4</v>
      </c>
      <c r="S888" t="s">
        <v>65</v>
      </c>
      <c r="T888" t="s">
        <v>44</v>
      </c>
      <c r="U888" t="s">
        <v>38</v>
      </c>
      <c r="V888" t="s">
        <v>39</v>
      </c>
      <c r="W888">
        <v>1</v>
      </c>
      <c r="X888">
        <v>1</v>
      </c>
      <c r="Y888" s="2">
        <f>Table1[[#This Row],[premium_yearly]]*Table1[[#This Row],[tenure_years]]</f>
        <v>3160.8191999999999</v>
      </c>
      <c r="Z888" s="2">
        <f>Table1[[#This Row],[total_collected_premiums]]*(1-$AD$2)</f>
        <v>2307.3980160000001</v>
      </c>
      <c r="AA888" s="2">
        <f>Table1[[#This Row],[retained_premium]]-Table1[[#This Row],[claim_amount_paid]]</f>
        <v>-3692.6019839999999</v>
      </c>
    </row>
    <row r="889" spans="1:27" x14ac:dyDescent="0.35">
      <c r="A889" t="s">
        <v>2706</v>
      </c>
      <c r="B889" t="s">
        <v>2707</v>
      </c>
      <c r="C889" t="s">
        <v>2708</v>
      </c>
      <c r="D889" s="1">
        <v>42670</v>
      </c>
      <c r="E889" s="1">
        <v>44198</v>
      </c>
      <c r="F889" s="1">
        <v>44201</v>
      </c>
      <c r="G889">
        <v>3</v>
      </c>
      <c r="H889">
        <v>78.709999999999994</v>
      </c>
      <c r="I889">
        <v>944.52</v>
      </c>
      <c r="J889">
        <v>2000</v>
      </c>
      <c r="K889" t="s">
        <v>27</v>
      </c>
      <c r="L889">
        <v>2000</v>
      </c>
      <c r="M889">
        <v>7.33</v>
      </c>
      <c r="N889" t="s">
        <v>49</v>
      </c>
      <c r="O889">
        <v>88</v>
      </c>
      <c r="P889">
        <v>50</v>
      </c>
      <c r="Q889">
        <v>1</v>
      </c>
      <c r="R889">
        <v>3</v>
      </c>
      <c r="S889" t="s">
        <v>29</v>
      </c>
      <c r="T889" t="s">
        <v>30</v>
      </c>
      <c r="U889" t="s">
        <v>38</v>
      </c>
      <c r="V889" t="s">
        <v>45</v>
      </c>
      <c r="W889">
        <v>1</v>
      </c>
      <c r="X889">
        <v>0</v>
      </c>
      <c r="Y889" s="2">
        <f>Table1[[#This Row],[premium_yearly]]*Table1[[#This Row],[tenure_years]]</f>
        <v>6923.3315999999995</v>
      </c>
      <c r="Z889" s="2">
        <f>Table1[[#This Row],[total_collected_premiums]]*(1-$AD$2)</f>
        <v>5054.0320679999995</v>
      </c>
      <c r="AA889" s="2">
        <f>Table1[[#This Row],[retained_premium]]-Table1[[#This Row],[claim_amount_paid]]</f>
        <v>3054.0320679999995</v>
      </c>
    </row>
    <row r="890" spans="1:27" x14ac:dyDescent="0.35">
      <c r="A890" t="s">
        <v>2709</v>
      </c>
      <c r="B890" t="s">
        <v>2710</v>
      </c>
      <c r="C890" t="s">
        <v>2711</v>
      </c>
      <c r="D890" s="1">
        <v>41159</v>
      </c>
      <c r="E890" s="1">
        <v>44190</v>
      </c>
      <c r="F890" s="1">
        <v>44195</v>
      </c>
      <c r="G890">
        <v>5</v>
      </c>
      <c r="H890">
        <v>123.84</v>
      </c>
      <c r="I890">
        <v>1486.08</v>
      </c>
      <c r="J890">
        <v>4000</v>
      </c>
      <c r="K890" t="s">
        <v>27</v>
      </c>
      <c r="L890">
        <v>4000</v>
      </c>
      <c r="M890">
        <v>2.67</v>
      </c>
      <c r="N890" t="s">
        <v>49</v>
      </c>
      <c r="O890">
        <v>32</v>
      </c>
      <c r="P890">
        <v>28</v>
      </c>
      <c r="Q890">
        <v>0</v>
      </c>
      <c r="R890">
        <v>5</v>
      </c>
      <c r="S890" t="s">
        <v>29</v>
      </c>
      <c r="T890" t="s">
        <v>30</v>
      </c>
      <c r="U890" t="s">
        <v>38</v>
      </c>
      <c r="V890" t="s">
        <v>32</v>
      </c>
      <c r="W890">
        <v>1</v>
      </c>
      <c r="X890">
        <v>1</v>
      </c>
      <c r="Y890" s="2">
        <f>Table1[[#This Row],[premium_yearly]]*Table1[[#This Row],[tenure_years]]</f>
        <v>3967.8335999999995</v>
      </c>
      <c r="Z890" s="2">
        <f>Table1[[#This Row],[total_collected_premiums]]*(1-$AD$2)</f>
        <v>2896.5185279999996</v>
      </c>
      <c r="AA890" s="2">
        <f>Table1[[#This Row],[retained_premium]]-Table1[[#This Row],[claim_amount_paid]]</f>
        <v>-1103.4814720000004</v>
      </c>
    </row>
    <row r="891" spans="1:27" x14ac:dyDescent="0.35">
      <c r="A891" t="s">
        <v>2712</v>
      </c>
      <c r="B891" t="s">
        <v>2713</v>
      </c>
      <c r="C891" t="s">
        <v>2714</v>
      </c>
      <c r="D891" s="1">
        <v>43526</v>
      </c>
      <c r="E891" s="1">
        <v>44191</v>
      </c>
      <c r="F891" s="1">
        <v>44196</v>
      </c>
      <c r="G891">
        <v>5</v>
      </c>
      <c r="H891">
        <v>79.39</v>
      </c>
      <c r="I891">
        <v>952.68</v>
      </c>
      <c r="J891">
        <v>9000</v>
      </c>
      <c r="K891" t="s">
        <v>27</v>
      </c>
      <c r="L891">
        <v>9000</v>
      </c>
      <c r="M891">
        <v>9.58</v>
      </c>
      <c r="N891" t="s">
        <v>28</v>
      </c>
      <c r="O891">
        <v>115</v>
      </c>
      <c r="P891">
        <v>37</v>
      </c>
      <c r="Q891">
        <v>0</v>
      </c>
      <c r="R891">
        <v>2</v>
      </c>
      <c r="S891" t="s">
        <v>65</v>
      </c>
      <c r="T891" t="s">
        <v>30</v>
      </c>
      <c r="U891" t="s">
        <v>31</v>
      </c>
      <c r="V891" t="s">
        <v>45</v>
      </c>
      <c r="W891">
        <v>1</v>
      </c>
      <c r="X891">
        <v>1</v>
      </c>
      <c r="Y891" s="2">
        <f>Table1[[#This Row],[premium_yearly]]*Table1[[#This Row],[tenure_years]]</f>
        <v>9126.6743999999999</v>
      </c>
      <c r="Z891" s="2">
        <f>Table1[[#This Row],[total_collected_premiums]]*(1-$AD$2)</f>
        <v>6662.4723119999999</v>
      </c>
      <c r="AA891" s="2">
        <f>Table1[[#This Row],[retained_premium]]-Table1[[#This Row],[claim_amount_paid]]</f>
        <v>-2337.5276880000001</v>
      </c>
    </row>
    <row r="892" spans="1:27" x14ac:dyDescent="0.35">
      <c r="A892" t="s">
        <v>2715</v>
      </c>
      <c r="B892" t="s">
        <v>2716</v>
      </c>
      <c r="C892" t="s">
        <v>2717</v>
      </c>
      <c r="D892" s="1">
        <v>42007</v>
      </c>
      <c r="E892" s="1">
        <v>44187</v>
      </c>
      <c r="F892" s="1">
        <v>44192</v>
      </c>
      <c r="G892">
        <v>5</v>
      </c>
      <c r="H892">
        <v>81.790000000000006</v>
      </c>
      <c r="I892">
        <v>981.48</v>
      </c>
      <c r="J892">
        <v>7000</v>
      </c>
      <c r="K892" t="s">
        <v>27</v>
      </c>
      <c r="L892">
        <v>7000</v>
      </c>
      <c r="M892">
        <v>5.83</v>
      </c>
      <c r="N892" t="s">
        <v>36</v>
      </c>
      <c r="O892">
        <v>70</v>
      </c>
      <c r="P892">
        <v>51</v>
      </c>
      <c r="Q892">
        <v>1</v>
      </c>
      <c r="R892">
        <v>7</v>
      </c>
      <c r="S892" t="s">
        <v>37</v>
      </c>
      <c r="T892" t="s">
        <v>30</v>
      </c>
      <c r="U892" t="s">
        <v>31</v>
      </c>
      <c r="V892" t="s">
        <v>45</v>
      </c>
      <c r="W892">
        <v>0</v>
      </c>
      <c r="X892">
        <v>1</v>
      </c>
      <c r="Y892" s="2">
        <f>Table1[[#This Row],[premium_yearly]]*Table1[[#This Row],[tenure_years]]</f>
        <v>5722.0284000000001</v>
      </c>
      <c r="Z892" s="2">
        <f>Table1[[#This Row],[total_collected_premiums]]*(1-$AD$2)</f>
        <v>4177.0807320000004</v>
      </c>
      <c r="AA892" s="2">
        <f>Table1[[#This Row],[retained_premium]]-Table1[[#This Row],[claim_amount_paid]]</f>
        <v>-2822.9192679999996</v>
      </c>
    </row>
    <row r="893" spans="1:27" x14ac:dyDescent="0.35">
      <c r="A893" t="s">
        <v>2718</v>
      </c>
      <c r="B893" t="s">
        <v>2719</v>
      </c>
      <c r="C893" t="s">
        <v>2720</v>
      </c>
      <c r="D893" s="1">
        <v>41167</v>
      </c>
      <c r="E893" s="1">
        <v>44202</v>
      </c>
      <c r="F893" s="1">
        <v>44203</v>
      </c>
      <c r="G893">
        <v>1</v>
      </c>
      <c r="H893">
        <v>123.35</v>
      </c>
      <c r="I893">
        <v>1480.2</v>
      </c>
      <c r="J893">
        <v>2000</v>
      </c>
      <c r="K893" t="s">
        <v>27</v>
      </c>
      <c r="L893">
        <v>2000</v>
      </c>
      <c r="M893">
        <v>5.58</v>
      </c>
      <c r="N893" t="s">
        <v>36</v>
      </c>
      <c r="O893">
        <v>67</v>
      </c>
      <c r="P893">
        <v>36</v>
      </c>
      <c r="Q893">
        <v>1</v>
      </c>
      <c r="R893">
        <v>7</v>
      </c>
      <c r="S893" t="s">
        <v>29</v>
      </c>
      <c r="T893" t="s">
        <v>30</v>
      </c>
      <c r="U893" t="s">
        <v>38</v>
      </c>
      <c r="V893" t="s">
        <v>45</v>
      </c>
      <c r="W893">
        <v>1</v>
      </c>
      <c r="X893">
        <v>1</v>
      </c>
      <c r="Y893" s="2">
        <f>Table1[[#This Row],[premium_yearly]]*Table1[[#This Row],[tenure_years]]</f>
        <v>8259.5159999999996</v>
      </c>
      <c r="Z893" s="2">
        <f>Table1[[#This Row],[total_collected_premiums]]*(1-$AD$2)</f>
        <v>6029.44668</v>
      </c>
      <c r="AA893" s="2">
        <f>Table1[[#This Row],[retained_premium]]-Table1[[#This Row],[claim_amount_paid]]</f>
        <v>4029.44668</v>
      </c>
    </row>
    <row r="894" spans="1:27" x14ac:dyDescent="0.35">
      <c r="A894" t="s">
        <v>2721</v>
      </c>
      <c r="B894" t="s">
        <v>2722</v>
      </c>
      <c r="C894" t="s">
        <v>2723</v>
      </c>
      <c r="D894" s="1">
        <v>40485</v>
      </c>
      <c r="E894" s="1">
        <v>44204</v>
      </c>
      <c r="F894" s="1">
        <v>44204</v>
      </c>
      <c r="G894">
        <v>0</v>
      </c>
      <c r="H894">
        <v>82.89</v>
      </c>
      <c r="I894">
        <v>994.68</v>
      </c>
      <c r="J894">
        <v>2000</v>
      </c>
      <c r="K894" t="s">
        <v>27</v>
      </c>
      <c r="L894">
        <v>2000</v>
      </c>
      <c r="M894">
        <v>8.92</v>
      </c>
      <c r="N894" t="s">
        <v>36</v>
      </c>
      <c r="O894">
        <v>107</v>
      </c>
      <c r="P894">
        <v>55</v>
      </c>
      <c r="Q894">
        <v>1</v>
      </c>
      <c r="R894">
        <v>2</v>
      </c>
      <c r="S894" t="s">
        <v>65</v>
      </c>
      <c r="T894" t="s">
        <v>44</v>
      </c>
      <c r="U894" t="s">
        <v>38</v>
      </c>
      <c r="V894" t="s">
        <v>39</v>
      </c>
      <c r="W894">
        <v>0</v>
      </c>
      <c r="X894">
        <v>0</v>
      </c>
      <c r="Y894" s="2">
        <f>Table1[[#This Row],[premium_yearly]]*Table1[[#This Row],[tenure_years]]</f>
        <v>8872.5455999999995</v>
      </c>
      <c r="Z894" s="2">
        <f>Table1[[#This Row],[total_collected_premiums]]*(1-$AD$2)</f>
        <v>6476.9582879999998</v>
      </c>
      <c r="AA894" s="2">
        <f>Table1[[#This Row],[retained_premium]]-Table1[[#This Row],[claim_amount_paid]]</f>
        <v>4476.9582879999998</v>
      </c>
    </row>
    <row r="895" spans="1:27" x14ac:dyDescent="0.35">
      <c r="A895" t="s">
        <v>2724</v>
      </c>
      <c r="B895" t="s">
        <v>2725</v>
      </c>
      <c r="C895" t="s">
        <v>2726</v>
      </c>
      <c r="D895" s="1">
        <v>43522</v>
      </c>
      <c r="E895" s="1">
        <v>44196</v>
      </c>
      <c r="F895" s="1">
        <v>44201</v>
      </c>
      <c r="G895">
        <v>5</v>
      </c>
      <c r="H895">
        <v>128.29</v>
      </c>
      <c r="I895">
        <v>1539.48</v>
      </c>
      <c r="J895">
        <v>4000</v>
      </c>
      <c r="K895" t="s">
        <v>27</v>
      </c>
      <c r="L895">
        <v>4000</v>
      </c>
      <c r="M895">
        <v>6.83</v>
      </c>
      <c r="N895" t="s">
        <v>36</v>
      </c>
      <c r="O895">
        <v>82</v>
      </c>
      <c r="P895">
        <v>49</v>
      </c>
      <c r="Q895">
        <v>0</v>
      </c>
      <c r="R895">
        <v>4</v>
      </c>
      <c r="S895" t="s">
        <v>29</v>
      </c>
      <c r="T895" t="s">
        <v>30</v>
      </c>
      <c r="U895" t="s">
        <v>66</v>
      </c>
      <c r="V895" t="s">
        <v>39</v>
      </c>
      <c r="W895">
        <v>1</v>
      </c>
      <c r="X895">
        <v>1</v>
      </c>
      <c r="Y895" s="2">
        <f>Table1[[#This Row],[premium_yearly]]*Table1[[#This Row],[tenure_years]]</f>
        <v>10514.6484</v>
      </c>
      <c r="Z895" s="2">
        <f>Table1[[#This Row],[total_collected_premiums]]*(1-$AD$2)</f>
        <v>7675.6933319999998</v>
      </c>
      <c r="AA895" s="2">
        <f>Table1[[#This Row],[retained_premium]]-Table1[[#This Row],[claim_amount_paid]]</f>
        <v>3675.6933319999998</v>
      </c>
    </row>
    <row r="896" spans="1:27" x14ac:dyDescent="0.35">
      <c r="A896" t="s">
        <v>2727</v>
      </c>
      <c r="B896" t="s">
        <v>2728</v>
      </c>
      <c r="C896" t="s">
        <v>2729</v>
      </c>
      <c r="D896" s="1">
        <v>42123</v>
      </c>
      <c r="E896" s="1">
        <v>44192</v>
      </c>
      <c r="F896" s="1">
        <v>44197</v>
      </c>
      <c r="G896">
        <v>5</v>
      </c>
      <c r="H896">
        <v>91.43</v>
      </c>
      <c r="I896">
        <v>1097.1600000000001</v>
      </c>
      <c r="J896">
        <v>10000</v>
      </c>
      <c r="K896" t="s">
        <v>27</v>
      </c>
      <c r="L896">
        <v>10000</v>
      </c>
      <c r="M896">
        <v>8.5</v>
      </c>
      <c r="N896" t="s">
        <v>36</v>
      </c>
      <c r="O896">
        <v>102</v>
      </c>
      <c r="P896">
        <v>55</v>
      </c>
      <c r="Q896">
        <v>0</v>
      </c>
      <c r="R896">
        <v>6</v>
      </c>
      <c r="S896" t="s">
        <v>29</v>
      </c>
      <c r="T896" t="s">
        <v>30</v>
      </c>
      <c r="U896" t="s">
        <v>38</v>
      </c>
      <c r="V896" t="s">
        <v>39</v>
      </c>
      <c r="W896">
        <v>1</v>
      </c>
      <c r="X896">
        <v>1</v>
      </c>
      <c r="Y896" s="2">
        <f>Table1[[#This Row],[premium_yearly]]*Table1[[#This Row],[tenure_years]]</f>
        <v>9325.86</v>
      </c>
      <c r="Z896" s="2">
        <f>Table1[[#This Row],[total_collected_premiums]]*(1-$AD$2)</f>
        <v>6807.8778000000002</v>
      </c>
      <c r="AA896" s="2">
        <f>Table1[[#This Row],[retained_premium]]-Table1[[#This Row],[claim_amount_paid]]</f>
        <v>-3192.1221999999998</v>
      </c>
    </row>
    <row r="897" spans="1:27" x14ac:dyDescent="0.35">
      <c r="A897" t="s">
        <v>2730</v>
      </c>
      <c r="B897" t="s">
        <v>2731</v>
      </c>
      <c r="C897" t="s">
        <v>2732</v>
      </c>
      <c r="D897" s="1">
        <v>42834</v>
      </c>
      <c r="E897" s="1">
        <v>44198</v>
      </c>
      <c r="F897" s="1">
        <v>44201</v>
      </c>
      <c r="G897">
        <v>3</v>
      </c>
      <c r="H897">
        <v>102.25</v>
      </c>
      <c r="I897">
        <v>1227</v>
      </c>
      <c r="J897">
        <v>5000</v>
      </c>
      <c r="K897" t="s">
        <v>27</v>
      </c>
      <c r="L897">
        <v>5000</v>
      </c>
      <c r="M897">
        <v>2.33</v>
      </c>
      <c r="N897" t="s">
        <v>49</v>
      </c>
      <c r="O897">
        <v>28</v>
      </c>
      <c r="P897">
        <v>53</v>
      </c>
      <c r="Q897">
        <v>1</v>
      </c>
      <c r="R897">
        <v>7</v>
      </c>
      <c r="S897" t="s">
        <v>65</v>
      </c>
      <c r="T897" t="s">
        <v>50</v>
      </c>
      <c r="U897" t="s">
        <v>38</v>
      </c>
      <c r="V897" t="s">
        <v>32</v>
      </c>
      <c r="W897">
        <v>1</v>
      </c>
      <c r="X897">
        <v>1</v>
      </c>
      <c r="Y897" s="2">
        <f>Table1[[#This Row],[premium_yearly]]*Table1[[#This Row],[tenure_years]]</f>
        <v>2858.9100000000003</v>
      </c>
      <c r="Z897" s="2">
        <f>Table1[[#This Row],[total_collected_premiums]]*(1-$AD$2)</f>
        <v>2087.0043000000001</v>
      </c>
      <c r="AA897" s="2">
        <f>Table1[[#This Row],[retained_premium]]-Table1[[#This Row],[claim_amount_paid]]</f>
        <v>-2912.9956999999999</v>
      </c>
    </row>
    <row r="898" spans="1:27" x14ac:dyDescent="0.35">
      <c r="A898" t="s">
        <v>2733</v>
      </c>
      <c r="B898" t="s">
        <v>2734</v>
      </c>
      <c r="C898" t="s">
        <v>2735</v>
      </c>
      <c r="D898" s="1">
        <v>42977</v>
      </c>
      <c r="E898" s="1">
        <v>44191</v>
      </c>
      <c r="F898" s="1">
        <v>44196</v>
      </c>
      <c r="G898">
        <v>5</v>
      </c>
      <c r="H898">
        <v>132.47999999999999</v>
      </c>
      <c r="I898">
        <v>1589.76</v>
      </c>
      <c r="J898">
        <v>3000</v>
      </c>
      <c r="K898" t="s">
        <v>27</v>
      </c>
      <c r="L898">
        <v>3000</v>
      </c>
      <c r="M898">
        <v>9.58</v>
      </c>
      <c r="N898" t="s">
        <v>49</v>
      </c>
      <c r="O898">
        <v>115</v>
      </c>
      <c r="P898">
        <v>62</v>
      </c>
      <c r="Q898">
        <v>1</v>
      </c>
      <c r="R898">
        <v>4</v>
      </c>
      <c r="S898" t="s">
        <v>29</v>
      </c>
      <c r="T898" t="s">
        <v>50</v>
      </c>
      <c r="U898" t="s">
        <v>31</v>
      </c>
      <c r="V898" t="s">
        <v>32</v>
      </c>
      <c r="W898">
        <v>1</v>
      </c>
      <c r="X898">
        <v>1</v>
      </c>
      <c r="Y898" s="2">
        <f>Table1[[#This Row],[premium_yearly]]*Table1[[#This Row],[tenure_years]]</f>
        <v>15229.900799999999</v>
      </c>
      <c r="Z898" s="2">
        <f>Table1[[#This Row],[total_collected_premiums]]*(1-$AD$2)</f>
        <v>11117.827583999999</v>
      </c>
      <c r="AA898" s="2">
        <f>Table1[[#This Row],[retained_premium]]-Table1[[#This Row],[claim_amount_paid]]</f>
        <v>8117.8275839999988</v>
      </c>
    </row>
    <row r="899" spans="1:27" x14ac:dyDescent="0.35">
      <c r="A899" t="s">
        <v>2736</v>
      </c>
      <c r="B899" t="s">
        <v>2737</v>
      </c>
      <c r="C899" t="s">
        <v>2738</v>
      </c>
      <c r="D899" s="1">
        <v>43032</v>
      </c>
      <c r="E899" s="1">
        <v>44205</v>
      </c>
      <c r="F899" s="1">
        <v>44206</v>
      </c>
      <c r="G899">
        <v>1</v>
      </c>
      <c r="H899">
        <v>95.37</v>
      </c>
      <c r="I899">
        <v>1144.44</v>
      </c>
      <c r="J899">
        <v>7000</v>
      </c>
      <c r="K899" t="s">
        <v>27</v>
      </c>
      <c r="L899">
        <v>7000</v>
      </c>
      <c r="M899">
        <v>1.5</v>
      </c>
      <c r="N899" t="s">
        <v>28</v>
      </c>
      <c r="O899">
        <v>18</v>
      </c>
      <c r="P899">
        <v>43</v>
      </c>
      <c r="Q899">
        <v>1</v>
      </c>
      <c r="R899">
        <v>6</v>
      </c>
      <c r="S899" t="s">
        <v>65</v>
      </c>
      <c r="T899" t="s">
        <v>30</v>
      </c>
      <c r="U899" t="s">
        <v>38</v>
      </c>
      <c r="V899" t="s">
        <v>39</v>
      </c>
      <c r="W899">
        <v>0</v>
      </c>
      <c r="X899">
        <v>0</v>
      </c>
      <c r="Y899" s="2">
        <f>Table1[[#This Row],[premium_yearly]]*Table1[[#This Row],[tenure_years]]</f>
        <v>1716.66</v>
      </c>
      <c r="Z899" s="2">
        <f>Table1[[#This Row],[total_collected_premiums]]*(1-$AD$2)</f>
        <v>1253.1618000000001</v>
      </c>
      <c r="AA899" s="2">
        <f>Table1[[#This Row],[retained_premium]]-Table1[[#This Row],[claim_amount_paid]]</f>
        <v>-5746.8382000000001</v>
      </c>
    </row>
    <row r="900" spans="1:27" x14ac:dyDescent="0.35">
      <c r="A900" t="s">
        <v>2739</v>
      </c>
      <c r="B900" t="s">
        <v>2740</v>
      </c>
      <c r="C900" t="s">
        <v>2741</v>
      </c>
      <c r="D900" s="1">
        <v>42661</v>
      </c>
      <c r="E900" s="1">
        <v>44189</v>
      </c>
      <c r="F900" s="1">
        <v>44194</v>
      </c>
      <c r="G900">
        <v>5</v>
      </c>
      <c r="H900">
        <v>109.85</v>
      </c>
      <c r="I900">
        <v>1318.2</v>
      </c>
      <c r="J900">
        <v>6000</v>
      </c>
      <c r="K900" t="s">
        <v>27</v>
      </c>
      <c r="L900">
        <v>6000</v>
      </c>
      <c r="M900">
        <v>3.17</v>
      </c>
      <c r="N900" t="s">
        <v>28</v>
      </c>
      <c r="O900">
        <v>38</v>
      </c>
      <c r="P900">
        <v>57</v>
      </c>
      <c r="Q900">
        <v>0</v>
      </c>
      <c r="R900">
        <v>6</v>
      </c>
      <c r="S900" t="s">
        <v>65</v>
      </c>
      <c r="T900" t="s">
        <v>44</v>
      </c>
      <c r="U900" t="s">
        <v>38</v>
      </c>
      <c r="V900" t="s">
        <v>39</v>
      </c>
      <c r="W900">
        <v>1</v>
      </c>
      <c r="X900">
        <v>1</v>
      </c>
      <c r="Y900" s="2">
        <f>Table1[[#This Row],[premium_yearly]]*Table1[[#This Row],[tenure_years]]</f>
        <v>4178.6940000000004</v>
      </c>
      <c r="Z900" s="2">
        <f>Table1[[#This Row],[total_collected_premiums]]*(1-$AD$2)</f>
        <v>3050.4466200000002</v>
      </c>
      <c r="AA900" s="2">
        <f>Table1[[#This Row],[retained_premium]]-Table1[[#This Row],[claim_amount_paid]]</f>
        <v>-2949.5533799999998</v>
      </c>
    </row>
    <row r="901" spans="1:27" x14ac:dyDescent="0.35">
      <c r="A901" t="s">
        <v>2742</v>
      </c>
      <c r="B901" t="s">
        <v>2743</v>
      </c>
      <c r="C901" t="s">
        <v>2744</v>
      </c>
      <c r="D901" s="1">
        <v>42041</v>
      </c>
      <c r="E901" s="1">
        <v>44202</v>
      </c>
      <c r="F901" s="1">
        <v>44204</v>
      </c>
      <c r="G901">
        <v>2</v>
      </c>
      <c r="H901">
        <v>84.56</v>
      </c>
      <c r="I901">
        <v>1014.72</v>
      </c>
      <c r="J901">
        <v>10000</v>
      </c>
      <c r="K901" t="s">
        <v>27</v>
      </c>
      <c r="L901">
        <v>10000</v>
      </c>
      <c r="M901">
        <v>1.42</v>
      </c>
      <c r="N901" t="s">
        <v>28</v>
      </c>
      <c r="O901">
        <v>17</v>
      </c>
      <c r="P901">
        <v>54</v>
      </c>
      <c r="Q901">
        <v>1</v>
      </c>
      <c r="R901">
        <v>4</v>
      </c>
      <c r="S901" t="s">
        <v>65</v>
      </c>
      <c r="T901" t="s">
        <v>30</v>
      </c>
      <c r="U901" t="s">
        <v>38</v>
      </c>
      <c r="V901" t="s">
        <v>39</v>
      </c>
      <c r="W901">
        <v>1</v>
      </c>
      <c r="X901">
        <v>1</v>
      </c>
      <c r="Y901" s="2">
        <f>Table1[[#This Row],[premium_yearly]]*Table1[[#This Row],[tenure_years]]</f>
        <v>1440.9023999999999</v>
      </c>
      <c r="Z901" s="2">
        <f>Table1[[#This Row],[total_collected_premiums]]*(1-$AD$2)</f>
        <v>1051.8587519999999</v>
      </c>
      <c r="AA901" s="2">
        <f>Table1[[#This Row],[retained_premium]]-Table1[[#This Row],[claim_amount_paid]]</f>
        <v>-8948.1412479999999</v>
      </c>
    </row>
    <row r="902" spans="1:27" x14ac:dyDescent="0.35">
      <c r="A902" t="s">
        <v>2745</v>
      </c>
      <c r="B902" t="s">
        <v>2746</v>
      </c>
      <c r="C902" t="s">
        <v>2747</v>
      </c>
      <c r="D902" s="1">
        <v>41660</v>
      </c>
      <c r="E902" s="1">
        <v>44208</v>
      </c>
      <c r="F902" s="1">
        <v>44208</v>
      </c>
      <c r="G902">
        <v>0</v>
      </c>
      <c r="H902">
        <v>80.400000000000006</v>
      </c>
      <c r="I902">
        <v>964.8</v>
      </c>
      <c r="J902">
        <v>6000</v>
      </c>
      <c r="K902" t="s">
        <v>27</v>
      </c>
      <c r="L902">
        <v>6000</v>
      </c>
      <c r="M902">
        <v>7.83</v>
      </c>
      <c r="N902" t="s">
        <v>28</v>
      </c>
      <c r="O902">
        <v>94</v>
      </c>
      <c r="P902">
        <v>57</v>
      </c>
      <c r="Q902">
        <v>0</v>
      </c>
      <c r="R902">
        <v>2</v>
      </c>
      <c r="S902" t="s">
        <v>65</v>
      </c>
      <c r="T902" t="s">
        <v>30</v>
      </c>
      <c r="U902" t="s">
        <v>38</v>
      </c>
      <c r="V902" t="s">
        <v>32</v>
      </c>
      <c r="W902">
        <v>1</v>
      </c>
      <c r="X902">
        <v>1</v>
      </c>
      <c r="Y902" s="2">
        <f>Table1[[#This Row],[premium_yearly]]*Table1[[#This Row],[tenure_years]]</f>
        <v>7554.384</v>
      </c>
      <c r="Z902" s="2">
        <f>Table1[[#This Row],[total_collected_premiums]]*(1-$AD$2)</f>
        <v>5514.7003199999999</v>
      </c>
      <c r="AA902" s="2">
        <f>Table1[[#This Row],[retained_premium]]-Table1[[#This Row],[claim_amount_paid]]</f>
        <v>-485.29968000000008</v>
      </c>
    </row>
    <row r="903" spans="1:27" x14ac:dyDescent="0.35">
      <c r="A903" t="s">
        <v>2748</v>
      </c>
      <c r="B903" t="s">
        <v>2749</v>
      </c>
      <c r="C903" t="s">
        <v>2750</v>
      </c>
      <c r="D903" s="1">
        <v>42397</v>
      </c>
      <c r="E903" s="1">
        <v>44193</v>
      </c>
      <c r="F903" s="1">
        <v>44198</v>
      </c>
      <c r="G903">
        <v>5</v>
      </c>
      <c r="H903">
        <v>127.71</v>
      </c>
      <c r="I903">
        <v>1532.52</v>
      </c>
      <c r="J903">
        <v>3000</v>
      </c>
      <c r="K903" t="s">
        <v>27</v>
      </c>
      <c r="L903">
        <v>3000</v>
      </c>
      <c r="M903">
        <v>8.08</v>
      </c>
      <c r="N903" t="s">
        <v>28</v>
      </c>
      <c r="O903">
        <v>97</v>
      </c>
      <c r="P903">
        <v>41</v>
      </c>
      <c r="Q903">
        <v>0</v>
      </c>
      <c r="R903">
        <v>5</v>
      </c>
      <c r="S903" t="s">
        <v>29</v>
      </c>
      <c r="T903" t="s">
        <v>50</v>
      </c>
      <c r="U903" t="s">
        <v>31</v>
      </c>
      <c r="V903" t="s">
        <v>45</v>
      </c>
      <c r="W903">
        <v>1</v>
      </c>
      <c r="X903">
        <v>1</v>
      </c>
      <c r="Y903" s="2">
        <f>Table1[[#This Row],[premium_yearly]]*Table1[[#This Row],[tenure_years]]</f>
        <v>12382.7616</v>
      </c>
      <c r="Z903" s="2">
        <f>Table1[[#This Row],[total_collected_premiums]]*(1-$AD$2)</f>
        <v>9039.4159679999993</v>
      </c>
      <c r="AA903" s="2">
        <f>Table1[[#This Row],[retained_premium]]-Table1[[#This Row],[claim_amount_paid]]</f>
        <v>6039.4159679999993</v>
      </c>
    </row>
    <row r="904" spans="1:27" x14ac:dyDescent="0.35">
      <c r="A904" t="s">
        <v>2751</v>
      </c>
      <c r="B904" t="s">
        <v>2752</v>
      </c>
      <c r="C904" t="s">
        <v>2753</v>
      </c>
      <c r="D904" s="1">
        <v>42843</v>
      </c>
      <c r="E904" s="1">
        <v>44210</v>
      </c>
      <c r="F904" s="1">
        <v>44210</v>
      </c>
      <c r="G904">
        <v>0</v>
      </c>
      <c r="H904">
        <v>78.41</v>
      </c>
      <c r="I904">
        <v>940.92</v>
      </c>
      <c r="J904">
        <v>1000</v>
      </c>
      <c r="K904" t="s">
        <v>27</v>
      </c>
      <c r="L904">
        <v>1000</v>
      </c>
      <c r="M904">
        <v>9.42</v>
      </c>
      <c r="N904" t="s">
        <v>28</v>
      </c>
      <c r="O904">
        <v>113</v>
      </c>
      <c r="P904">
        <v>32</v>
      </c>
      <c r="Q904">
        <v>0</v>
      </c>
      <c r="R904">
        <v>7</v>
      </c>
      <c r="S904" t="s">
        <v>65</v>
      </c>
      <c r="T904" t="s">
        <v>44</v>
      </c>
      <c r="U904" t="s">
        <v>31</v>
      </c>
      <c r="V904" t="s">
        <v>45</v>
      </c>
      <c r="W904">
        <v>1</v>
      </c>
      <c r="X904">
        <v>1</v>
      </c>
      <c r="Y904" s="2">
        <f>Table1[[#This Row],[premium_yearly]]*Table1[[#This Row],[tenure_years]]</f>
        <v>8863.4663999999993</v>
      </c>
      <c r="Z904" s="2">
        <f>Table1[[#This Row],[total_collected_premiums]]*(1-$AD$2)</f>
        <v>6470.3304719999996</v>
      </c>
      <c r="AA904" s="2">
        <f>Table1[[#This Row],[retained_premium]]-Table1[[#This Row],[claim_amount_paid]]</f>
        <v>5470.3304719999996</v>
      </c>
    </row>
    <row r="905" spans="1:27" x14ac:dyDescent="0.35">
      <c r="A905" t="s">
        <v>2754</v>
      </c>
      <c r="B905" t="s">
        <v>2755</v>
      </c>
      <c r="C905" t="s">
        <v>2756</v>
      </c>
      <c r="D905" s="1">
        <v>40566</v>
      </c>
      <c r="E905" s="1">
        <v>44203</v>
      </c>
      <c r="F905" s="1">
        <v>44206</v>
      </c>
      <c r="G905">
        <v>3</v>
      </c>
      <c r="H905">
        <v>78.069999999999993</v>
      </c>
      <c r="I905">
        <v>936.84</v>
      </c>
      <c r="J905">
        <v>8000</v>
      </c>
      <c r="K905" t="s">
        <v>27</v>
      </c>
      <c r="L905">
        <v>8000</v>
      </c>
      <c r="M905">
        <v>7.33</v>
      </c>
      <c r="N905" t="s">
        <v>49</v>
      </c>
      <c r="O905">
        <v>88</v>
      </c>
      <c r="P905">
        <v>57</v>
      </c>
      <c r="Q905">
        <v>1</v>
      </c>
      <c r="R905">
        <v>3</v>
      </c>
      <c r="S905" t="s">
        <v>65</v>
      </c>
      <c r="T905" t="s">
        <v>30</v>
      </c>
      <c r="U905" t="s">
        <v>66</v>
      </c>
      <c r="V905" t="s">
        <v>39</v>
      </c>
      <c r="W905">
        <v>0</v>
      </c>
      <c r="X905">
        <v>0</v>
      </c>
      <c r="Y905" s="2">
        <f>Table1[[#This Row],[premium_yearly]]*Table1[[#This Row],[tenure_years]]</f>
        <v>6867.0372000000007</v>
      </c>
      <c r="Z905" s="2">
        <f>Table1[[#This Row],[total_collected_premiums]]*(1-$AD$2)</f>
        <v>5012.937156</v>
      </c>
      <c r="AA905" s="2">
        <f>Table1[[#This Row],[retained_premium]]-Table1[[#This Row],[claim_amount_paid]]</f>
        <v>-2987.062844</v>
      </c>
    </row>
    <row r="906" spans="1:27" x14ac:dyDescent="0.35">
      <c r="A906" t="s">
        <v>2757</v>
      </c>
      <c r="B906" t="s">
        <v>2758</v>
      </c>
      <c r="C906" t="s">
        <v>2759</v>
      </c>
      <c r="D906" s="1">
        <v>43504</v>
      </c>
      <c r="E906" s="1">
        <v>44195</v>
      </c>
      <c r="F906" s="1">
        <v>44200</v>
      </c>
      <c r="G906">
        <v>5</v>
      </c>
      <c r="H906">
        <v>125.38</v>
      </c>
      <c r="I906">
        <v>1504.56</v>
      </c>
      <c r="J906">
        <v>1000</v>
      </c>
      <c r="K906" t="s">
        <v>27</v>
      </c>
      <c r="L906">
        <v>1000</v>
      </c>
      <c r="M906">
        <v>3.25</v>
      </c>
      <c r="N906" t="s">
        <v>49</v>
      </c>
      <c r="O906">
        <v>39</v>
      </c>
      <c r="P906">
        <v>53</v>
      </c>
      <c r="Q906">
        <v>1</v>
      </c>
      <c r="R906">
        <v>6</v>
      </c>
      <c r="S906" t="s">
        <v>29</v>
      </c>
      <c r="T906" t="s">
        <v>30</v>
      </c>
      <c r="U906" t="s">
        <v>58</v>
      </c>
      <c r="V906" t="s">
        <v>45</v>
      </c>
      <c r="W906">
        <v>1</v>
      </c>
      <c r="X906">
        <v>0</v>
      </c>
      <c r="Y906" s="2">
        <f>Table1[[#This Row],[premium_yearly]]*Table1[[#This Row],[tenure_years]]</f>
        <v>4889.82</v>
      </c>
      <c r="Z906" s="2">
        <f>Table1[[#This Row],[total_collected_premiums]]*(1-$AD$2)</f>
        <v>3569.5685999999996</v>
      </c>
      <c r="AA906" s="2">
        <f>Table1[[#This Row],[retained_premium]]-Table1[[#This Row],[claim_amount_paid]]</f>
        <v>2569.5685999999996</v>
      </c>
    </row>
    <row r="907" spans="1:27" x14ac:dyDescent="0.35">
      <c r="A907" t="s">
        <v>2760</v>
      </c>
      <c r="B907" t="s">
        <v>2761</v>
      </c>
      <c r="C907" t="s">
        <v>2762</v>
      </c>
      <c r="D907" s="1">
        <v>43235</v>
      </c>
      <c r="E907" s="1">
        <v>44195</v>
      </c>
      <c r="F907" s="1">
        <v>44200</v>
      </c>
      <c r="G907">
        <v>5</v>
      </c>
      <c r="H907">
        <v>81.92</v>
      </c>
      <c r="I907">
        <v>983.04</v>
      </c>
      <c r="J907">
        <v>1000</v>
      </c>
      <c r="K907" t="s">
        <v>27</v>
      </c>
      <c r="L907">
        <v>1000</v>
      </c>
      <c r="M907">
        <v>1.92</v>
      </c>
      <c r="N907" t="s">
        <v>28</v>
      </c>
      <c r="O907">
        <v>23</v>
      </c>
      <c r="P907">
        <v>58</v>
      </c>
      <c r="Q907">
        <v>0</v>
      </c>
      <c r="R907">
        <v>4</v>
      </c>
      <c r="S907" t="s">
        <v>29</v>
      </c>
      <c r="T907" t="s">
        <v>44</v>
      </c>
      <c r="U907" t="s">
        <v>51</v>
      </c>
      <c r="V907" t="s">
        <v>39</v>
      </c>
      <c r="W907">
        <v>0</v>
      </c>
      <c r="X907">
        <v>1</v>
      </c>
      <c r="Y907" s="2">
        <f>Table1[[#This Row],[premium_yearly]]*Table1[[#This Row],[tenure_years]]</f>
        <v>1887.4367999999999</v>
      </c>
      <c r="Z907" s="2">
        <f>Table1[[#This Row],[total_collected_premiums]]*(1-$AD$2)</f>
        <v>1377.8288639999998</v>
      </c>
      <c r="AA907" s="2">
        <f>Table1[[#This Row],[retained_premium]]-Table1[[#This Row],[claim_amount_paid]]</f>
        <v>377.82886399999984</v>
      </c>
    </row>
    <row r="908" spans="1:27" x14ac:dyDescent="0.35">
      <c r="A908" t="s">
        <v>2763</v>
      </c>
      <c r="B908" t="s">
        <v>2764</v>
      </c>
      <c r="C908" t="s">
        <v>2765</v>
      </c>
      <c r="D908" s="1">
        <v>40858</v>
      </c>
      <c r="E908" s="1">
        <v>44201</v>
      </c>
      <c r="F908" s="1">
        <v>44206</v>
      </c>
      <c r="G908">
        <v>5</v>
      </c>
      <c r="H908">
        <v>70.849999999999994</v>
      </c>
      <c r="I908">
        <v>850.2</v>
      </c>
      <c r="J908">
        <v>2000</v>
      </c>
      <c r="K908" t="s">
        <v>27</v>
      </c>
      <c r="L908">
        <v>2000</v>
      </c>
      <c r="M908">
        <v>7.83</v>
      </c>
      <c r="N908" t="s">
        <v>36</v>
      </c>
      <c r="O908">
        <v>94</v>
      </c>
      <c r="P908">
        <v>37</v>
      </c>
      <c r="Q908">
        <v>1</v>
      </c>
      <c r="R908">
        <v>6</v>
      </c>
      <c r="S908" t="s">
        <v>65</v>
      </c>
      <c r="T908" t="s">
        <v>44</v>
      </c>
      <c r="U908" t="s">
        <v>38</v>
      </c>
      <c r="V908" t="s">
        <v>39</v>
      </c>
      <c r="W908">
        <v>1</v>
      </c>
      <c r="X908">
        <v>1</v>
      </c>
      <c r="Y908" s="2">
        <f>Table1[[#This Row],[premium_yearly]]*Table1[[#This Row],[tenure_years]]</f>
        <v>6657.0660000000007</v>
      </c>
      <c r="Z908" s="2">
        <f>Table1[[#This Row],[total_collected_premiums]]*(1-$AD$2)</f>
        <v>4859.6581800000004</v>
      </c>
      <c r="AA908" s="2">
        <f>Table1[[#This Row],[retained_premium]]-Table1[[#This Row],[claim_amount_paid]]</f>
        <v>2859.6581800000004</v>
      </c>
    </row>
    <row r="909" spans="1:27" x14ac:dyDescent="0.35">
      <c r="A909" t="s">
        <v>2766</v>
      </c>
      <c r="B909" t="s">
        <v>2767</v>
      </c>
      <c r="C909" t="s">
        <v>2768</v>
      </c>
      <c r="D909" s="1">
        <v>43627</v>
      </c>
      <c r="E909" s="1">
        <v>44206</v>
      </c>
      <c r="F909" s="1">
        <v>44208</v>
      </c>
      <c r="G909">
        <v>2</v>
      </c>
      <c r="H909">
        <v>126.46</v>
      </c>
      <c r="I909">
        <v>1517.52</v>
      </c>
      <c r="J909">
        <v>10000</v>
      </c>
      <c r="K909" t="s">
        <v>27</v>
      </c>
      <c r="L909">
        <v>10000</v>
      </c>
      <c r="M909">
        <v>2</v>
      </c>
      <c r="N909" t="s">
        <v>49</v>
      </c>
      <c r="O909">
        <v>24</v>
      </c>
      <c r="P909">
        <v>58</v>
      </c>
      <c r="Q909">
        <v>0</v>
      </c>
      <c r="R909">
        <v>4</v>
      </c>
      <c r="S909" t="s">
        <v>29</v>
      </c>
      <c r="T909" t="s">
        <v>30</v>
      </c>
      <c r="U909" t="s">
        <v>107</v>
      </c>
      <c r="V909" t="s">
        <v>32</v>
      </c>
      <c r="W909">
        <v>0</v>
      </c>
      <c r="X909">
        <v>1</v>
      </c>
      <c r="Y909" s="2">
        <f>Table1[[#This Row],[premium_yearly]]*Table1[[#This Row],[tenure_years]]</f>
        <v>3035.04</v>
      </c>
      <c r="Z909" s="2">
        <f>Table1[[#This Row],[total_collected_premiums]]*(1-$AD$2)</f>
        <v>2215.5792000000001</v>
      </c>
      <c r="AA909" s="2">
        <f>Table1[[#This Row],[retained_premium]]-Table1[[#This Row],[claim_amount_paid]]</f>
        <v>-7784.4207999999999</v>
      </c>
    </row>
    <row r="910" spans="1:27" x14ac:dyDescent="0.35">
      <c r="A910" t="s">
        <v>2769</v>
      </c>
      <c r="B910" t="s">
        <v>2770</v>
      </c>
      <c r="C910" t="s">
        <v>2771</v>
      </c>
      <c r="D910" s="1">
        <v>41053</v>
      </c>
      <c r="E910" s="1">
        <v>44203</v>
      </c>
      <c r="F910" s="1">
        <v>44206</v>
      </c>
      <c r="G910">
        <v>3</v>
      </c>
      <c r="H910">
        <v>131.26</v>
      </c>
      <c r="I910">
        <v>1575.12</v>
      </c>
      <c r="J910">
        <v>4000</v>
      </c>
      <c r="K910" t="s">
        <v>27</v>
      </c>
      <c r="L910">
        <v>4000</v>
      </c>
      <c r="M910">
        <v>3.83</v>
      </c>
      <c r="N910" t="s">
        <v>49</v>
      </c>
      <c r="O910">
        <v>46</v>
      </c>
      <c r="P910">
        <v>26</v>
      </c>
      <c r="Q910">
        <v>0</v>
      </c>
      <c r="R910">
        <v>7</v>
      </c>
      <c r="S910" t="s">
        <v>29</v>
      </c>
      <c r="T910" t="s">
        <v>30</v>
      </c>
      <c r="U910" t="s">
        <v>31</v>
      </c>
      <c r="V910" t="s">
        <v>32</v>
      </c>
      <c r="W910">
        <v>1</v>
      </c>
      <c r="X910">
        <v>0</v>
      </c>
      <c r="Y910" s="2">
        <f>Table1[[#This Row],[premium_yearly]]*Table1[[#This Row],[tenure_years]]</f>
        <v>6032.7096000000001</v>
      </c>
      <c r="Z910" s="2">
        <f>Table1[[#This Row],[total_collected_premiums]]*(1-$AD$2)</f>
        <v>4403.8780079999997</v>
      </c>
      <c r="AA910" s="2">
        <f>Table1[[#This Row],[retained_premium]]-Table1[[#This Row],[claim_amount_paid]]</f>
        <v>403.87800799999968</v>
      </c>
    </row>
    <row r="911" spans="1:27" x14ac:dyDescent="0.35">
      <c r="A911" t="s">
        <v>2772</v>
      </c>
      <c r="B911" t="s">
        <v>2773</v>
      </c>
      <c r="C911" t="s">
        <v>2774</v>
      </c>
      <c r="D911" s="1">
        <v>42450</v>
      </c>
      <c r="E911" s="1">
        <v>44203</v>
      </c>
      <c r="F911" s="1">
        <v>44206</v>
      </c>
      <c r="G911">
        <v>3</v>
      </c>
      <c r="H911">
        <v>138.06</v>
      </c>
      <c r="I911">
        <v>1656.72</v>
      </c>
      <c r="J911">
        <v>7000</v>
      </c>
      <c r="K911" t="s">
        <v>27</v>
      </c>
      <c r="L911">
        <v>7000</v>
      </c>
      <c r="M911">
        <v>3.92</v>
      </c>
      <c r="N911" t="s">
        <v>36</v>
      </c>
      <c r="O911">
        <v>47</v>
      </c>
      <c r="P911">
        <v>47</v>
      </c>
      <c r="Q911">
        <v>1</v>
      </c>
      <c r="R911">
        <v>5</v>
      </c>
      <c r="S911" t="s">
        <v>65</v>
      </c>
      <c r="T911" t="s">
        <v>44</v>
      </c>
      <c r="U911" t="s">
        <v>31</v>
      </c>
      <c r="V911" t="s">
        <v>39</v>
      </c>
      <c r="W911">
        <v>1</v>
      </c>
      <c r="X911">
        <v>1</v>
      </c>
      <c r="Y911" s="2">
        <f>Table1[[#This Row],[premium_yearly]]*Table1[[#This Row],[tenure_years]]</f>
        <v>6494.3423999999995</v>
      </c>
      <c r="Z911" s="2">
        <f>Table1[[#This Row],[total_collected_premiums]]*(1-$AD$2)</f>
        <v>4740.8699519999991</v>
      </c>
      <c r="AA911" s="2">
        <f>Table1[[#This Row],[retained_premium]]-Table1[[#This Row],[claim_amount_paid]]</f>
        <v>-2259.1300480000009</v>
      </c>
    </row>
    <row r="912" spans="1:27" x14ac:dyDescent="0.35">
      <c r="A912" t="s">
        <v>2775</v>
      </c>
      <c r="B912" t="s">
        <v>2776</v>
      </c>
      <c r="C912" t="s">
        <v>2777</v>
      </c>
      <c r="D912" s="1">
        <v>41568</v>
      </c>
      <c r="E912" s="1">
        <v>44206</v>
      </c>
      <c r="F912" s="1">
        <v>44208</v>
      </c>
      <c r="G912">
        <v>2</v>
      </c>
      <c r="H912">
        <v>138.94999999999999</v>
      </c>
      <c r="I912">
        <v>1667.4</v>
      </c>
      <c r="J912">
        <v>4000</v>
      </c>
      <c r="K912" t="s">
        <v>27</v>
      </c>
      <c r="L912">
        <v>4000</v>
      </c>
      <c r="M912">
        <v>8.25</v>
      </c>
      <c r="N912" t="s">
        <v>49</v>
      </c>
      <c r="O912">
        <v>99</v>
      </c>
      <c r="P912">
        <v>45</v>
      </c>
      <c r="Q912">
        <v>1</v>
      </c>
      <c r="R912">
        <v>3</v>
      </c>
      <c r="S912" t="s">
        <v>29</v>
      </c>
      <c r="T912" t="s">
        <v>30</v>
      </c>
      <c r="U912" t="s">
        <v>31</v>
      </c>
      <c r="V912" t="s">
        <v>39</v>
      </c>
      <c r="W912">
        <v>0</v>
      </c>
      <c r="X912">
        <v>0</v>
      </c>
      <c r="Y912" s="2">
        <f>Table1[[#This Row],[premium_yearly]]*Table1[[#This Row],[tenure_years]]</f>
        <v>13756.050000000001</v>
      </c>
      <c r="Z912" s="2">
        <f>Table1[[#This Row],[total_collected_premiums]]*(1-$AD$2)</f>
        <v>10041.916500000001</v>
      </c>
      <c r="AA912" s="2">
        <f>Table1[[#This Row],[retained_premium]]-Table1[[#This Row],[claim_amount_paid]]</f>
        <v>6041.9165000000012</v>
      </c>
    </row>
    <row r="913" spans="1:27" x14ac:dyDescent="0.35">
      <c r="A913" t="s">
        <v>2778</v>
      </c>
      <c r="B913" t="s">
        <v>2779</v>
      </c>
      <c r="C913" t="s">
        <v>2780</v>
      </c>
      <c r="D913" s="1">
        <v>40661</v>
      </c>
      <c r="E913" s="1">
        <v>44208</v>
      </c>
      <c r="F913" s="1">
        <v>44209</v>
      </c>
      <c r="G913">
        <v>1</v>
      </c>
      <c r="H913">
        <v>73.41</v>
      </c>
      <c r="I913">
        <v>880.92</v>
      </c>
      <c r="J913">
        <v>4000</v>
      </c>
      <c r="K913" t="s">
        <v>27</v>
      </c>
      <c r="L913">
        <v>4000</v>
      </c>
      <c r="M913">
        <v>2.58</v>
      </c>
      <c r="N913" t="s">
        <v>36</v>
      </c>
      <c r="O913">
        <v>31</v>
      </c>
      <c r="P913">
        <v>28</v>
      </c>
      <c r="Q913">
        <v>1</v>
      </c>
      <c r="R913">
        <v>5</v>
      </c>
      <c r="S913" t="s">
        <v>29</v>
      </c>
      <c r="T913" t="s">
        <v>30</v>
      </c>
      <c r="U913" t="s">
        <v>38</v>
      </c>
      <c r="V913" t="s">
        <v>45</v>
      </c>
      <c r="W913">
        <v>1</v>
      </c>
      <c r="X913">
        <v>1</v>
      </c>
      <c r="Y913" s="2">
        <f>Table1[[#This Row],[premium_yearly]]*Table1[[#This Row],[tenure_years]]</f>
        <v>2272.7736</v>
      </c>
      <c r="Z913" s="2">
        <f>Table1[[#This Row],[total_collected_premiums]]*(1-$AD$2)</f>
        <v>1659.124728</v>
      </c>
      <c r="AA913" s="2">
        <f>Table1[[#This Row],[retained_premium]]-Table1[[#This Row],[claim_amount_paid]]</f>
        <v>-2340.8752720000002</v>
      </c>
    </row>
    <row r="914" spans="1:27" x14ac:dyDescent="0.35">
      <c r="A914" t="s">
        <v>2781</v>
      </c>
      <c r="B914" t="s">
        <v>2782</v>
      </c>
      <c r="C914" t="s">
        <v>2783</v>
      </c>
      <c r="D914" s="1">
        <v>42895</v>
      </c>
      <c r="E914" s="1">
        <v>44194</v>
      </c>
      <c r="F914" s="1">
        <v>44199</v>
      </c>
      <c r="G914">
        <v>5</v>
      </c>
      <c r="H914">
        <v>116.63</v>
      </c>
      <c r="I914">
        <v>1399.56</v>
      </c>
      <c r="J914">
        <v>1000</v>
      </c>
      <c r="K914" t="s">
        <v>27</v>
      </c>
      <c r="L914">
        <v>1000</v>
      </c>
      <c r="M914">
        <v>2.33</v>
      </c>
      <c r="N914" t="s">
        <v>28</v>
      </c>
      <c r="O914">
        <v>28</v>
      </c>
      <c r="P914">
        <v>31</v>
      </c>
      <c r="Q914">
        <v>1</v>
      </c>
      <c r="R914">
        <v>2</v>
      </c>
      <c r="S914" t="s">
        <v>29</v>
      </c>
      <c r="T914" t="s">
        <v>50</v>
      </c>
      <c r="U914" t="s">
        <v>38</v>
      </c>
      <c r="V914" t="s">
        <v>39</v>
      </c>
      <c r="W914">
        <v>0</v>
      </c>
      <c r="X914">
        <v>1</v>
      </c>
      <c r="Y914" s="2">
        <f>Table1[[#This Row],[premium_yearly]]*Table1[[#This Row],[tenure_years]]</f>
        <v>3260.9748</v>
      </c>
      <c r="Z914" s="2">
        <f>Table1[[#This Row],[total_collected_premiums]]*(1-$AD$2)</f>
        <v>2380.5116039999998</v>
      </c>
      <c r="AA914" s="2">
        <f>Table1[[#This Row],[retained_premium]]-Table1[[#This Row],[claim_amount_paid]]</f>
        <v>1380.5116039999998</v>
      </c>
    </row>
    <row r="915" spans="1:27" x14ac:dyDescent="0.35">
      <c r="A915" t="s">
        <v>2784</v>
      </c>
      <c r="B915" t="s">
        <v>2785</v>
      </c>
      <c r="C915" t="s">
        <v>2786</v>
      </c>
      <c r="D915" s="1">
        <v>43650</v>
      </c>
      <c r="E915" s="1">
        <v>44196</v>
      </c>
      <c r="F915" s="1">
        <v>44201</v>
      </c>
      <c r="G915">
        <v>5</v>
      </c>
      <c r="H915">
        <v>104.02</v>
      </c>
      <c r="I915">
        <v>1248.24</v>
      </c>
      <c r="J915">
        <v>5000</v>
      </c>
      <c r="K915" t="s">
        <v>27</v>
      </c>
      <c r="L915">
        <v>5000</v>
      </c>
      <c r="M915">
        <v>5.42</v>
      </c>
      <c r="N915" t="s">
        <v>28</v>
      </c>
      <c r="O915">
        <v>65</v>
      </c>
      <c r="P915">
        <v>32</v>
      </c>
      <c r="Q915">
        <v>1</v>
      </c>
      <c r="R915">
        <v>4</v>
      </c>
      <c r="S915" t="s">
        <v>65</v>
      </c>
      <c r="T915" t="s">
        <v>30</v>
      </c>
      <c r="U915" t="s">
        <v>38</v>
      </c>
      <c r="V915" t="s">
        <v>45</v>
      </c>
      <c r="W915">
        <v>1</v>
      </c>
      <c r="X915">
        <v>1</v>
      </c>
      <c r="Y915" s="2">
        <f>Table1[[#This Row],[premium_yearly]]*Table1[[#This Row],[tenure_years]]</f>
        <v>6765.4607999999998</v>
      </c>
      <c r="Z915" s="2">
        <f>Table1[[#This Row],[total_collected_premiums]]*(1-$AD$2)</f>
        <v>4938.786384</v>
      </c>
      <c r="AA915" s="2">
        <f>Table1[[#This Row],[retained_premium]]-Table1[[#This Row],[claim_amount_paid]]</f>
        <v>-61.213616000000002</v>
      </c>
    </row>
    <row r="916" spans="1:27" x14ac:dyDescent="0.35">
      <c r="A916" t="s">
        <v>2787</v>
      </c>
      <c r="B916" t="s">
        <v>2788</v>
      </c>
      <c r="C916" t="s">
        <v>2789</v>
      </c>
      <c r="D916" s="1">
        <v>42076</v>
      </c>
      <c r="E916" s="1">
        <v>44205</v>
      </c>
      <c r="F916" s="1">
        <v>44208</v>
      </c>
      <c r="G916">
        <v>3</v>
      </c>
      <c r="H916">
        <v>137.05000000000001</v>
      </c>
      <c r="I916">
        <v>1644.6</v>
      </c>
      <c r="J916">
        <v>2000</v>
      </c>
      <c r="K916" t="s">
        <v>27</v>
      </c>
      <c r="L916">
        <v>2000</v>
      </c>
      <c r="M916">
        <v>9.33</v>
      </c>
      <c r="N916" t="s">
        <v>36</v>
      </c>
      <c r="O916">
        <v>112</v>
      </c>
      <c r="P916">
        <v>31</v>
      </c>
      <c r="Q916">
        <v>1</v>
      </c>
      <c r="R916">
        <v>2</v>
      </c>
      <c r="S916" t="s">
        <v>29</v>
      </c>
      <c r="T916" t="s">
        <v>50</v>
      </c>
      <c r="U916" t="s">
        <v>66</v>
      </c>
      <c r="V916" t="s">
        <v>45</v>
      </c>
      <c r="W916">
        <v>1</v>
      </c>
      <c r="X916">
        <v>0</v>
      </c>
      <c r="Y916" s="2">
        <f>Table1[[#This Row],[premium_yearly]]*Table1[[#This Row],[tenure_years]]</f>
        <v>15344.117999999999</v>
      </c>
      <c r="Z916" s="2">
        <f>Table1[[#This Row],[total_collected_premiums]]*(1-$AD$2)</f>
        <v>11201.206139999998</v>
      </c>
      <c r="AA916" s="2">
        <f>Table1[[#This Row],[retained_premium]]-Table1[[#This Row],[claim_amount_paid]]</f>
        <v>9201.2061399999984</v>
      </c>
    </row>
    <row r="917" spans="1:27" x14ac:dyDescent="0.35">
      <c r="A917" t="s">
        <v>2790</v>
      </c>
      <c r="B917" t="s">
        <v>2791</v>
      </c>
      <c r="C917" t="s">
        <v>2792</v>
      </c>
      <c r="D917" s="1">
        <v>42753</v>
      </c>
      <c r="E917" s="1">
        <v>44212</v>
      </c>
      <c r="F917" s="1">
        <v>44212</v>
      </c>
      <c r="G917">
        <v>0</v>
      </c>
      <c r="H917">
        <v>118.69</v>
      </c>
      <c r="I917">
        <v>1424.28</v>
      </c>
      <c r="J917">
        <v>4000</v>
      </c>
      <c r="K917" t="s">
        <v>27</v>
      </c>
      <c r="L917">
        <v>4000</v>
      </c>
      <c r="M917">
        <v>3.92</v>
      </c>
      <c r="N917" t="s">
        <v>28</v>
      </c>
      <c r="O917">
        <v>47</v>
      </c>
      <c r="P917">
        <v>33</v>
      </c>
      <c r="Q917">
        <v>0</v>
      </c>
      <c r="R917">
        <v>7</v>
      </c>
      <c r="S917" t="s">
        <v>29</v>
      </c>
      <c r="T917" t="s">
        <v>50</v>
      </c>
      <c r="U917" t="s">
        <v>31</v>
      </c>
      <c r="V917" t="s">
        <v>45</v>
      </c>
      <c r="W917">
        <v>0</v>
      </c>
      <c r="X917">
        <v>0</v>
      </c>
      <c r="Y917" s="2">
        <f>Table1[[#This Row],[premium_yearly]]*Table1[[#This Row],[tenure_years]]</f>
        <v>5583.1776</v>
      </c>
      <c r="Z917" s="2">
        <f>Table1[[#This Row],[total_collected_premiums]]*(1-$AD$2)</f>
        <v>4075.7196479999998</v>
      </c>
      <c r="AA917" s="2">
        <f>Table1[[#This Row],[retained_premium]]-Table1[[#This Row],[claim_amount_paid]]</f>
        <v>75.719647999999779</v>
      </c>
    </row>
    <row r="918" spans="1:27" x14ac:dyDescent="0.35">
      <c r="A918" t="s">
        <v>2793</v>
      </c>
      <c r="B918" t="s">
        <v>2794</v>
      </c>
      <c r="C918" t="s">
        <v>2795</v>
      </c>
      <c r="D918" s="1">
        <v>41362</v>
      </c>
      <c r="E918" s="1">
        <v>44194</v>
      </c>
      <c r="F918" s="1">
        <v>44199</v>
      </c>
      <c r="G918">
        <v>5</v>
      </c>
      <c r="H918">
        <v>73.06</v>
      </c>
      <c r="I918">
        <v>876.72</v>
      </c>
      <c r="J918">
        <v>1000</v>
      </c>
      <c r="K918" t="s">
        <v>27</v>
      </c>
      <c r="L918">
        <v>1000</v>
      </c>
      <c r="M918">
        <v>8.67</v>
      </c>
      <c r="N918" t="s">
        <v>28</v>
      </c>
      <c r="O918">
        <v>104</v>
      </c>
      <c r="P918">
        <v>51</v>
      </c>
      <c r="Q918">
        <v>1</v>
      </c>
      <c r="R918">
        <v>6</v>
      </c>
      <c r="S918" t="s">
        <v>65</v>
      </c>
      <c r="T918" t="s">
        <v>30</v>
      </c>
      <c r="U918" t="s">
        <v>38</v>
      </c>
      <c r="V918" t="s">
        <v>39</v>
      </c>
      <c r="W918">
        <v>0</v>
      </c>
      <c r="X918">
        <v>1</v>
      </c>
      <c r="Y918" s="2">
        <f>Table1[[#This Row],[premium_yearly]]*Table1[[#This Row],[tenure_years]]</f>
        <v>7601.1624000000002</v>
      </c>
      <c r="Z918" s="2">
        <f>Table1[[#This Row],[total_collected_premiums]]*(1-$AD$2)</f>
        <v>5548.8485520000004</v>
      </c>
      <c r="AA918" s="2">
        <f>Table1[[#This Row],[retained_premium]]-Table1[[#This Row],[claim_amount_paid]]</f>
        <v>4548.8485520000004</v>
      </c>
    </row>
    <row r="919" spans="1:27" x14ac:dyDescent="0.35">
      <c r="A919" t="s">
        <v>2796</v>
      </c>
      <c r="B919" t="s">
        <v>2797</v>
      </c>
      <c r="C919" t="s">
        <v>2798</v>
      </c>
      <c r="D919" s="1">
        <v>42470</v>
      </c>
      <c r="E919" s="1">
        <v>44209</v>
      </c>
      <c r="F919" s="1">
        <v>44210</v>
      </c>
      <c r="G919">
        <v>1</v>
      </c>
      <c r="H919">
        <v>102.35</v>
      </c>
      <c r="I919">
        <v>1228.2</v>
      </c>
      <c r="J919">
        <v>8000</v>
      </c>
      <c r="K919" t="s">
        <v>27</v>
      </c>
      <c r="L919">
        <v>8000</v>
      </c>
      <c r="M919">
        <v>3.17</v>
      </c>
      <c r="N919" t="s">
        <v>49</v>
      </c>
      <c r="O919">
        <v>38</v>
      </c>
      <c r="P919">
        <v>45</v>
      </c>
      <c r="Q919">
        <v>1</v>
      </c>
      <c r="R919">
        <v>7</v>
      </c>
      <c r="S919" t="s">
        <v>29</v>
      </c>
      <c r="T919" t="s">
        <v>30</v>
      </c>
      <c r="U919" t="s">
        <v>31</v>
      </c>
      <c r="V919" t="s">
        <v>39</v>
      </c>
      <c r="W919">
        <v>0</v>
      </c>
      <c r="X919">
        <v>1</v>
      </c>
      <c r="Y919" s="2">
        <f>Table1[[#This Row],[premium_yearly]]*Table1[[#This Row],[tenure_years]]</f>
        <v>3893.3940000000002</v>
      </c>
      <c r="Z919" s="2">
        <f>Table1[[#This Row],[total_collected_premiums]]*(1-$AD$2)</f>
        <v>2842.1776199999999</v>
      </c>
      <c r="AA919" s="2">
        <f>Table1[[#This Row],[retained_premium]]-Table1[[#This Row],[claim_amount_paid]]</f>
        <v>-5157.8223799999996</v>
      </c>
    </row>
    <row r="920" spans="1:27" x14ac:dyDescent="0.35">
      <c r="A920" t="s">
        <v>2799</v>
      </c>
      <c r="B920" t="s">
        <v>2800</v>
      </c>
      <c r="C920" t="s">
        <v>2801</v>
      </c>
      <c r="D920" s="1">
        <v>41260</v>
      </c>
      <c r="E920" s="1">
        <v>44204</v>
      </c>
      <c r="F920" s="1">
        <v>44209</v>
      </c>
      <c r="G920">
        <v>5</v>
      </c>
      <c r="H920">
        <v>115.19</v>
      </c>
      <c r="I920">
        <v>1382.28</v>
      </c>
      <c r="J920">
        <v>10000</v>
      </c>
      <c r="K920" t="s">
        <v>27</v>
      </c>
      <c r="L920">
        <v>10000</v>
      </c>
      <c r="M920">
        <v>7.83</v>
      </c>
      <c r="N920" t="s">
        <v>36</v>
      </c>
      <c r="O920">
        <v>94</v>
      </c>
      <c r="P920">
        <v>45</v>
      </c>
      <c r="Q920">
        <v>1</v>
      </c>
      <c r="R920">
        <v>2</v>
      </c>
      <c r="S920" t="s">
        <v>37</v>
      </c>
      <c r="T920" t="s">
        <v>30</v>
      </c>
      <c r="U920" t="s">
        <v>66</v>
      </c>
      <c r="V920" t="s">
        <v>32</v>
      </c>
      <c r="W920">
        <v>1</v>
      </c>
      <c r="X920">
        <v>1</v>
      </c>
      <c r="Y920" s="2">
        <f>Table1[[#This Row],[premium_yearly]]*Table1[[#This Row],[tenure_years]]</f>
        <v>10823.252399999999</v>
      </c>
      <c r="Z920" s="2">
        <f>Table1[[#This Row],[total_collected_premiums]]*(1-$AD$2)</f>
        <v>7900.9742519999991</v>
      </c>
      <c r="AA920" s="2">
        <f>Table1[[#This Row],[retained_premium]]-Table1[[#This Row],[claim_amount_paid]]</f>
        <v>-2099.0257480000009</v>
      </c>
    </row>
    <row r="921" spans="1:27" x14ac:dyDescent="0.35">
      <c r="A921" t="s">
        <v>2802</v>
      </c>
      <c r="B921" t="s">
        <v>2803</v>
      </c>
      <c r="C921" t="s">
        <v>2804</v>
      </c>
      <c r="D921" s="1">
        <v>40546</v>
      </c>
      <c r="E921" s="1">
        <v>44207</v>
      </c>
      <c r="F921" s="1">
        <v>44210</v>
      </c>
      <c r="G921">
        <v>3</v>
      </c>
      <c r="H921">
        <v>99.45</v>
      </c>
      <c r="I921">
        <v>1193.4000000000001</v>
      </c>
      <c r="J921">
        <v>6000</v>
      </c>
      <c r="K921" t="s">
        <v>27</v>
      </c>
      <c r="L921">
        <v>6000</v>
      </c>
      <c r="M921">
        <v>2.08</v>
      </c>
      <c r="N921" t="s">
        <v>49</v>
      </c>
      <c r="O921">
        <v>25</v>
      </c>
      <c r="P921">
        <v>43</v>
      </c>
      <c r="Q921">
        <v>1</v>
      </c>
      <c r="R921">
        <v>5</v>
      </c>
      <c r="S921" t="s">
        <v>65</v>
      </c>
      <c r="T921" t="s">
        <v>50</v>
      </c>
      <c r="U921" t="s">
        <v>66</v>
      </c>
      <c r="V921" t="s">
        <v>32</v>
      </c>
      <c r="W921">
        <v>1</v>
      </c>
      <c r="X921">
        <v>1</v>
      </c>
      <c r="Y921" s="2">
        <f>Table1[[#This Row],[premium_yearly]]*Table1[[#This Row],[tenure_years]]</f>
        <v>2482.2720000000004</v>
      </c>
      <c r="Z921" s="2">
        <f>Table1[[#This Row],[total_collected_premiums]]*(1-$AD$2)</f>
        <v>1812.0585600000002</v>
      </c>
      <c r="AA921" s="2">
        <f>Table1[[#This Row],[retained_premium]]-Table1[[#This Row],[claim_amount_paid]]</f>
        <v>-4187.9414399999996</v>
      </c>
    </row>
    <row r="922" spans="1:27" x14ac:dyDescent="0.35">
      <c r="A922" t="s">
        <v>2805</v>
      </c>
      <c r="B922" t="s">
        <v>2806</v>
      </c>
      <c r="C922" t="s">
        <v>2807</v>
      </c>
      <c r="D922" s="1">
        <v>43575</v>
      </c>
      <c r="E922" s="1">
        <v>44199</v>
      </c>
      <c r="F922" s="1">
        <v>44204</v>
      </c>
      <c r="G922">
        <v>5</v>
      </c>
      <c r="H922">
        <v>112.81</v>
      </c>
      <c r="I922">
        <v>1353.72</v>
      </c>
      <c r="J922">
        <v>10000</v>
      </c>
      <c r="K922" t="s">
        <v>43</v>
      </c>
      <c r="L922">
        <v>0</v>
      </c>
      <c r="M922">
        <v>5.17</v>
      </c>
      <c r="N922" t="s">
        <v>36</v>
      </c>
      <c r="O922">
        <v>62</v>
      </c>
      <c r="P922">
        <v>26</v>
      </c>
      <c r="Q922">
        <v>0</v>
      </c>
      <c r="R922">
        <v>6</v>
      </c>
      <c r="S922" t="s">
        <v>37</v>
      </c>
      <c r="T922" t="s">
        <v>50</v>
      </c>
      <c r="U922" t="s">
        <v>38</v>
      </c>
      <c r="V922" t="s">
        <v>32</v>
      </c>
      <c r="W922">
        <v>0</v>
      </c>
      <c r="X922">
        <v>1</v>
      </c>
      <c r="Y922" s="2">
        <f>Table1[[#This Row],[premium_yearly]]*Table1[[#This Row],[tenure_years]]</f>
        <v>6998.7323999999999</v>
      </c>
      <c r="Z922" s="2">
        <f>Table1[[#This Row],[total_collected_premiums]]*(1-$AD$2)</f>
        <v>5109.0746519999993</v>
      </c>
      <c r="AA922" s="2">
        <f>Table1[[#This Row],[retained_premium]]-Table1[[#This Row],[claim_amount_paid]]</f>
        <v>5109.0746519999993</v>
      </c>
    </row>
    <row r="923" spans="1:27" x14ac:dyDescent="0.35">
      <c r="A923" t="s">
        <v>2808</v>
      </c>
      <c r="B923" t="s">
        <v>2809</v>
      </c>
      <c r="C923" t="s">
        <v>2810</v>
      </c>
      <c r="D923" s="1">
        <v>42547</v>
      </c>
      <c r="E923" s="1">
        <v>44195</v>
      </c>
      <c r="F923" s="1">
        <v>44200</v>
      </c>
      <c r="G923">
        <v>5</v>
      </c>
      <c r="H923">
        <v>133.69</v>
      </c>
      <c r="I923">
        <v>1604.28</v>
      </c>
      <c r="J923">
        <v>5000</v>
      </c>
      <c r="K923" t="s">
        <v>27</v>
      </c>
      <c r="L923">
        <v>5000</v>
      </c>
      <c r="M923">
        <v>9</v>
      </c>
      <c r="N923" t="s">
        <v>49</v>
      </c>
      <c r="O923">
        <v>108</v>
      </c>
      <c r="P923">
        <v>35</v>
      </c>
      <c r="Q923">
        <v>1</v>
      </c>
      <c r="R923">
        <v>3</v>
      </c>
      <c r="S923" t="s">
        <v>29</v>
      </c>
      <c r="T923" t="s">
        <v>50</v>
      </c>
      <c r="U923" t="s">
        <v>38</v>
      </c>
      <c r="V923" t="s">
        <v>39</v>
      </c>
      <c r="W923">
        <v>1</v>
      </c>
      <c r="X923">
        <v>0</v>
      </c>
      <c r="Y923" s="2">
        <f>Table1[[#This Row],[premium_yearly]]*Table1[[#This Row],[tenure_years]]</f>
        <v>14438.52</v>
      </c>
      <c r="Z923" s="2">
        <f>Table1[[#This Row],[total_collected_premiums]]*(1-$AD$2)</f>
        <v>10540.1196</v>
      </c>
      <c r="AA923" s="2">
        <f>Table1[[#This Row],[retained_premium]]-Table1[[#This Row],[claim_amount_paid]]</f>
        <v>5540.1196</v>
      </c>
    </row>
    <row r="924" spans="1:27" x14ac:dyDescent="0.35">
      <c r="A924" t="s">
        <v>2811</v>
      </c>
      <c r="B924" t="s">
        <v>2812</v>
      </c>
      <c r="C924" t="s">
        <v>2813</v>
      </c>
      <c r="D924" s="1">
        <v>41320</v>
      </c>
      <c r="E924" s="1">
        <v>44213</v>
      </c>
      <c r="F924" s="1">
        <v>44213</v>
      </c>
      <c r="G924">
        <v>0</v>
      </c>
      <c r="H924">
        <v>116.3</v>
      </c>
      <c r="I924">
        <v>1395.6</v>
      </c>
      <c r="J924">
        <v>4000</v>
      </c>
      <c r="K924" t="s">
        <v>27</v>
      </c>
      <c r="L924">
        <v>4000</v>
      </c>
      <c r="M924">
        <v>2.5</v>
      </c>
      <c r="N924" t="s">
        <v>36</v>
      </c>
      <c r="O924">
        <v>30</v>
      </c>
      <c r="P924">
        <v>41</v>
      </c>
      <c r="Q924">
        <v>1</v>
      </c>
      <c r="R924">
        <v>6</v>
      </c>
      <c r="S924" t="s">
        <v>29</v>
      </c>
      <c r="T924" t="s">
        <v>30</v>
      </c>
      <c r="U924" t="s">
        <v>38</v>
      </c>
      <c r="V924" t="s">
        <v>39</v>
      </c>
      <c r="W924">
        <v>0</v>
      </c>
      <c r="X924">
        <v>1</v>
      </c>
      <c r="Y924" s="2">
        <f>Table1[[#This Row],[premium_yearly]]*Table1[[#This Row],[tenure_years]]</f>
        <v>3489</v>
      </c>
      <c r="Z924" s="2">
        <f>Table1[[#This Row],[total_collected_premiums]]*(1-$AD$2)</f>
        <v>2546.9699999999998</v>
      </c>
      <c r="AA924" s="2">
        <f>Table1[[#This Row],[retained_premium]]-Table1[[#This Row],[claim_amount_paid]]</f>
        <v>-1453.0300000000002</v>
      </c>
    </row>
    <row r="925" spans="1:27" x14ac:dyDescent="0.35">
      <c r="A925" t="s">
        <v>2814</v>
      </c>
      <c r="B925" t="s">
        <v>2815</v>
      </c>
      <c r="C925" t="s">
        <v>2816</v>
      </c>
      <c r="D925" s="1">
        <v>43502</v>
      </c>
      <c r="E925" s="1">
        <v>44213</v>
      </c>
      <c r="F925" s="1">
        <v>44213</v>
      </c>
      <c r="G925">
        <v>0</v>
      </c>
      <c r="H925">
        <v>112.84</v>
      </c>
      <c r="I925">
        <v>1354.08</v>
      </c>
      <c r="J925">
        <v>6000</v>
      </c>
      <c r="K925" t="s">
        <v>27</v>
      </c>
      <c r="L925">
        <v>6000</v>
      </c>
      <c r="M925">
        <v>5.5</v>
      </c>
      <c r="N925" t="s">
        <v>36</v>
      </c>
      <c r="O925">
        <v>66</v>
      </c>
      <c r="P925">
        <v>40</v>
      </c>
      <c r="Q925">
        <v>1</v>
      </c>
      <c r="R925">
        <v>6</v>
      </c>
      <c r="S925" t="s">
        <v>65</v>
      </c>
      <c r="T925" t="s">
        <v>30</v>
      </c>
      <c r="U925" t="s">
        <v>107</v>
      </c>
      <c r="V925" t="s">
        <v>32</v>
      </c>
      <c r="W925">
        <v>1</v>
      </c>
      <c r="X925">
        <v>1</v>
      </c>
      <c r="Y925" s="2">
        <f>Table1[[#This Row],[premium_yearly]]*Table1[[#This Row],[tenure_years]]</f>
        <v>7447.44</v>
      </c>
      <c r="Z925" s="2">
        <f>Table1[[#This Row],[total_collected_premiums]]*(1-$AD$2)</f>
        <v>5436.6311999999998</v>
      </c>
      <c r="AA925" s="2">
        <f>Table1[[#This Row],[retained_premium]]-Table1[[#This Row],[claim_amount_paid]]</f>
        <v>-563.36880000000019</v>
      </c>
    </row>
    <row r="926" spans="1:27" x14ac:dyDescent="0.35">
      <c r="A926" t="s">
        <v>2817</v>
      </c>
      <c r="B926" t="s">
        <v>2818</v>
      </c>
      <c r="C926" t="s">
        <v>2819</v>
      </c>
      <c r="D926" s="1">
        <v>42976</v>
      </c>
      <c r="E926" s="1">
        <v>44208</v>
      </c>
      <c r="F926" s="1">
        <v>44210</v>
      </c>
      <c r="G926">
        <v>2</v>
      </c>
      <c r="H926">
        <v>81.86</v>
      </c>
      <c r="I926">
        <v>982.32</v>
      </c>
      <c r="J926">
        <v>1000</v>
      </c>
      <c r="K926" t="s">
        <v>27</v>
      </c>
      <c r="L926">
        <v>1000</v>
      </c>
      <c r="M926">
        <v>6.5</v>
      </c>
      <c r="N926" t="s">
        <v>28</v>
      </c>
      <c r="O926">
        <v>78</v>
      </c>
      <c r="P926">
        <v>55</v>
      </c>
      <c r="Q926">
        <v>1</v>
      </c>
      <c r="R926">
        <v>3</v>
      </c>
      <c r="S926" t="s">
        <v>65</v>
      </c>
      <c r="T926" t="s">
        <v>30</v>
      </c>
      <c r="U926" t="s">
        <v>66</v>
      </c>
      <c r="V926" t="s">
        <v>45</v>
      </c>
      <c r="W926">
        <v>1</v>
      </c>
      <c r="X926">
        <v>1</v>
      </c>
      <c r="Y926" s="2">
        <f>Table1[[#This Row],[premium_yearly]]*Table1[[#This Row],[tenure_years]]</f>
        <v>6385.08</v>
      </c>
      <c r="Z926" s="2">
        <f>Table1[[#This Row],[total_collected_premiums]]*(1-$AD$2)</f>
        <v>4661.1084000000001</v>
      </c>
      <c r="AA926" s="2">
        <f>Table1[[#This Row],[retained_premium]]-Table1[[#This Row],[claim_amount_paid]]</f>
        <v>3661.1084000000001</v>
      </c>
    </row>
    <row r="927" spans="1:27" x14ac:dyDescent="0.35">
      <c r="A927" t="s">
        <v>2820</v>
      </c>
      <c r="B927" t="s">
        <v>2821</v>
      </c>
      <c r="C927" t="s">
        <v>2822</v>
      </c>
      <c r="D927" s="1">
        <v>43837</v>
      </c>
      <c r="E927" s="1">
        <v>44214</v>
      </c>
      <c r="F927" s="1">
        <v>44214</v>
      </c>
      <c r="G927">
        <v>0</v>
      </c>
      <c r="H927">
        <v>92.95</v>
      </c>
      <c r="I927">
        <v>1115.4000000000001</v>
      </c>
      <c r="J927">
        <v>2000</v>
      </c>
      <c r="K927" t="s">
        <v>27</v>
      </c>
      <c r="L927">
        <v>2000</v>
      </c>
      <c r="M927">
        <v>9.33</v>
      </c>
      <c r="N927" t="s">
        <v>49</v>
      </c>
      <c r="O927">
        <v>112</v>
      </c>
      <c r="P927">
        <v>35</v>
      </c>
      <c r="Q927">
        <v>0</v>
      </c>
      <c r="R927">
        <v>3</v>
      </c>
      <c r="S927" t="s">
        <v>29</v>
      </c>
      <c r="T927" t="s">
        <v>30</v>
      </c>
      <c r="U927" t="s">
        <v>38</v>
      </c>
      <c r="V927" t="s">
        <v>32</v>
      </c>
      <c r="W927">
        <v>0</v>
      </c>
      <c r="X927">
        <v>1</v>
      </c>
      <c r="Y927" s="2">
        <f>Table1[[#This Row],[premium_yearly]]*Table1[[#This Row],[tenure_years]]</f>
        <v>10406.682000000001</v>
      </c>
      <c r="Z927" s="2">
        <f>Table1[[#This Row],[total_collected_premiums]]*(1-$AD$2)</f>
        <v>7596.8778600000005</v>
      </c>
      <c r="AA927" s="2">
        <f>Table1[[#This Row],[retained_premium]]-Table1[[#This Row],[claim_amount_paid]]</f>
        <v>5596.8778600000005</v>
      </c>
    </row>
    <row r="928" spans="1:27" x14ac:dyDescent="0.35">
      <c r="A928" t="s">
        <v>2823</v>
      </c>
      <c r="B928" t="s">
        <v>2824</v>
      </c>
      <c r="C928" t="s">
        <v>2825</v>
      </c>
      <c r="D928" s="1">
        <v>43086</v>
      </c>
      <c r="E928" s="1">
        <v>44199</v>
      </c>
      <c r="F928" s="1">
        <v>44204</v>
      </c>
      <c r="G928">
        <v>5</v>
      </c>
      <c r="H928">
        <v>81.209999999999994</v>
      </c>
      <c r="I928">
        <v>974.52</v>
      </c>
      <c r="J928">
        <v>1000</v>
      </c>
      <c r="K928" t="s">
        <v>27</v>
      </c>
      <c r="L928">
        <v>1000</v>
      </c>
      <c r="M928">
        <v>5.83</v>
      </c>
      <c r="N928" t="s">
        <v>28</v>
      </c>
      <c r="O928">
        <v>70</v>
      </c>
      <c r="P928">
        <v>64</v>
      </c>
      <c r="Q928">
        <v>1</v>
      </c>
      <c r="R928">
        <v>6</v>
      </c>
      <c r="S928" t="s">
        <v>37</v>
      </c>
      <c r="T928" t="s">
        <v>30</v>
      </c>
      <c r="U928" t="s">
        <v>38</v>
      </c>
      <c r="V928" t="s">
        <v>39</v>
      </c>
      <c r="W928">
        <v>1</v>
      </c>
      <c r="X928">
        <v>0</v>
      </c>
      <c r="Y928" s="2">
        <f>Table1[[#This Row],[premium_yearly]]*Table1[[#This Row],[tenure_years]]</f>
        <v>5681.4516000000003</v>
      </c>
      <c r="Z928" s="2">
        <f>Table1[[#This Row],[total_collected_premiums]]*(1-$AD$2)</f>
        <v>4147.4596680000004</v>
      </c>
      <c r="AA928" s="2">
        <f>Table1[[#This Row],[retained_premium]]-Table1[[#This Row],[claim_amount_paid]]</f>
        <v>3147.4596680000004</v>
      </c>
    </row>
    <row r="929" spans="1:27" x14ac:dyDescent="0.35">
      <c r="A929" t="s">
        <v>2826</v>
      </c>
      <c r="B929" t="s">
        <v>2827</v>
      </c>
      <c r="C929" t="s">
        <v>2828</v>
      </c>
      <c r="D929" s="1">
        <v>41176</v>
      </c>
      <c r="E929" s="1">
        <v>44206</v>
      </c>
      <c r="F929" s="1">
        <v>44209</v>
      </c>
      <c r="G929">
        <v>3</v>
      </c>
      <c r="H929">
        <v>131.41999999999999</v>
      </c>
      <c r="I929">
        <v>1577.04</v>
      </c>
      <c r="J929">
        <v>1000</v>
      </c>
      <c r="K929" t="s">
        <v>27</v>
      </c>
      <c r="L929">
        <v>1000</v>
      </c>
      <c r="M929">
        <v>1.33</v>
      </c>
      <c r="N929" t="s">
        <v>28</v>
      </c>
      <c r="O929">
        <v>16</v>
      </c>
      <c r="P929">
        <v>44</v>
      </c>
      <c r="Q929">
        <v>1</v>
      </c>
      <c r="R929">
        <v>6</v>
      </c>
      <c r="S929" t="s">
        <v>29</v>
      </c>
      <c r="T929" t="s">
        <v>30</v>
      </c>
      <c r="U929" t="s">
        <v>51</v>
      </c>
      <c r="V929" t="s">
        <v>45</v>
      </c>
      <c r="W929">
        <v>1</v>
      </c>
      <c r="X929">
        <v>0</v>
      </c>
      <c r="Y929" s="2">
        <f>Table1[[#This Row],[premium_yearly]]*Table1[[#This Row],[tenure_years]]</f>
        <v>2097.4632000000001</v>
      </c>
      <c r="Z929" s="2">
        <f>Table1[[#This Row],[total_collected_premiums]]*(1-$AD$2)</f>
        <v>1531.148136</v>
      </c>
      <c r="AA929" s="2">
        <f>Table1[[#This Row],[retained_premium]]-Table1[[#This Row],[claim_amount_paid]]</f>
        <v>531.14813600000002</v>
      </c>
    </row>
    <row r="930" spans="1:27" x14ac:dyDescent="0.35">
      <c r="A930" t="s">
        <v>2829</v>
      </c>
      <c r="B930" t="s">
        <v>2830</v>
      </c>
      <c r="C930" t="s">
        <v>2831</v>
      </c>
      <c r="D930" s="1">
        <v>42031</v>
      </c>
      <c r="E930" s="1">
        <v>44215</v>
      </c>
      <c r="F930" s="1">
        <v>44215</v>
      </c>
      <c r="G930">
        <v>0</v>
      </c>
      <c r="H930">
        <v>113.73</v>
      </c>
      <c r="I930">
        <v>1364.76</v>
      </c>
      <c r="J930">
        <v>5000</v>
      </c>
      <c r="K930" t="s">
        <v>27</v>
      </c>
      <c r="L930">
        <v>5000</v>
      </c>
      <c r="M930">
        <v>7.33</v>
      </c>
      <c r="N930" t="s">
        <v>28</v>
      </c>
      <c r="O930">
        <v>88</v>
      </c>
      <c r="P930">
        <v>50</v>
      </c>
      <c r="Q930">
        <v>1</v>
      </c>
      <c r="R930">
        <v>5</v>
      </c>
      <c r="S930" t="s">
        <v>65</v>
      </c>
      <c r="T930" t="s">
        <v>30</v>
      </c>
      <c r="U930" t="s">
        <v>88</v>
      </c>
      <c r="V930" t="s">
        <v>32</v>
      </c>
      <c r="W930">
        <v>1</v>
      </c>
      <c r="X930">
        <v>1</v>
      </c>
      <c r="Y930" s="2">
        <f>Table1[[#This Row],[premium_yearly]]*Table1[[#This Row],[tenure_years]]</f>
        <v>10003.6908</v>
      </c>
      <c r="Z930" s="2">
        <f>Table1[[#This Row],[total_collected_premiums]]*(1-$AD$2)</f>
        <v>7302.6942840000002</v>
      </c>
      <c r="AA930" s="2">
        <f>Table1[[#This Row],[retained_premium]]-Table1[[#This Row],[claim_amount_paid]]</f>
        <v>2302.6942840000002</v>
      </c>
    </row>
    <row r="931" spans="1:27" x14ac:dyDescent="0.35">
      <c r="A931" t="s">
        <v>2832</v>
      </c>
      <c r="B931" t="s">
        <v>2833</v>
      </c>
      <c r="C931" t="s">
        <v>2834</v>
      </c>
      <c r="D931" s="1">
        <v>40699</v>
      </c>
      <c r="E931" s="1">
        <v>44205</v>
      </c>
      <c r="F931" s="1">
        <v>44210</v>
      </c>
      <c r="G931">
        <v>5</v>
      </c>
      <c r="H931">
        <v>122.66</v>
      </c>
      <c r="I931">
        <v>1471.92</v>
      </c>
      <c r="J931">
        <v>9000</v>
      </c>
      <c r="K931" t="s">
        <v>27</v>
      </c>
      <c r="L931">
        <v>9000</v>
      </c>
      <c r="M931">
        <v>6.83</v>
      </c>
      <c r="N931" t="s">
        <v>28</v>
      </c>
      <c r="O931">
        <v>82</v>
      </c>
      <c r="P931">
        <v>35</v>
      </c>
      <c r="Q931">
        <v>1</v>
      </c>
      <c r="R931">
        <v>6</v>
      </c>
      <c r="S931" t="s">
        <v>29</v>
      </c>
      <c r="T931" t="s">
        <v>44</v>
      </c>
      <c r="U931" t="s">
        <v>38</v>
      </c>
      <c r="V931" t="s">
        <v>32</v>
      </c>
      <c r="W931">
        <v>0</v>
      </c>
      <c r="X931">
        <v>1</v>
      </c>
      <c r="Y931" s="2">
        <f>Table1[[#This Row],[premium_yearly]]*Table1[[#This Row],[tenure_years]]</f>
        <v>10053.213600000001</v>
      </c>
      <c r="Z931" s="2">
        <f>Table1[[#This Row],[total_collected_premiums]]*(1-$AD$2)</f>
        <v>7338.8459280000006</v>
      </c>
      <c r="AA931" s="2">
        <f>Table1[[#This Row],[retained_premium]]-Table1[[#This Row],[claim_amount_paid]]</f>
        <v>-1661.1540719999994</v>
      </c>
    </row>
    <row r="932" spans="1:27" x14ac:dyDescent="0.35">
      <c r="A932" t="s">
        <v>2835</v>
      </c>
      <c r="B932" t="s">
        <v>2836</v>
      </c>
      <c r="C932" t="s">
        <v>2837</v>
      </c>
      <c r="D932" s="1">
        <v>41195</v>
      </c>
      <c r="E932" s="1">
        <v>44199</v>
      </c>
      <c r="F932" s="1">
        <v>44204</v>
      </c>
      <c r="G932">
        <v>5</v>
      </c>
      <c r="H932">
        <v>118.68</v>
      </c>
      <c r="I932">
        <v>1424.16</v>
      </c>
      <c r="J932">
        <v>7000</v>
      </c>
      <c r="K932" t="s">
        <v>27</v>
      </c>
      <c r="L932">
        <v>7000</v>
      </c>
      <c r="M932">
        <v>0.75</v>
      </c>
      <c r="N932" t="s">
        <v>36</v>
      </c>
      <c r="O932">
        <v>9</v>
      </c>
      <c r="P932">
        <v>26</v>
      </c>
      <c r="Q932">
        <v>1</v>
      </c>
      <c r="R932">
        <v>2</v>
      </c>
      <c r="S932" t="s">
        <v>65</v>
      </c>
      <c r="T932" t="s">
        <v>30</v>
      </c>
      <c r="U932" t="s">
        <v>38</v>
      </c>
      <c r="V932" t="s">
        <v>45</v>
      </c>
      <c r="W932">
        <v>0</v>
      </c>
      <c r="X932">
        <v>1</v>
      </c>
      <c r="Y932" s="2">
        <f>Table1[[#This Row],[premium_yearly]]*Table1[[#This Row],[tenure_years]]</f>
        <v>1068.1200000000001</v>
      </c>
      <c r="Z932" s="2">
        <f>Table1[[#This Row],[total_collected_premiums]]*(1-$AD$2)</f>
        <v>779.72760000000005</v>
      </c>
      <c r="AA932" s="2">
        <f>Table1[[#This Row],[retained_premium]]-Table1[[#This Row],[claim_amount_paid]]</f>
        <v>-6220.2723999999998</v>
      </c>
    </row>
    <row r="933" spans="1:27" x14ac:dyDescent="0.35">
      <c r="A933" t="s">
        <v>2838</v>
      </c>
      <c r="B933" t="s">
        <v>2839</v>
      </c>
      <c r="C933" t="s">
        <v>2840</v>
      </c>
      <c r="D933" s="1">
        <v>43453</v>
      </c>
      <c r="E933" s="1">
        <v>44214</v>
      </c>
      <c r="F933" s="1">
        <v>44214</v>
      </c>
      <c r="G933">
        <v>0</v>
      </c>
      <c r="H933">
        <v>77.680000000000007</v>
      </c>
      <c r="I933">
        <v>932.16</v>
      </c>
      <c r="J933">
        <v>6000</v>
      </c>
      <c r="K933" t="s">
        <v>27</v>
      </c>
      <c r="L933">
        <v>6000</v>
      </c>
      <c r="M933">
        <v>2.5</v>
      </c>
      <c r="N933" t="s">
        <v>36</v>
      </c>
      <c r="O933">
        <v>30</v>
      </c>
      <c r="P933">
        <v>35</v>
      </c>
      <c r="Q933">
        <v>1</v>
      </c>
      <c r="R933">
        <v>5</v>
      </c>
      <c r="S933" t="s">
        <v>65</v>
      </c>
      <c r="T933" t="s">
        <v>44</v>
      </c>
      <c r="U933" t="s">
        <v>31</v>
      </c>
      <c r="V933" t="s">
        <v>32</v>
      </c>
      <c r="W933">
        <v>1</v>
      </c>
      <c r="X933">
        <v>0</v>
      </c>
      <c r="Y933" s="2">
        <f>Table1[[#This Row],[premium_yearly]]*Table1[[#This Row],[tenure_years]]</f>
        <v>2330.4</v>
      </c>
      <c r="Z933" s="2">
        <f>Table1[[#This Row],[total_collected_premiums]]*(1-$AD$2)</f>
        <v>1701.192</v>
      </c>
      <c r="AA933" s="2">
        <f>Table1[[#This Row],[retained_premium]]-Table1[[#This Row],[claim_amount_paid]]</f>
        <v>-4298.808</v>
      </c>
    </row>
    <row r="934" spans="1:27" x14ac:dyDescent="0.35">
      <c r="A934" t="s">
        <v>2841</v>
      </c>
      <c r="B934" t="s">
        <v>2842</v>
      </c>
      <c r="C934" t="s">
        <v>2843</v>
      </c>
      <c r="D934" s="1">
        <v>43622</v>
      </c>
      <c r="E934" s="1">
        <v>44199</v>
      </c>
      <c r="F934" s="1">
        <v>44204</v>
      </c>
      <c r="G934">
        <v>5</v>
      </c>
      <c r="H934">
        <v>95.47</v>
      </c>
      <c r="I934">
        <v>1145.6400000000001</v>
      </c>
      <c r="J934">
        <v>1000</v>
      </c>
      <c r="K934" t="s">
        <v>27</v>
      </c>
      <c r="L934">
        <v>1000</v>
      </c>
      <c r="M934">
        <v>5.17</v>
      </c>
      <c r="N934" t="s">
        <v>28</v>
      </c>
      <c r="O934">
        <v>62</v>
      </c>
      <c r="P934">
        <v>63</v>
      </c>
      <c r="Q934">
        <v>1</v>
      </c>
      <c r="R934">
        <v>7</v>
      </c>
      <c r="S934" t="s">
        <v>65</v>
      </c>
      <c r="T934" t="s">
        <v>50</v>
      </c>
      <c r="U934" t="s">
        <v>38</v>
      </c>
      <c r="V934" t="s">
        <v>45</v>
      </c>
      <c r="W934">
        <v>1</v>
      </c>
      <c r="X934">
        <v>1</v>
      </c>
      <c r="Y934" s="2">
        <f>Table1[[#This Row],[premium_yearly]]*Table1[[#This Row],[tenure_years]]</f>
        <v>5922.9588000000003</v>
      </c>
      <c r="Z934" s="2">
        <f>Table1[[#This Row],[total_collected_premiums]]*(1-$AD$2)</f>
        <v>4323.759924</v>
      </c>
      <c r="AA934" s="2">
        <f>Table1[[#This Row],[retained_premium]]-Table1[[#This Row],[claim_amount_paid]]</f>
        <v>3323.759924</v>
      </c>
    </row>
    <row r="935" spans="1:27" x14ac:dyDescent="0.35">
      <c r="A935" t="s">
        <v>2844</v>
      </c>
      <c r="B935" t="s">
        <v>2845</v>
      </c>
      <c r="C935" t="s">
        <v>2846</v>
      </c>
      <c r="D935" s="1">
        <v>41481</v>
      </c>
      <c r="E935" s="1">
        <v>44217</v>
      </c>
      <c r="F935" s="1">
        <v>44217</v>
      </c>
      <c r="G935">
        <v>0</v>
      </c>
      <c r="H935">
        <v>84.63</v>
      </c>
      <c r="I935">
        <v>1015.56</v>
      </c>
      <c r="J935">
        <v>9000</v>
      </c>
      <c r="K935" t="s">
        <v>27</v>
      </c>
      <c r="L935">
        <v>9000</v>
      </c>
      <c r="M935">
        <v>5.5</v>
      </c>
      <c r="N935" t="s">
        <v>49</v>
      </c>
      <c r="O935">
        <v>66</v>
      </c>
      <c r="P935">
        <v>51</v>
      </c>
      <c r="Q935">
        <v>1</v>
      </c>
      <c r="R935">
        <v>7</v>
      </c>
      <c r="S935" t="s">
        <v>29</v>
      </c>
      <c r="T935" t="s">
        <v>44</v>
      </c>
      <c r="U935" t="s">
        <v>38</v>
      </c>
      <c r="V935" t="s">
        <v>45</v>
      </c>
      <c r="W935">
        <v>1</v>
      </c>
      <c r="X935">
        <v>1</v>
      </c>
      <c r="Y935" s="2">
        <f>Table1[[#This Row],[premium_yearly]]*Table1[[#This Row],[tenure_years]]</f>
        <v>5585.58</v>
      </c>
      <c r="Z935" s="2">
        <f>Table1[[#This Row],[total_collected_premiums]]*(1-$AD$2)</f>
        <v>4077.4733999999999</v>
      </c>
      <c r="AA935" s="2">
        <f>Table1[[#This Row],[retained_premium]]-Table1[[#This Row],[claim_amount_paid]]</f>
        <v>-4922.5266000000001</v>
      </c>
    </row>
    <row r="936" spans="1:27" x14ac:dyDescent="0.35">
      <c r="A936" t="s">
        <v>2847</v>
      </c>
      <c r="B936" t="s">
        <v>2848</v>
      </c>
      <c r="C936" t="s">
        <v>2849</v>
      </c>
      <c r="D936" s="1">
        <v>43498</v>
      </c>
      <c r="E936" s="1">
        <v>44201</v>
      </c>
      <c r="F936" s="1">
        <v>44206</v>
      </c>
      <c r="G936">
        <v>5</v>
      </c>
      <c r="H936">
        <v>93.42</v>
      </c>
      <c r="I936">
        <v>1121.04</v>
      </c>
      <c r="J936">
        <v>5000</v>
      </c>
      <c r="K936" t="s">
        <v>27</v>
      </c>
      <c r="L936">
        <v>5000</v>
      </c>
      <c r="M936">
        <v>9.58</v>
      </c>
      <c r="N936" t="s">
        <v>36</v>
      </c>
      <c r="O936">
        <v>115</v>
      </c>
      <c r="P936">
        <v>27</v>
      </c>
      <c r="Q936">
        <v>1</v>
      </c>
      <c r="R936">
        <v>4</v>
      </c>
      <c r="S936" t="s">
        <v>29</v>
      </c>
      <c r="T936" t="s">
        <v>30</v>
      </c>
      <c r="U936" t="s">
        <v>51</v>
      </c>
      <c r="V936" t="s">
        <v>32</v>
      </c>
      <c r="W936">
        <v>1</v>
      </c>
      <c r="X936">
        <v>1</v>
      </c>
      <c r="Y936" s="2">
        <f>Table1[[#This Row],[premium_yearly]]*Table1[[#This Row],[tenure_years]]</f>
        <v>10739.563200000001</v>
      </c>
      <c r="Z936" s="2">
        <f>Table1[[#This Row],[total_collected_premiums]]*(1-$AD$2)</f>
        <v>7839.881136</v>
      </c>
      <c r="AA936" s="2">
        <f>Table1[[#This Row],[retained_premium]]-Table1[[#This Row],[claim_amount_paid]]</f>
        <v>2839.881136</v>
      </c>
    </row>
    <row r="937" spans="1:27" x14ac:dyDescent="0.35">
      <c r="A937" t="s">
        <v>2850</v>
      </c>
      <c r="B937" t="s">
        <v>2851</v>
      </c>
      <c r="C937" t="s">
        <v>2852</v>
      </c>
      <c r="D937" s="1">
        <v>41944</v>
      </c>
      <c r="E937" s="1">
        <v>44200</v>
      </c>
      <c r="F937" s="1">
        <v>44205</v>
      </c>
      <c r="G937">
        <v>5</v>
      </c>
      <c r="H937">
        <v>79.400000000000006</v>
      </c>
      <c r="I937">
        <v>952.8</v>
      </c>
      <c r="J937">
        <v>6000</v>
      </c>
      <c r="K937" t="s">
        <v>27</v>
      </c>
      <c r="L937">
        <v>6000</v>
      </c>
      <c r="M937">
        <v>7.33</v>
      </c>
      <c r="N937" t="s">
        <v>36</v>
      </c>
      <c r="O937">
        <v>88</v>
      </c>
      <c r="P937">
        <v>28</v>
      </c>
      <c r="Q937">
        <v>1</v>
      </c>
      <c r="R937">
        <v>3</v>
      </c>
      <c r="S937" t="s">
        <v>65</v>
      </c>
      <c r="T937" t="s">
        <v>44</v>
      </c>
      <c r="U937" t="s">
        <v>88</v>
      </c>
      <c r="V937" t="s">
        <v>32</v>
      </c>
      <c r="W937">
        <v>1</v>
      </c>
      <c r="X937">
        <v>0</v>
      </c>
      <c r="Y937" s="2">
        <f>Table1[[#This Row],[premium_yearly]]*Table1[[#This Row],[tenure_years]]</f>
        <v>6984.0239999999994</v>
      </c>
      <c r="Z937" s="2">
        <f>Table1[[#This Row],[total_collected_premiums]]*(1-$AD$2)</f>
        <v>5098.3375199999991</v>
      </c>
      <c r="AA937" s="2">
        <f>Table1[[#This Row],[retained_premium]]-Table1[[#This Row],[claim_amount_paid]]</f>
        <v>-901.66248000000087</v>
      </c>
    </row>
    <row r="938" spans="1:27" x14ac:dyDescent="0.35">
      <c r="A938" t="s">
        <v>2853</v>
      </c>
      <c r="B938" t="s">
        <v>2854</v>
      </c>
      <c r="C938" t="s">
        <v>2855</v>
      </c>
      <c r="D938" s="1">
        <v>40699</v>
      </c>
      <c r="E938" s="1">
        <v>44202</v>
      </c>
      <c r="F938" s="1">
        <v>44207</v>
      </c>
      <c r="G938">
        <v>5</v>
      </c>
      <c r="H938">
        <v>110.3</v>
      </c>
      <c r="I938">
        <v>1323.6</v>
      </c>
      <c r="J938">
        <v>9000</v>
      </c>
      <c r="K938" t="s">
        <v>27</v>
      </c>
      <c r="L938">
        <v>9000</v>
      </c>
      <c r="M938">
        <v>5.25</v>
      </c>
      <c r="N938" t="s">
        <v>36</v>
      </c>
      <c r="O938">
        <v>63</v>
      </c>
      <c r="P938">
        <v>64</v>
      </c>
      <c r="Q938">
        <v>1</v>
      </c>
      <c r="R938">
        <v>2</v>
      </c>
      <c r="S938" t="s">
        <v>37</v>
      </c>
      <c r="T938" t="s">
        <v>50</v>
      </c>
      <c r="U938" t="s">
        <v>31</v>
      </c>
      <c r="V938" t="s">
        <v>45</v>
      </c>
      <c r="W938">
        <v>1</v>
      </c>
      <c r="X938">
        <v>0</v>
      </c>
      <c r="Y938" s="2">
        <f>Table1[[#This Row],[premium_yearly]]*Table1[[#This Row],[tenure_years]]</f>
        <v>6948.9</v>
      </c>
      <c r="Z938" s="2">
        <f>Table1[[#This Row],[total_collected_premiums]]*(1-$AD$2)</f>
        <v>5072.6969999999992</v>
      </c>
      <c r="AA938" s="2">
        <f>Table1[[#This Row],[retained_premium]]-Table1[[#This Row],[claim_amount_paid]]</f>
        <v>-3927.3030000000008</v>
      </c>
    </row>
    <row r="939" spans="1:27" x14ac:dyDescent="0.35">
      <c r="A939" t="s">
        <v>2856</v>
      </c>
      <c r="B939" t="s">
        <v>2857</v>
      </c>
      <c r="C939" t="s">
        <v>2858</v>
      </c>
      <c r="D939" s="1">
        <v>43151</v>
      </c>
      <c r="E939" s="1">
        <v>44207</v>
      </c>
      <c r="F939" s="1">
        <v>44212</v>
      </c>
      <c r="G939">
        <v>5</v>
      </c>
      <c r="H939">
        <v>85.8</v>
      </c>
      <c r="I939">
        <v>1029.5999999999999</v>
      </c>
      <c r="J939">
        <v>7000</v>
      </c>
      <c r="K939" t="s">
        <v>27</v>
      </c>
      <c r="L939">
        <v>7000</v>
      </c>
      <c r="M939">
        <v>0.57999999999999996</v>
      </c>
      <c r="N939" t="s">
        <v>28</v>
      </c>
      <c r="O939">
        <v>7</v>
      </c>
      <c r="P939">
        <v>57</v>
      </c>
      <c r="Q939">
        <v>0</v>
      </c>
      <c r="R939">
        <v>4</v>
      </c>
      <c r="S939" t="s">
        <v>65</v>
      </c>
      <c r="T939" t="s">
        <v>30</v>
      </c>
      <c r="U939" t="s">
        <v>38</v>
      </c>
      <c r="V939" t="s">
        <v>45</v>
      </c>
      <c r="W939">
        <v>1</v>
      </c>
      <c r="X939">
        <v>0</v>
      </c>
      <c r="Y939" s="2">
        <f>Table1[[#This Row],[premium_yearly]]*Table1[[#This Row],[tenure_years]]</f>
        <v>597.16799999999989</v>
      </c>
      <c r="Z939" s="2">
        <f>Table1[[#This Row],[total_collected_premiums]]*(1-$AD$2)</f>
        <v>435.93263999999994</v>
      </c>
      <c r="AA939" s="2">
        <f>Table1[[#This Row],[retained_premium]]-Table1[[#This Row],[claim_amount_paid]]</f>
        <v>-6564.06736</v>
      </c>
    </row>
    <row r="940" spans="1:27" x14ac:dyDescent="0.35">
      <c r="A940" t="s">
        <v>2859</v>
      </c>
      <c r="B940" t="s">
        <v>2860</v>
      </c>
      <c r="C940" t="s">
        <v>2861</v>
      </c>
      <c r="D940" s="1">
        <v>42450</v>
      </c>
      <c r="E940" s="1">
        <v>44200</v>
      </c>
      <c r="F940" s="1">
        <v>44205</v>
      </c>
      <c r="G940">
        <v>5</v>
      </c>
      <c r="H940">
        <v>77.319999999999993</v>
      </c>
      <c r="I940">
        <v>927.84</v>
      </c>
      <c r="J940">
        <v>2000</v>
      </c>
      <c r="K940" t="s">
        <v>27</v>
      </c>
      <c r="L940">
        <v>2000</v>
      </c>
      <c r="M940">
        <v>6.75</v>
      </c>
      <c r="N940" t="s">
        <v>28</v>
      </c>
      <c r="O940">
        <v>81</v>
      </c>
      <c r="P940">
        <v>25</v>
      </c>
      <c r="Q940">
        <v>1</v>
      </c>
      <c r="R940">
        <v>7</v>
      </c>
      <c r="S940" t="s">
        <v>37</v>
      </c>
      <c r="T940" t="s">
        <v>44</v>
      </c>
      <c r="U940" t="s">
        <v>31</v>
      </c>
      <c r="V940" t="s">
        <v>39</v>
      </c>
      <c r="W940">
        <v>1</v>
      </c>
      <c r="X940">
        <v>1</v>
      </c>
      <c r="Y940" s="2">
        <f>Table1[[#This Row],[premium_yearly]]*Table1[[#This Row],[tenure_years]]</f>
        <v>6262.92</v>
      </c>
      <c r="Z940" s="2">
        <f>Table1[[#This Row],[total_collected_premiums]]*(1-$AD$2)</f>
        <v>4571.9315999999999</v>
      </c>
      <c r="AA940" s="2">
        <f>Table1[[#This Row],[retained_premium]]-Table1[[#This Row],[claim_amount_paid]]</f>
        <v>2571.9315999999999</v>
      </c>
    </row>
    <row r="941" spans="1:27" x14ac:dyDescent="0.35">
      <c r="A941" t="s">
        <v>2862</v>
      </c>
      <c r="B941" t="s">
        <v>2863</v>
      </c>
      <c r="C941" t="s">
        <v>2864</v>
      </c>
      <c r="D941" s="1">
        <v>43462</v>
      </c>
      <c r="E941" s="1">
        <v>44204</v>
      </c>
      <c r="F941" s="1">
        <v>44209</v>
      </c>
      <c r="G941">
        <v>5</v>
      </c>
      <c r="H941">
        <v>77.06</v>
      </c>
      <c r="I941">
        <v>924.72</v>
      </c>
      <c r="J941">
        <v>10000</v>
      </c>
      <c r="K941" t="s">
        <v>27</v>
      </c>
      <c r="L941">
        <v>10000</v>
      </c>
      <c r="M941">
        <v>1.08</v>
      </c>
      <c r="N941" t="s">
        <v>28</v>
      </c>
      <c r="O941">
        <v>13</v>
      </c>
      <c r="P941">
        <v>62</v>
      </c>
      <c r="Q941">
        <v>1</v>
      </c>
      <c r="R941">
        <v>2</v>
      </c>
      <c r="S941" t="s">
        <v>65</v>
      </c>
      <c r="T941" t="s">
        <v>50</v>
      </c>
      <c r="U941" t="s">
        <v>66</v>
      </c>
      <c r="V941" t="s">
        <v>32</v>
      </c>
      <c r="W941">
        <v>0</v>
      </c>
      <c r="X941">
        <v>1</v>
      </c>
      <c r="Y941" s="2">
        <f>Table1[[#This Row],[premium_yearly]]*Table1[[#This Row],[tenure_years]]</f>
        <v>998.69760000000008</v>
      </c>
      <c r="Z941" s="2">
        <f>Table1[[#This Row],[total_collected_premiums]]*(1-$AD$2)</f>
        <v>729.04924800000003</v>
      </c>
      <c r="AA941" s="2">
        <f>Table1[[#This Row],[retained_premium]]-Table1[[#This Row],[claim_amount_paid]]</f>
        <v>-9270.9507520000006</v>
      </c>
    </row>
    <row r="942" spans="1:27" x14ac:dyDescent="0.35">
      <c r="A942" t="s">
        <v>2865</v>
      </c>
      <c r="B942" t="s">
        <v>2866</v>
      </c>
      <c r="C942" t="s">
        <v>2867</v>
      </c>
      <c r="D942" s="1">
        <v>41415</v>
      </c>
      <c r="E942" s="1">
        <v>44220</v>
      </c>
      <c r="F942" s="1">
        <v>44220</v>
      </c>
      <c r="G942">
        <v>0</v>
      </c>
      <c r="H942">
        <v>71.040000000000006</v>
      </c>
      <c r="I942">
        <v>852.48</v>
      </c>
      <c r="J942">
        <v>2000</v>
      </c>
      <c r="K942" t="s">
        <v>27</v>
      </c>
      <c r="L942">
        <v>2000</v>
      </c>
      <c r="M942">
        <v>1.83</v>
      </c>
      <c r="N942" t="s">
        <v>49</v>
      </c>
      <c r="O942">
        <v>22</v>
      </c>
      <c r="P942">
        <v>42</v>
      </c>
      <c r="Q942">
        <v>1</v>
      </c>
      <c r="R942">
        <v>2</v>
      </c>
      <c r="S942" t="s">
        <v>29</v>
      </c>
      <c r="T942" t="s">
        <v>30</v>
      </c>
      <c r="U942" t="s">
        <v>58</v>
      </c>
      <c r="V942" t="s">
        <v>32</v>
      </c>
      <c r="W942">
        <v>0</v>
      </c>
      <c r="X942">
        <v>1</v>
      </c>
      <c r="Y942" s="2">
        <f>Table1[[#This Row],[premium_yearly]]*Table1[[#This Row],[tenure_years]]</f>
        <v>1560.0384000000001</v>
      </c>
      <c r="Z942" s="2">
        <f>Table1[[#This Row],[total_collected_premiums]]*(1-$AD$2)</f>
        <v>1138.8280320000001</v>
      </c>
      <c r="AA942" s="2">
        <f>Table1[[#This Row],[retained_premium]]-Table1[[#This Row],[claim_amount_paid]]</f>
        <v>-861.17196799999988</v>
      </c>
    </row>
    <row r="943" spans="1:27" x14ac:dyDescent="0.35">
      <c r="A943" t="s">
        <v>2868</v>
      </c>
      <c r="B943" t="s">
        <v>2869</v>
      </c>
      <c r="C943" t="s">
        <v>2870</v>
      </c>
      <c r="D943" s="1">
        <v>43697</v>
      </c>
      <c r="E943" s="1">
        <v>44210</v>
      </c>
      <c r="F943" s="1">
        <v>44215</v>
      </c>
      <c r="G943">
        <v>5</v>
      </c>
      <c r="H943">
        <v>128.31</v>
      </c>
      <c r="I943">
        <v>1539.72</v>
      </c>
      <c r="J943">
        <v>7000</v>
      </c>
      <c r="K943" t="s">
        <v>27</v>
      </c>
      <c r="L943">
        <v>7000</v>
      </c>
      <c r="M943">
        <v>2.67</v>
      </c>
      <c r="N943" t="s">
        <v>28</v>
      </c>
      <c r="O943">
        <v>32</v>
      </c>
      <c r="P943">
        <v>62</v>
      </c>
      <c r="Q943">
        <v>0</v>
      </c>
      <c r="R943">
        <v>2</v>
      </c>
      <c r="S943" t="s">
        <v>29</v>
      </c>
      <c r="T943" t="s">
        <v>50</v>
      </c>
      <c r="U943" t="s">
        <v>31</v>
      </c>
      <c r="V943" t="s">
        <v>39</v>
      </c>
      <c r="W943">
        <v>1</v>
      </c>
      <c r="X943">
        <v>0</v>
      </c>
      <c r="Y943" s="2">
        <f>Table1[[#This Row],[premium_yearly]]*Table1[[#This Row],[tenure_years]]</f>
        <v>4111.0523999999996</v>
      </c>
      <c r="Z943" s="2">
        <f>Table1[[#This Row],[total_collected_premiums]]*(1-$AD$2)</f>
        <v>3001.0682519999996</v>
      </c>
      <c r="AA943" s="2">
        <f>Table1[[#This Row],[retained_premium]]-Table1[[#This Row],[claim_amount_paid]]</f>
        <v>-3998.9317480000004</v>
      </c>
    </row>
    <row r="944" spans="1:27" x14ac:dyDescent="0.35">
      <c r="A944" t="s">
        <v>2871</v>
      </c>
      <c r="B944" t="s">
        <v>2872</v>
      </c>
      <c r="C944" t="s">
        <v>2873</v>
      </c>
      <c r="D944" s="1">
        <v>43527</v>
      </c>
      <c r="E944" s="1">
        <v>44213</v>
      </c>
      <c r="F944" s="1">
        <v>44216</v>
      </c>
      <c r="G944">
        <v>3</v>
      </c>
      <c r="H944">
        <v>115.16</v>
      </c>
      <c r="I944">
        <v>1381.92</v>
      </c>
      <c r="J944">
        <v>5000</v>
      </c>
      <c r="K944" t="s">
        <v>27</v>
      </c>
      <c r="L944">
        <v>5000</v>
      </c>
      <c r="M944">
        <v>7.58</v>
      </c>
      <c r="N944" t="s">
        <v>28</v>
      </c>
      <c r="O944">
        <v>91</v>
      </c>
      <c r="P944">
        <v>35</v>
      </c>
      <c r="Q944">
        <v>1</v>
      </c>
      <c r="R944">
        <v>4</v>
      </c>
      <c r="S944" t="s">
        <v>65</v>
      </c>
      <c r="T944" t="s">
        <v>44</v>
      </c>
      <c r="U944" t="s">
        <v>66</v>
      </c>
      <c r="V944" t="s">
        <v>32</v>
      </c>
      <c r="W944">
        <v>1</v>
      </c>
      <c r="X944">
        <v>1</v>
      </c>
      <c r="Y944" s="2">
        <f>Table1[[#This Row],[premium_yearly]]*Table1[[#This Row],[tenure_years]]</f>
        <v>10474.953600000001</v>
      </c>
      <c r="Z944" s="2">
        <f>Table1[[#This Row],[total_collected_premiums]]*(1-$AD$2)</f>
        <v>7646.716128</v>
      </c>
      <c r="AA944" s="2">
        <f>Table1[[#This Row],[retained_premium]]-Table1[[#This Row],[claim_amount_paid]]</f>
        <v>2646.716128</v>
      </c>
    </row>
    <row r="945" spans="1:27" x14ac:dyDescent="0.35">
      <c r="A945" t="s">
        <v>2874</v>
      </c>
      <c r="B945" t="s">
        <v>2875</v>
      </c>
      <c r="C945" t="s">
        <v>2876</v>
      </c>
      <c r="D945" s="1">
        <v>43383</v>
      </c>
      <c r="E945" s="1">
        <v>44214</v>
      </c>
      <c r="F945" s="1">
        <v>44216</v>
      </c>
      <c r="G945">
        <v>2</v>
      </c>
      <c r="H945">
        <v>115.57</v>
      </c>
      <c r="I945">
        <v>1386.84</v>
      </c>
      <c r="J945">
        <v>7000</v>
      </c>
      <c r="K945" t="s">
        <v>27</v>
      </c>
      <c r="L945">
        <v>7000</v>
      </c>
      <c r="M945">
        <v>4.08</v>
      </c>
      <c r="N945" t="s">
        <v>28</v>
      </c>
      <c r="O945">
        <v>49</v>
      </c>
      <c r="P945">
        <v>26</v>
      </c>
      <c r="Q945">
        <v>0</v>
      </c>
      <c r="R945">
        <v>3</v>
      </c>
      <c r="S945" t="s">
        <v>65</v>
      </c>
      <c r="T945" t="s">
        <v>30</v>
      </c>
      <c r="U945" t="s">
        <v>38</v>
      </c>
      <c r="V945" t="s">
        <v>32</v>
      </c>
      <c r="W945">
        <v>0</v>
      </c>
      <c r="X945">
        <v>1</v>
      </c>
      <c r="Y945" s="2">
        <f>Table1[[#This Row],[premium_yearly]]*Table1[[#This Row],[tenure_years]]</f>
        <v>5658.3072000000002</v>
      </c>
      <c r="Z945" s="2">
        <f>Table1[[#This Row],[total_collected_premiums]]*(1-$AD$2)</f>
        <v>4130.5642559999997</v>
      </c>
      <c r="AA945" s="2">
        <f>Table1[[#This Row],[retained_premium]]-Table1[[#This Row],[claim_amount_paid]]</f>
        <v>-2869.4357440000003</v>
      </c>
    </row>
    <row r="946" spans="1:27" x14ac:dyDescent="0.35">
      <c r="A946" t="s">
        <v>2877</v>
      </c>
      <c r="B946" t="s">
        <v>2878</v>
      </c>
      <c r="C946" t="s">
        <v>2879</v>
      </c>
      <c r="D946" s="1">
        <v>43357</v>
      </c>
      <c r="E946" s="1">
        <v>44209</v>
      </c>
      <c r="F946" s="1">
        <v>44214</v>
      </c>
      <c r="G946">
        <v>5</v>
      </c>
      <c r="H946">
        <v>134.44</v>
      </c>
      <c r="I946">
        <v>1613.28</v>
      </c>
      <c r="J946">
        <v>3000</v>
      </c>
      <c r="K946" t="s">
        <v>27</v>
      </c>
      <c r="L946">
        <v>3000</v>
      </c>
      <c r="M946">
        <v>1.5</v>
      </c>
      <c r="N946" t="s">
        <v>28</v>
      </c>
      <c r="O946">
        <v>18</v>
      </c>
      <c r="P946">
        <v>30</v>
      </c>
      <c r="Q946">
        <v>1</v>
      </c>
      <c r="R946">
        <v>6</v>
      </c>
      <c r="S946" t="s">
        <v>65</v>
      </c>
      <c r="T946" t="s">
        <v>50</v>
      </c>
      <c r="U946" t="s">
        <v>58</v>
      </c>
      <c r="V946" t="s">
        <v>45</v>
      </c>
      <c r="W946">
        <v>1</v>
      </c>
      <c r="X946">
        <v>1</v>
      </c>
      <c r="Y946" s="2">
        <f>Table1[[#This Row],[premium_yearly]]*Table1[[#This Row],[tenure_years]]</f>
        <v>2419.92</v>
      </c>
      <c r="Z946" s="2">
        <f>Table1[[#This Row],[total_collected_premiums]]*(1-$AD$2)</f>
        <v>1766.5416</v>
      </c>
      <c r="AA946" s="2">
        <f>Table1[[#This Row],[retained_premium]]-Table1[[#This Row],[claim_amount_paid]]</f>
        <v>-1233.4584</v>
      </c>
    </row>
    <row r="947" spans="1:27" x14ac:dyDescent="0.35">
      <c r="A947" t="s">
        <v>2880</v>
      </c>
      <c r="B947" t="s">
        <v>2881</v>
      </c>
      <c r="C947" t="s">
        <v>2882</v>
      </c>
      <c r="D947" s="1">
        <v>40485</v>
      </c>
      <c r="E947" s="1">
        <v>44209</v>
      </c>
      <c r="F947" s="1">
        <v>44214</v>
      </c>
      <c r="G947">
        <v>5</v>
      </c>
      <c r="H947">
        <v>77.02</v>
      </c>
      <c r="I947">
        <v>924.24</v>
      </c>
      <c r="J947">
        <v>10000</v>
      </c>
      <c r="K947" t="s">
        <v>27</v>
      </c>
      <c r="L947">
        <v>10000</v>
      </c>
      <c r="M947">
        <v>7.58</v>
      </c>
      <c r="N947" t="s">
        <v>36</v>
      </c>
      <c r="O947">
        <v>91</v>
      </c>
      <c r="P947">
        <v>47</v>
      </c>
      <c r="Q947">
        <v>1</v>
      </c>
      <c r="R947">
        <v>2</v>
      </c>
      <c r="S947" t="s">
        <v>29</v>
      </c>
      <c r="T947" t="s">
        <v>30</v>
      </c>
      <c r="U947" t="s">
        <v>31</v>
      </c>
      <c r="V947" t="s">
        <v>32</v>
      </c>
      <c r="W947">
        <v>1</v>
      </c>
      <c r="X947">
        <v>0</v>
      </c>
      <c r="Y947" s="2">
        <f>Table1[[#This Row],[premium_yearly]]*Table1[[#This Row],[tenure_years]]</f>
        <v>7005.7392</v>
      </c>
      <c r="Z947" s="2">
        <f>Table1[[#This Row],[total_collected_premiums]]*(1-$AD$2)</f>
        <v>5114.1896159999997</v>
      </c>
      <c r="AA947" s="2">
        <f>Table1[[#This Row],[retained_premium]]-Table1[[#This Row],[claim_amount_paid]]</f>
        <v>-4885.8103840000003</v>
      </c>
    </row>
    <row r="948" spans="1:27" x14ac:dyDescent="0.35">
      <c r="A948" t="s">
        <v>2883</v>
      </c>
      <c r="B948" t="s">
        <v>2884</v>
      </c>
      <c r="C948" t="s">
        <v>2885</v>
      </c>
      <c r="D948" s="1">
        <v>41093</v>
      </c>
      <c r="E948" s="1">
        <v>44205</v>
      </c>
      <c r="F948" s="1">
        <v>44210</v>
      </c>
      <c r="G948">
        <v>5</v>
      </c>
      <c r="H948">
        <v>118.7</v>
      </c>
      <c r="I948">
        <v>1424.4</v>
      </c>
      <c r="J948">
        <v>5000</v>
      </c>
      <c r="K948" t="s">
        <v>27</v>
      </c>
      <c r="L948">
        <v>5000</v>
      </c>
      <c r="M948">
        <v>6.33</v>
      </c>
      <c r="N948" t="s">
        <v>28</v>
      </c>
      <c r="O948">
        <v>76</v>
      </c>
      <c r="P948">
        <v>55</v>
      </c>
      <c r="Q948">
        <v>1</v>
      </c>
      <c r="R948">
        <v>2</v>
      </c>
      <c r="S948" t="s">
        <v>65</v>
      </c>
      <c r="T948" t="s">
        <v>30</v>
      </c>
      <c r="U948" t="s">
        <v>58</v>
      </c>
      <c r="V948" t="s">
        <v>45</v>
      </c>
      <c r="W948">
        <v>0</v>
      </c>
      <c r="X948">
        <v>1</v>
      </c>
      <c r="Y948" s="2">
        <f>Table1[[#This Row],[premium_yearly]]*Table1[[#This Row],[tenure_years]]</f>
        <v>9016.4520000000011</v>
      </c>
      <c r="Z948" s="2">
        <f>Table1[[#This Row],[total_collected_premiums]]*(1-$AD$2)</f>
        <v>6582.0099600000003</v>
      </c>
      <c r="AA948" s="2">
        <f>Table1[[#This Row],[retained_premium]]-Table1[[#This Row],[claim_amount_paid]]</f>
        <v>1582.0099600000003</v>
      </c>
    </row>
    <row r="949" spans="1:27" x14ac:dyDescent="0.35">
      <c r="A949" t="s">
        <v>2886</v>
      </c>
      <c r="B949" t="s">
        <v>2887</v>
      </c>
      <c r="C949" t="s">
        <v>2888</v>
      </c>
      <c r="D949" s="1">
        <v>42049</v>
      </c>
      <c r="E949" s="1">
        <v>44217</v>
      </c>
      <c r="F949" s="1">
        <v>44218</v>
      </c>
      <c r="G949">
        <v>1</v>
      </c>
      <c r="H949">
        <v>106.22</v>
      </c>
      <c r="I949">
        <v>1274.6400000000001</v>
      </c>
      <c r="J949">
        <v>9000</v>
      </c>
      <c r="K949" t="s">
        <v>27</v>
      </c>
      <c r="L949">
        <v>9000</v>
      </c>
      <c r="M949">
        <v>1</v>
      </c>
      <c r="N949" t="s">
        <v>28</v>
      </c>
      <c r="O949">
        <v>12</v>
      </c>
      <c r="P949">
        <v>36</v>
      </c>
      <c r="Q949">
        <v>0</v>
      </c>
      <c r="R949">
        <v>7</v>
      </c>
      <c r="S949" t="s">
        <v>37</v>
      </c>
      <c r="T949" t="s">
        <v>30</v>
      </c>
      <c r="U949" t="s">
        <v>38</v>
      </c>
      <c r="V949" t="s">
        <v>32</v>
      </c>
      <c r="W949">
        <v>1</v>
      </c>
      <c r="X949">
        <v>0</v>
      </c>
      <c r="Y949" s="2">
        <f>Table1[[#This Row],[premium_yearly]]*Table1[[#This Row],[tenure_years]]</f>
        <v>1274.6400000000001</v>
      </c>
      <c r="Z949" s="2">
        <f>Table1[[#This Row],[total_collected_premiums]]*(1-$AD$2)</f>
        <v>930.48720000000003</v>
      </c>
      <c r="AA949" s="2">
        <f>Table1[[#This Row],[retained_premium]]-Table1[[#This Row],[claim_amount_paid]]</f>
        <v>-8069.5128000000004</v>
      </c>
    </row>
    <row r="950" spans="1:27" x14ac:dyDescent="0.35">
      <c r="A950" t="s">
        <v>2889</v>
      </c>
      <c r="B950" t="s">
        <v>2890</v>
      </c>
      <c r="C950" t="s">
        <v>2891</v>
      </c>
      <c r="D950" s="1">
        <v>42284</v>
      </c>
      <c r="E950" s="1">
        <v>44216</v>
      </c>
      <c r="F950" s="1">
        <v>44218</v>
      </c>
      <c r="G950">
        <v>2</v>
      </c>
      <c r="H950">
        <v>136.61000000000001</v>
      </c>
      <c r="I950">
        <v>1639.32</v>
      </c>
      <c r="J950">
        <v>1000</v>
      </c>
      <c r="K950" t="s">
        <v>27</v>
      </c>
      <c r="L950">
        <v>1000</v>
      </c>
      <c r="M950">
        <v>2.08</v>
      </c>
      <c r="N950" t="s">
        <v>28</v>
      </c>
      <c r="O950">
        <v>25</v>
      </c>
      <c r="P950">
        <v>37</v>
      </c>
      <c r="Q950">
        <v>0</v>
      </c>
      <c r="R950">
        <v>5</v>
      </c>
      <c r="S950" t="s">
        <v>65</v>
      </c>
      <c r="T950" t="s">
        <v>44</v>
      </c>
      <c r="U950" t="s">
        <v>58</v>
      </c>
      <c r="V950" t="s">
        <v>45</v>
      </c>
      <c r="W950">
        <v>1</v>
      </c>
      <c r="X950">
        <v>0</v>
      </c>
      <c r="Y950" s="2">
        <f>Table1[[#This Row],[premium_yearly]]*Table1[[#This Row],[tenure_years]]</f>
        <v>3409.7856000000002</v>
      </c>
      <c r="Z950" s="2">
        <f>Table1[[#This Row],[total_collected_premiums]]*(1-$AD$2)</f>
        <v>2489.1434880000002</v>
      </c>
      <c r="AA950" s="2">
        <f>Table1[[#This Row],[retained_premium]]-Table1[[#This Row],[claim_amount_paid]]</f>
        <v>1489.1434880000002</v>
      </c>
    </row>
    <row r="951" spans="1:27" x14ac:dyDescent="0.35">
      <c r="A951" t="s">
        <v>2892</v>
      </c>
      <c r="B951" t="s">
        <v>2893</v>
      </c>
      <c r="C951" t="s">
        <v>2894</v>
      </c>
      <c r="D951" s="1">
        <v>40412</v>
      </c>
      <c r="E951" s="1">
        <v>44215</v>
      </c>
      <c r="F951" s="1">
        <v>44217</v>
      </c>
      <c r="G951">
        <v>2</v>
      </c>
      <c r="H951">
        <v>90.47</v>
      </c>
      <c r="I951">
        <v>1085.6400000000001</v>
      </c>
      <c r="J951">
        <v>9000</v>
      </c>
      <c r="K951" t="s">
        <v>27</v>
      </c>
      <c r="L951">
        <v>9000</v>
      </c>
      <c r="M951">
        <v>9.33</v>
      </c>
      <c r="N951" t="s">
        <v>28</v>
      </c>
      <c r="O951">
        <v>112</v>
      </c>
      <c r="P951">
        <v>32</v>
      </c>
      <c r="Q951">
        <v>1</v>
      </c>
      <c r="R951">
        <v>4</v>
      </c>
      <c r="S951" t="s">
        <v>29</v>
      </c>
      <c r="T951" t="s">
        <v>30</v>
      </c>
      <c r="U951" t="s">
        <v>38</v>
      </c>
      <c r="V951" t="s">
        <v>39</v>
      </c>
      <c r="W951">
        <v>0</v>
      </c>
      <c r="X951">
        <v>1</v>
      </c>
      <c r="Y951" s="2">
        <f>Table1[[#This Row],[premium_yearly]]*Table1[[#This Row],[tenure_years]]</f>
        <v>10129.021200000001</v>
      </c>
      <c r="Z951" s="2">
        <f>Table1[[#This Row],[total_collected_premiums]]*(1-$AD$2)</f>
        <v>7394.1854760000006</v>
      </c>
      <c r="AA951" s="2">
        <f>Table1[[#This Row],[retained_premium]]-Table1[[#This Row],[claim_amount_paid]]</f>
        <v>-1605.8145239999994</v>
      </c>
    </row>
    <row r="952" spans="1:27" x14ac:dyDescent="0.35">
      <c r="A952" t="s">
        <v>2895</v>
      </c>
      <c r="B952" t="s">
        <v>2896</v>
      </c>
      <c r="C952" t="s">
        <v>2897</v>
      </c>
      <c r="D952" s="1">
        <v>41632</v>
      </c>
      <c r="E952" s="1">
        <v>44207</v>
      </c>
      <c r="F952" s="1">
        <v>44212</v>
      </c>
      <c r="G952">
        <v>5</v>
      </c>
      <c r="H952">
        <v>122.82</v>
      </c>
      <c r="I952">
        <v>1473.84</v>
      </c>
      <c r="J952">
        <v>4000</v>
      </c>
      <c r="K952" t="s">
        <v>27</v>
      </c>
      <c r="L952">
        <v>4000</v>
      </c>
      <c r="M952">
        <v>7.42</v>
      </c>
      <c r="N952" t="s">
        <v>49</v>
      </c>
      <c r="O952">
        <v>89</v>
      </c>
      <c r="P952">
        <v>33</v>
      </c>
      <c r="Q952">
        <v>1</v>
      </c>
      <c r="R952">
        <v>3</v>
      </c>
      <c r="S952" t="s">
        <v>65</v>
      </c>
      <c r="T952" t="s">
        <v>50</v>
      </c>
      <c r="U952" t="s">
        <v>31</v>
      </c>
      <c r="V952" t="s">
        <v>45</v>
      </c>
      <c r="W952">
        <v>1</v>
      </c>
      <c r="X952">
        <v>0</v>
      </c>
      <c r="Y952" s="2">
        <f>Table1[[#This Row],[premium_yearly]]*Table1[[#This Row],[tenure_years]]</f>
        <v>10935.8928</v>
      </c>
      <c r="Z952" s="2">
        <f>Table1[[#This Row],[total_collected_premiums]]*(1-$AD$2)</f>
        <v>7983.201744</v>
      </c>
      <c r="AA952" s="2">
        <f>Table1[[#This Row],[retained_premium]]-Table1[[#This Row],[claim_amount_paid]]</f>
        <v>3983.201744</v>
      </c>
    </row>
    <row r="953" spans="1:27" x14ac:dyDescent="0.35">
      <c r="A953" t="s">
        <v>2898</v>
      </c>
      <c r="B953" t="s">
        <v>2899</v>
      </c>
      <c r="C953" t="s">
        <v>2900</v>
      </c>
      <c r="D953" s="1">
        <v>41289</v>
      </c>
      <c r="E953" s="1">
        <v>44212</v>
      </c>
      <c r="F953" s="1">
        <v>44217</v>
      </c>
      <c r="G953">
        <v>5</v>
      </c>
      <c r="H953">
        <v>103.31</v>
      </c>
      <c r="I953">
        <v>1239.72</v>
      </c>
      <c r="J953">
        <v>3000</v>
      </c>
      <c r="K953" t="s">
        <v>27</v>
      </c>
      <c r="L953">
        <v>3000</v>
      </c>
      <c r="M953">
        <v>2.25</v>
      </c>
      <c r="N953" t="s">
        <v>49</v>
      </c>
      <c r="O953">
        <v>27</v>
      </c>
      <c r="P953">
        <v>49</v>
      </c>
      <c r="Q953">
        <v>1</v>
      </c>
      <c r="R953">
        <v>3</v>
      </c>
      <c r="S953" t="s">
        <v>29</v>
      </c>
      <c r="T953" t="s">
        <v>44</v>
      </c>
      <c r="U953" t="s">
        <v>38</v>
      </c>
      <c r="V953" t="s">
        <v>39</v>
      </c>
      <c r="W953">
        <v>0</v>
      </c>
      <c r="X953">
        <v>1</v>
      </c>
      <c r="Y953" s="2">
        <f>Table1[[#This Row],[premium_yearly]]*Table1[[#This Row],[tenure_years]]</f>
        <v>2789.37</v>
      </c>
      <c r="Z953" s="2">
        <f>Table1[[#This Row],[total_collected_premiums]]*(1-$AD$2)</f>
        <v>2036.2401</v>
      </c>
      <c r="AA953" s="2">
        <f>Table1[[#This Row],[retained_premium]]-Table1[[#This Row],[claim_amount_paid]]</f>
        <v>-963.75990000000002</v>
      </c>
    </row>
    <row r="954" spans="1:27" x14ac:dyDescent="0.35">
      <c r="A954" t="s">
        <v>2901</v>
      </c>
      <c r="B954" t="s">
        <v>2902</v>
      </c>
      <c r="C954" t="s">
        <v>2903</v>
      </c>
      <c r="D954" s="1">
        <v>43274</v>
      </c>
      <c r="E954" s="1">
        <v>44206</v>
      </c>
      <c r="F954" s="1">
        <v>44211</v>
      </c>
      <c r="G954">
        <v>5</v>
      </c>
      <c r="H954">
        <v>114.39</v>
      </c>
      <c r="I954">
        <v>1372.68</v>
      </c>
      <c r="J954">
        <v>7000</v>
      </c>
      <c r="K954" t="s">
        <v>27</v>
      </c>
      <c r="L954">
        <v>7000</v>
      </c>
      <c r="M954">
        <v>4.67</v>
      </c>
      <c r="N954" t="s">
        <v>36</v>
      </c>
      <c r="O954">
        <v>56</v>
      </c>
      <c r="P954">
        <v>25</v>
      </c>
      <c r="Q954">
        <v>0</v>
      </c>
      <c r="R954">
        <v>5</v>
      </c>
      <c r="S954" t="s">
        <v>65</v>
      </c>
      <c r="T954" t="s">
        <v>30</v>
      </c>
      <c r="U954" t="s">
        <v>58</v>
      </c>
      <c r="V954" t="s">
        <v>32</v>
      </c>
      <c r="W954">
        <v>0</v>
      </c>
      <c r="X954">
        <v>0</v>
      </c>
      <c r="Y954" s="2">
        <f>Table1[[#This Row],[premium_yearly]]*Table1[[#This Row],[tenure_years]]</f>
        <v>6410.4156000000003</v>
      </c>
      <c r="Z954" s="2">
        <f>Table1[[#This Row],[total_collected_premiums]]*(1-$AD$2)</f>
        <v>4679.6033880000005</v>
      </c>
      <c r="AA954" s="2">
        <f>Table1[[#This Row],[retained_premium]]-Table1[[#This Row],[claim_amount_paid]]</f>
        <v>-2320.3966119999995</v>
      </c>
    </row>
    <row r="955" spans="1:27" x14ac:dyDescent="0.35">
      <c r="A955" t="s">
        <v>2904</v>
      </c>
      <c r="B955" t="s">
        <v>2905</v>
      </c>
      <c r="C955" t="s">
        <v>2906</v>
      </c>
      <c r="D955" s="1">
        <v>40748</v>
      </c>
      <c r="E955" s="1">
        <v>44204</v>
      </c>
      <c r="F955" s="1">
        <v>44209</v>
      </c>
      <c r="G955">
        <v>5</v>
      </c>
      <c r="H955">
        <v>75.73</v>
      </c>
      <c r="I955">
        <v>908.76</v>
      </c>
      <c r="J955">
        <v>5000</v>
      </c>
      <c r="K955" t="s">
        <v>27</v>
      </c>
      <c r="L955">
        <v>5000</v>
      </c>
      <c r="M955">
        <v>7.67</v>
      </c>
      <c r="N955" t="s">
        <v>28</v>
      </c>
      <c r="O955">
        <v>92</v>
      </c>
      <c r="P955">
        <v>32</v>
      </c>
      <c r="Q955">
        <v>0</v>
      </c>
      <c r="R955">
        <v>7</v>
      </c>
      <c r="S955" t="s">
        <v>65</v>
      </c>
      <c r="T955" t="s">
        <v>30</v>
      </c>
      <c r="U955" t="s">
        <v>88</v>
      </c>
      <c r="V955" t="s">
        <v>45</v>
      </c>
      <c r="W955">
        <v>1</v>
      </c>
      <c r="X955">
        <v>1</v>
      </c>
      <c r="Y955" s="2">
        <f>Table1[[#This Row],[premium_yearly]]*Table1[[#This Row],[tenure_years]]</f>
        <v>6970.1891999999998</v>
      </c>
      <c r="Z955" s="2">
        <f>Table1[[#This Row],[total_collected_premiums]]*(1-$AD$2)</f>
        <v>5088.2381159999995</v>
      </c>
      <c r="AA955" s="2">
        <f>Table1[[#This Row],[retained_premium]]-Table1[[#This Row],[claim_amount_paid]]</f>
        <v>88.238115999999536</v>
      </c>
    </row>
    <row r="956" spans="1:27" x14ac:dyDescent="0.35">
      <c r="A956" t="s">
        <v>2907</v>
      </c>
      <c r="B956" t="s">
        <v>2908</v>
      </c>
      <c r="C956" t="s">
        <v>2909</v>
      </c>
      <c r="D956" s="1">
        <v>40417</v>
      </c>
      <c r="E956" s="1">
        <v>44212</v>
      </c>
      <c r="F956" s="1">
        <v>44217</v>
      </c>
      <c r="G956">
        <v>5</v>
      </c>
      <c r="H956">
        <v>97.63</v>
      </c>
      <c r="I956">
        <v>1171.56</v>
      </c>
      <c r="J956">
        <v>7000</v>
      </c>
      <c r="K956" t="s">
        <v>27</v>
      </c>
      <c r="L956">
        <v>7000</v>
      </c>
      <c r="M956">
        <v>8.42</v>
      </c>
      <c r="N956" t="s">
        <v>28</v>
      </c>
      <c r="O956">
        <v>101</v>
      </c>
      <c r="P956">
        <v>41</v>
      </c>
      <c r="Q956">
        <v>1</v>
      </c>
      <c r="R956">
        <v>5</v>
      </c>
      <c r="S956" t="s">
        <v>29</v>
      </c>
      <c r="T956" t="s">
        <v>50</v>
      </c>
      <c r="U956" t="s">
        <v>51</v>
      </c>
      <c r="V956" t="s">
        <v>39</v>
      </c>
      <c r="W956">
        <v>1</v>
      </c>
      <c r="X956">
        <v>1</v>
      </c>
      <c r="Y956" s="2">
        <f>Table1[[#This Row],[premium_yearly]]*Table1[[#This Row],[tenure_years]]</f>
        <v>9864.5352000000003</v>
      </c>
      <c r="Z956" s="2">
        <f>Table1[[#This Row],[total_collected_premiums]]*(1-$AD$2)</f>
        <v>7201.1106959999997</v>
      </c>
      <c r="AA956" s="2">
        <f>Table1[[#This Row],[retained_premium]]-Table1[[#This Row],[claim_amount_paid]]</f>
        <v>201.11069599999973</v>
      </c>
    </row>
    <row r="957" spans="1:27" x14ac:dyDescent="0.35">
      <c r="A957" t="s">
        <v>2910</v>
      </c>
      <c r="B957" t="s">
        <v>2911</v>
      </c>
      <c r="C957" t="s">
        <v>2912</v>
      </c>
      <c r="D957" s="1">
        <v>42701</v>
      </c>
      <c r="E957" s="1">
        <v>44207</v>
      </c>
      <c r="F957" s="1">
        <v>44212</v>
      </c>
      <c r="G957">
        <v>5</v>
      </c>
      <c r="H957">
        <v>120.53</v>
      </c>
      <c r="I957">
        <v>1446.36</v>
      </c>
      <c r="J957">
        <v>3000</v>
      </c>
      <c r="K957" t="s">
        <v>27</v>
      </c>
      <c r="L957">
        <v>3000</v>
      </c>
      <c r="M957">
        <v>8.42</v>
      </c>
      <c r="N957" t="s">
        <v>49</v>
      </c>
      <c r="O957">
        <v>101</v>
      </c>
      <c r="P957">
        <v>47</v>
      </c>
      <c r="Q957">
        <v>0</v>
      </c>
      <c r="R957">
        <v>7</v>
      </c>
      <c r="S957" t="s">
        <v>65</v>
      </c>
      <c r="T957" t="s">
        <v>30</v>
      </c>
      <c r="U957" t="s">
        <v>38</v>
      </c>
      <c r="V957" t="s">
        <v>32</v>
      </c>
      <c r="W957">
        <v>1</v>
      </c>
      <c r="X957">
        <v>1</v>
      </c>
      <c r="Y957" s="2">
        <f>Table1[[#This Row],[premium_yearly]]*Table1[[#This Row],[tenure_years]]</f>
        <v>12178.351199999999</v>
      </c>
      <c r="Z957" s="2">
        <f>Table1[[#This Row],[total_collected_premiums]]*(1-$AD$2)</f>
        <v>8890.1963759999999</v>
      </c>
      <c r="AA957" s="2">
        <f>Table1[[#This Row],[retained_premium]]-Table1[[#This Row],[claim_amount_paid]]</f>
        <v>5890.1963759999999</v>
      </c>
    </row>
    <row r="958" spans="1:27" x14ac:dyDescent="0.35">
      <c r="A958" t="s">
        <v>2913</v>
      </c>
      <c r="B958" t="s">
        <v>2914</v>
      </c>
      <c r="C958" t="s">
        <v>2915</v>
      </c>
      <c r="D958" s="1">
        <v>41088</v>
      </c>
      <c r="E958" s="1">
        <v>44215</v>
      </c>
      <c r="F958" s="1">
        <v>44218</v>
      </c>
      <c r="G958">
        <v>3</v>
      </c>
      <c r="H958">
        <v>129.28</v>
      </c>
      <c r="I958">
        <v>1551.36</v>
      </c>
      <c r="J958">
        <v>10000</v>
      </c>
      <c r="K958" t="s">
        <v>27</v>
      </c>
      <c r="L958">
        <v>10000</v>
      </c>
      <c r="M958">
        <v>6.17</v>
      </c>
      <c r="N958" t="s">
        <v>36</v>
      </c>
      <c r="O958">
        <v>74</v>
      </c>
      <c r="P958">
        <v>38</v>
      </c>
      <c r="Q958">
        <v>1</v>
      </c>
      <c r="R958">
        <v>7</v>
      </c>
      <c r="S958" t="s">
        <v>65</v>
      </c>
      <c r="T958" t="s">
        <v>30</v>
      </c>
      <c r="U958" t="s">
        <v>31</v>
      </c>
      <c r="V958" t="s">
        <v>32</v>
      </c>
      <c r="W958">
        <v>1</v>
      </c>
      <c r="X958">
        <v>1</v>
      </c>
      <c r="Y958" s="2">
        <f>Table1[[#This Row],[premium_yearly]]*Table1[[#This Row],[tenure_years]]</f>
        <v>9571.8912</v>
      </c>
      <c r="Z958" s="2">
        <f>Table1[[#This Row],[total_collected_premiums]]*(1-$AD$2)</f>
        <v>6987.4805759999999</v>
      </c>
      <c r="AA958" s="2">
        <f>Table1[[#This Row],[retained_premium]]-Table1[[#This Row],[claim_amount_paid]]</f>
        <v>-3012.5194240000001</v>
      </c>
    </row>
    <row r="959" spans="1:27" x14ac:dyDescent="0.35">
      <c r="A959" t="s">
        <v>2916</v>
      </c>
      <c r="B959" t="s">
        <v>2917</v>
      </c>
      <c r="C959" t="s">
        <v>2918</v>
      </c>
      <c r="D959" s="1">
        <v>42010</v>
      </c>
      <c r="E959" s="1">
        <v>44219</v>
      </c>
      <c r="F959" s="1">
        <v>44221</v>
      </c>
      <c r="G959">
        <v>2</v>
      </c>
      <c r="H959">
        <v>95.31</v>
      </c>
      <c r="I959">
        <v>1143.72</v>
      </c>
      <c r="J959">
        <v>6000</v>
      </c>
      <c r="K959" t="s">
        <v>27</v>
      </c>
      <c r="L959">
        <v>6000</v>
      </c>
      <c r="M959">
        <v>1.75</v>
      </c>
      <c r="N959" t="s">
        <v>36</v>
      </c>
      <c r="O959">
        <v>21</v>
      </c>
      <c r="P959">
        <v>51</v>
      </c>
      <c r="Q959">
        <v>1</v>
      </c>
      <c r="R959">
        <v>7</v>
      </c>
      <c r="S959" t="s">
        <v>65</v>
      </c>
      <c r="T959" t="s">
        <v>44</v>
      </c>
      <c r="U959" t="s">
        <v>38</v>
      </c>
      <c r="V959" t="s">
        <v>32</v>
      </c>
      <c r="W959">
        <v>1</v>
      </c>
      <c r="X959">
        <v>1</v>
      </c>
      <c r="Y959" s="2">
        <f>Table1[[#This Row],[premium_yearly]]*Table1[[#This Row],[tenure_years]]</f>
        <v>2001.51</v>
      </c>
      <c r="Z959" s="2">
        <f>Table1[[#This Row],[total_collected_premiums]]*(1-$AD$2)</f>
        <v>1461.1023</v>
      </c>
      <c r="AA959" s="2">
        <f>Table1[[#This Row],[retained_premium]]-Table1[[#This Row],[claim_amount_paid]]</f>
        <v>-4538.8976999999995</v>
      </c>
    </row>
    <row r="960" spans="1:27" x14ac:dyDescent="0.35">
      <c r="A960" t="s">
        <v>2919</v>
      </c>
      <c r="B960" t="s">
        <v>2920</v>
      </c>
      <c r="C960" t="s">
        <v>2921</v>
      </c>
      <c r="D960" s="1">
        <v>42053</v>
      </c>
      <c r="E960" s="1">
        <v>44208</v>
      </c>
      <c r="F960" s="1">
        <v>44213</v>
      </c>
      <c r="G960">
        <v>5</v>
      </c>
      <c r="H960">
        <v>85.43</v>
      </c>
      <c r="I960">
        <v>1025.1600000000001</v>
      </c>
      <c r="J960">
        <v>3000</v>
      </c>
      <c r="K960" t="s">
        <v>27</v>
      </c>
      <c r="L960">
        <v>3000</v>
      </c>
      <c r="M960">
        <v>3.33</v>
      </c>
      <c r="N960" t="s">
        <v>49</v>
      </c>
      <c r="O960">
        <v>40</v>
      </c>
      <c r="P960">
        <v>39</v>
      </c>
      <c r="Q960">
        <v>0</v>
      </c>
      <c r="R960">
        <v>4</v>
      </c>
      <c r="S960" t="s">
        <v>65</v>
      </c>
      <c r="T960" t="s">
        <v>30</v>
      </c>
      <c r="U960" t="s">
        <v>38</v>
      </c>
      <c r="V960" t="s">
        <v>45</v>
      </c>
      <c r="W960">
        <v>1</v>
      </c>
      <c r="X960">
        <v>1</v>
      </c>
      <c r="Y960" s="2">
        <f>Table1[[#This Row],[premium_yearly]]*Table1[[#This Row],[tenure_years]]</f>
        <v>3413.7828000000004</v>
      </c>
      <c r="Z960" s="2">
        <f>Table1[[#This Row],[total_collected_premiums]]*(1-$AD$2)</f>
        <v>2492.0614440000004</v>
      </c>
      <c r="AA960" s="2">
        <f>Table1[[#This Row],[retained_premium]]-Table1[[#This Row],[claim_amount_paid]]</f>
        <v>-507.93855599999961</v>
      </c>
    </row>
    <row r="961" spans="1:27" x14ac:dyDescent="0.35">
      <c r="A961" t="s">
        <v>2922</v>
      </c>
      <c r="B961" t="s">
        <v>2923</v>
      </c>
      <c r="C961" t="s">
        <v>2924</v>
      </c>
      <c r="D961" s="1">
        <v>42400</v>
      </c>
      <c r="E961" s="1">
        <v>44219</v>
      </c>
      <c r="F961" s="1">
        <v>44221</v>
      </c>
      <c r="G961">
        <v>2</v>
      </c>
      <c r="H961">
        <v>73.790000000000006</v>
      </c>
      <c r="I961">
        <v>885.48</v>
      </c>
      <c r="J961">
        <v>9000</v>
      </c>
      <c r="K961" t="s">
        <v>27</v>
      </c>
      <c r="L961">
        <v>9000</v>
      </c>
      <c r="M961">
        <v>7.75</v>
      </c>
      <c r="N961" t="s">
        <v>28</v>
      </c>
      <c r="O961">
        <v>93</v>
      </c>
      <c r="P961">
        <v>48</v>
      </c>
      <c r="Q961">
        <v>0</v>
      </c>
      <c r="R961">
        <v>2</v>
      </c>
      <c r="S961" t="s">
        <v>29</v>
      </c>
      <c r="T961" t="s">
        <v>30</v>
      </c>
      <c r="U961" t="s">
        <v>66</v>
      </c>
      <c r="V961" t="s">
        <v>45</v>
      </c>
      <c r="W961">
        <v>0</v>
      </c>
      <c r="X961">
        <v>1</v>
      </c>
      <c r="Y961" s="2">
        <f>Table1[[#This Row],[premium_yearly]]*Table1[[#This Row],[tenure_years]]</f>
        <v>6862.47</v>
      </c>
      <c r="Z961" s="2">
        <f>Table1[[#This Row],[total_collected_premiums]]*(1-$AD$2)</f>
        <v>5009.6031000000003</v>
      </c>
      <c r="AA961" s="2">
        <f>Table1[[#This Row],[retained_premium]]-Table1[[#This Row],[claim_amount_paid]]</f>
        <v>-3990.3968999999997</v>
      </c>
    </row>
    <row r="962" spans="1:27" x14ac:dyDescent="0.35">
      <c r="A962" t="s">
        <v>2925</v>
      </c>
      <c r="B962" t="s">
        <v>2926</v>
      </c>
      <c r="C962" t="s">
        <v>2927</v>
      </c>
      <c r="D962" s="1">
        <v>43390</v>
      </c>
      <c r="E962" s="1">
        <v>44208</v>
      </c>
      <c r="F962" s="1">
        <v>44213</v>
      </c>
      <c r="G962">
        <v>5</v>
      </c>
      <c r="H962">
        <v>78.08</v>
      </c>
      <c r="I962">
        <v>936.96</v>
      </c>
      <c r="J962">
        <v>10000</v>
      </c>
      <c r="K962" t="s">
        <v>27</v>
      </c>
      <c r="L962">
        <v>10000</v>
      </c>
      <c r="M962">
        <v>4.67</v>
      </c>
      <c r="N962" t="s">
        <v>36</v>
      </c>
      <c r="O962">
        <v>56</v>
      </c>
      <c r="P962">
        <v>35</v>
      </c>
      <c r="Q962">
        <v>1</v>
      </c>
      <c r="R962">
        <v>2</v>
      </c>
      <c r="S962" t="s">
        <v>65</v>
      </c>
      <c r="T962" t="s">
        <v>50</v>
      </c>
      <c r="U962" t="s">
        <v>38</v>
      </c>
      <c r="V962" t="s">
        <v>39</v>
      </c>
      <c r="W962">
        <v>0</v>
      </c>
      <c r="X962">
        <v>0</v>
      </c>
      <c r="Y962" s="2">
        <f>Table1[[#This Row],[premium_yearly]]*Table1[[#This Row],[tenure_years]]</f>
        <v>4375.6032000000005</v>
      </c>
      <c r="Z962" s="2">
        <f>Table1[[#This Row],[total_collected_premiums]]*(1-$AD$2)</f>
        <v>3194.1903360000001</v>
      </c>
      <c r="AA962" s="2">
        <f>Table1[[#This Row],[retained_premium]]-Table1[[#This Row],[claim_amount_paid]]</f>
        <v>-6805.8096640000003</v>
      </c>
    </row>
    <row r="963" spans="1:27" x14ac:dyDescent="0.35">
      <c r="A963" t="s">
        <v>2928</v>
      </c>
      <c r="B963" t="s">
        <v>2929</v>
      </c>
      <c r="C963" t="s">
        <v>2930</v>
      </c>
      <c r="D963" s="1">
        <v>41556</v>
      </c>
      <c r="E963" s="1">
        <v>44209</v>
      </c>
      <c r="F963" s="1">
        <v>44214</v>
      </c>
      <c r="G963">
        <v>5</v>
      </c>
      <c r="H963">
        <v>110.01</v>
      </c>
      <c r="I963">
        <v>1320.12</v>
      </c>
      <c r="J963">
        <v>9000</v>
      </c>
      <c r="K963" t="s">
        <v>27</v>
      </c>
      <c r="L963">
        <v>9000</v>
      </c>
      <c r="M963">
        <v>4.83</v>
      </c>
      <c r="N963" t="s">
        <v>49</v>
      </c>
      <c r="O963">
        <v>58</v>
      </c>
      <c r="P963">
        <v>60</v>
      </c>
      <c r="Q963">
        <v>0</v>
      </c>
      <c r="R963">
        <v>5</v>
      </c>
      <c r="S963" t="s">
        <v>29</v>
      </c>
      <c r="T963" t="s">
        <v>44</v>
      </c>
      <c r="U963" t="s">
        <v>38</v>
      </c>
      <c r="V963" t="s">
        <v>45</v>
      </c>
      <c r="W963">
        <v>0</v>
      </c>
      <c r="X963">
        <v>1</v>
      </c>
      <c r="Y963" s="2">
        <f>Table1[[#This Row],[premium_yearly]]*Table1[[#This Row],[tenure_years]]</f>
        <v>6376.1795999999995</v>
      </c>
      <c r="Z963" s="2">
        <f>Table1[[#This Row],[total_collected_premiums]]*(1-$AD$2)</f>
        <v>4654.6111079999991</v>
      </c>
      <c r="AA963" s="2">
        <f>Table1[[#This Row],[retained_premium]]-Table1[[#This Row],[claim_amount_paid]]</f>
        <v>-4345.3888920000009</v>
      </c>
    </row>
    <row r="964" spans="1:27" x14ac:dyDescent="0.35">
      <c r="A964" t="s">
        <v>2931</v>
      </c>
      <c r="B964" t="s">
        <v>2932</v>
      </c>
      <c r="C964" t="s">
        <v>2933</v>
      </c>
      <c r="D964" s="1">
        <v>40577</v>
      </c>
      <c r="E964" s="1">
        <v>44224</v>
      </c>
      <c r="F964" s="1">
        <v>44224</v>
      </c>
      <c r="G964">
        <v>0</v>
      </c>
      <c r="H964">
        <v>122.3</v>
      </c>
      <c r="I964">
        <v>1467.6</v>
      </c>
      <c r="J964">
        <v>2000</v>
      </c>
      <c r="K964" t="s">
        <v>27</v>
      </c>
      <c r="L964">
        <v>2000</v>
      </c>
      <c r="M964">
        <v>6.25</v>
      </c>
      <c r="N964" t="s">
        <v>36</v>
      </c>
      <c r="O964">
        <v>75</v>
      </c>
      <c r="P964">
        <v>48</v>
      </c>
      <c r="Q964">
        <v>1</v>
      </c>
      <c r="R964">
        <v>2</v>
      </c>
      <c r="S964" t="s">
        <v>65</v>
      </c>
      <c r="T964" t="s">
        <v>30</v>
      </c>
      <c r="U964" t="s">
        <v>88</v>
      </c>
      <c r="V964" t="s">
        <v>32</v>
      </c>
      <c r="W964">
        <v>1</v>
      </c>
      <c r="X964">
        <v>0</v>
      </c>
      <c r="Y964" s="2">
        <f>Table1[[#This Row],[premium_yearly]]*Table1[[#This Row],[tenure_years]]</f>
        <v>9172.5</v>
      </c>
      <c r="Z964" s="2">
        <f>Table1[[#This Row],[total_collected_premiums]]*(1-$AD$2)</f>
        <v>6695.9250000000002</v>
      </c>
      <c r="AA964" s="2">
        <f>Table1[[#This Row],[retained_premium]]-Table1[[#This Row],[claim_amount_paid]]</f>
        <v>4695.9250000000002</v>
      </c>
    </row>
    <row r="965" spans="1:27" x14ac:dyDescent="0.35">
      <c r="A965" t="s">
        <v>2934</v>
      </c>
      <c r="B965" t="s">
        <v>2935</v>
      </c>
      <c r="C965" t="s">
        <v>2936</v>
      </c>
      <c r="D965" s="1">
        <v>43502</v>
      </c>
      <c r="E965" s="1">
        <v>44209</v>
      </c>
      <c r="F965" s="1">
        <v>44214</v>
      </c>
      <c r="G965">
        <v>5</v>
      </c>
      <c r="H965">
        <v>73.72</v>
      </c>
      <c r="I965">
        <v>884.64</v>
      </c>
      <c r="J965">
        <v>9000</v>
      </c>
      <c r="K965" t="s">
        <v>27</v>
      </c>
      <c r="L965">
        <v>9000</v>
      </c>
      <c r="M965">
        <v>2.92</v>
      </c>
      <c r="N965" t="s">
        <v>49</v>
      </c>
      <c r="O965">
        <v>35</v>
      </c>
      <c r="P965">
        <v>30</v>
      </c>
      <c r="Q965">
        <v>1</v>
      </c>
      <c r="R965">
        <v>3</v>
      </c>
      <c r="S965" t="s">
        <v>29</v>
      </c>
      <c r="T965" t="s">
        <v>30</v>
      </c>
      <c r="U965" t="s">
        <v>51</v>
      </c>
      <c r="V965" t="s">
        <v>39</v>
      </c>
      <c r="W965">
        <v>1</v>
      </c>
      <c r="X965">
        <v>1</v>
      </c>
      <c r="Y965" s="2">
        <f>Table1[[#This Row],[premium_yearly]]*Table1[[#This Row],[tenure_years]]</f>
        <v>2583.1487999999999</v>
      </c>
      <c r="Z965" s="2">
        <f>Table1[[#This Row],[total_collected_premiums]]*(1-$AD$2)</f>
        <v>1885.6986239999999</v>
      </c>
      <c r="AA965" s="2">
        <f>Table1[[#This Row],[retained_premium]]-Table1[[#This Row],[claim_amount_paid]]</f>
        <v>-7114.3013760000003</v>
      </c>
    </row>
    <row r="966" spans="1:27" x14ac:dyDescent="0.35">
      <c r="A966" t="s">
        <v>2937</v>
      </c>
      <c r="B966" t="s">
        <v>2938</v>
      </c>
      <c r="C966" t="s">
        <v>2939</v>
      </c>
      <c r="D966" s="1">
        <v>42347</v>
      </c>
      <c r="E966" s="1">
        <v>44220</v>
      </c>
      <c r="F966" s="1">
        <v>44222</v>
      </c>
      <c r="G966">
        <v>2</v>
      </c>
      <c r="H966">
        <v>94.17</v>
      </c>
      <c r="I966">
        <v>1130.04</v>
      </c>
      <c r="J966">
        <v>8000</v>
      </c>
      <c r="K966" t="s">
        <v>43</v>
      </c>
      <c r="L966">
        <v>0</v>
      </c>
      <c r="M966">
        <v>1.25</v>
      </c>
      <c r="N966" t="s">
        <v>28</v>
      </c>
      <c r="O966">
        <v>15</v>
      </c>
      <c r="P966">
        <v>41</v>
      </c>
      <c r="Q966">
        <v>1</v>
      </c>
      <c r="R966">
        <v>4</v>
      </c>
      <c r="S966" t="s">
        <v>29</v>
      </c>
      <c r="T966" t="s">
        <v>30</v>
      </c>
      <c r="U966" t="s">
        <v>38</v>
      </c>
      <c r="V966" t="s">
        <v>39</v>
      </c>
      <c r="W966">
        <v>1</v>
      </c>
      <c r="X966">
        <v>1</v>
      </c>
      <c r="Y966" s="2">
        <f>Table1[[#This Row],[premium_yearly]]*Table1[[#This Row],[tenure_years]]</f>
        <v>1412.55</v>
      </c>
      <c r="Z966" s="2">
        <f>Table1[[#This Row],[total_collected_premiums]]*(1-$AD$2)</f>
        <v>1031.1614999999999</v>
      </c>
      <c r="AA966" s="2">
        <f>Table1[[#This Row],[retained_premium]]-Table1[[#This Row],[claim_amount_paid]]</f>
        <v>1031.1614999999999</v>
      </c>
    </row>
    <row r="967" spans="1:27" x14ac:dyDescent="0.35">
      <c r="A967" t="s">
        <v>2940</v>
      </c>
      <c r="B967" t="s">
        <v>2941</v>
      </c>
      <c r="C967" t="s">
        <v>2942</v>
      </c>
      <c r="D967" s="1">
        <v>42430</v>
      </c>
      <c r="E967" s="1">
        <v>44226</v>
      </c>
      <c r="F967" s="1">
        <v>44226</v>
      </c>
      <c r="G967">
        <v>0</v>
      </c>
      <c r="H967">
        <v>112.23</v>
      </c>
      <c r="I967">
        <v>1346.76</v>
      </c>
      <c r="J967">
        <v>3000</v>
      </c>
      <c r="K967" t="s">
        <v>27</v>
      </c>
      <c r="L967">
        <v>3000</v>
      </c>
      <c r="M967">
        <v>5.08</v>
      </c>
      <c r="N967" t="s">
        <v>49</v>
      </c>
      <c r="O967">
        <v>61</v>
      </c>
      <c r="P967">
        <v>30</v>
      </c>
      <c r="Q967">
        <v>1</v>
      </c>
      <c r="R967">
        <v>3</v>
      </c>
      <c r="S967" t="s">
        <v>29</v>
      </c>
      <c r="T967" t="s">
        <v>44</v>
      </c>
      <c r="U967" t="s">
        <v>38</v>
      </c>
      <c r="V967" t="s">
        <v>45</v>
      </c>
      <c r="W967">
        <v>0</v>
      </c>
      <c r="X967">
        <v>1</v>
      </c>
      <c r="Y967" s="2">
        <f>Table1[[#This Row],[premium_yearly]]*Table1[[#This Row],[tenure_years]]</f>
        <v>6841.5407999999998</v>
      </c>
      <c r="Z967" s="2">
        <f>Table1[[#This Row],[total_collected_premiums]]*(1-$AD$2)</f>
        <v>4994.3247839999995</v>
      </c>
      <c r="AA967" s="2">
        <f>Table1[[#This Row],[retained_premium]]-Table1[[#This Row],[claim_amount_paid]]</f>
        <v>1994.3247839999995</v>
      </c>
    </row>
    <row r="968" spans="1:27" x14ac:dyDescent="0.35">
      <c r="A968" t="s">
        <v>2943</v>
      </c>
      <c r="B968" t="s">
        <v>2944</v>
      </c>
      <c r="C968" t="s">
        <v>2945</v>
      </c>
      <c r="D968" s="1">
        <v>41739</v>
      </c>
      <c r="E968" s="1">
        <v>44210</v>
      </c>
      <c r="F968" s="1">
        <v>44215</v>
      </c>
      <c r="G968">
        <v>5</v>
      </c>
      <c r="H968">
        <v>108.16</v>
      </c>
      <c r="I968">
        <v>1297.92</v>
      </c>
      <c r="J968">
        <v>10000</v>
      </c>
      <c r="K968" t="s">
        <v>27</v>
      </c>
      <c r="L968">
        <v>10000</v>
      </c>
      <c r="M968">
        <v>1.75</v>
      </c>
      <c r="N968" t="s">
        <v>28</v>
      </c>
      <c r="O968">
        <v>21</v>
      </c>
      <c r="P968">
        <v>26</v>
      </c>
      <c r="Q968">
        <v>1</v>
      </c>
      <c r="R968">
        <v>5</v>
      </c>
      <c r="S968" t="s">
        <v>65</v>
      </c>
      <c r="T968" t="s">
        <v>30</v>
      </c>
      <c r="U968" t="s">
        <v>38</v>
      </c>
      <c r="V968" t="s">
        <v>39</v>
      </c>
      <c r="W968">
        <v>1</v>
      </c>
      <c r="X968">
        <v>1</v>
      </c>
      <c r="Y968" s="2">
        <f>Table1[[#This Row],[premium_yearly]]*Table1[[#This Row],[tenure_years]]</f>
        <v>2271.36</v>
      </c>
      <c r="Z968" s="2">
        <f>Table1[[#This Row],[total_collected_premiums]]*(1-$AD$2)</f>
        <v>1658.0928000000001</v>
      </c>
      <c r="AA968" s="2">
        <f>Table1[[#This Row],[retained_premium]]-Table1[[#This Row],[claim_amount_paid]]</f>
        <v>-8341.9071999999996</v>
      </c>
    </row>
    <row r="969" spans="1:27" x14ac:dyDescent="0.35">
      <c r="A969" t="s">
        <v>2946</v>
      </c>
      <c r="B969" t="s">
        <v>2947</v>
      </c>
      <c r="C969" t="s">
        <v>2948</v>
      </c>
      <c r="D969" s="1">
        <v>42918</v>
      </c>
      <c r="E969" s="1">
        <v>44220</v>
      </c>
      <c r="F969" s="1">
        <v>44223</v>
      </c>
      <c r="G969">
        <v>3</v>
      </c>
      <c r="H969">
        <v>132.63999999999999</v>
      </c>
      <c r="I969">
        <v>1591.68</v>
      </c>
      <c r="J969">
        <v>4000</v>
      </c>
      <c r="K969" t="s">
        <v>27</v>
      </c>
      <c r="L969">
        <v>4000</v>
      </c>
      <c r="M969">
        <v>7.08</v>
      </c>
      <c r="N969" t="s">
        <v>28</v>
      </c>
      <c r="O969">
        <v>85</v>
      </c>
      <c r="P969">
        <v>57</v>
      </c>
      <c r="Q969">
        <v>1</v>
      </c>
      <c r="R969">
        <v>3</v>
      </c>
      <c r="S969" t="s">
        <v>29</v>
      </c>
      <c r="T969" t="s">
        <v>44</v>
      </c>
      <c r="U969" t="s">
        <v>38</v>
      </c>
      <c r="V969" t="s">
        <v>39</v>
      </c>
      <c r="W969">
        <v>1</v>
      </c>
      <c r="X969">
        <v>1</v>
      </c>
      <c r="Y969" s="2">
        <f>Table1[[#This Row],[premium_yearly]]*Table1[[#This Row],[tenure_years]]</f>
        <v>11269.0944</v>
      </c>
      <c r="Z969" s="2">
        <f>Table1[[#This Row],[total_collected_premiums]]*(1-$AD$2)</f>
        <v>8226.4389119999996</v>
      </c>
      <c r="AA969" s="2">
        <f>Table1[[#This Row],[retained_premium]]-Table1[[#This Row],[claim_amount_paid]]</f>
        <v>4226.4389119999996</v>
      </c>
    </row>
    <row r="970" spans="1:27" x14ac:dyDescent="0.35">
      <c r="A970" t="s">
        <v>2949</v>
      </c>
      <c r="B970" t="s">
        <v>2950</v>
      </c>
      <c r="C970" t="s">
        <v>2951</v>
      </c>
      <c r="D970" s="1">
        <v>41857</v>
      </c>
      <c r="E970" s="1">
        <v>44223</v>
      </c>
      <c r="F970" s="1">
        <v>44224</v>
      </c>
      <c r="G970">
        <v>1</v>
      </c>
      <c r="H970">
        <v>128.55000000000001</v>
      </c>
      <c r="I970">
        <v>1542.6</v>
      </c>
      <c r="J970">
        <v>7000</v>
      </c>
      <c r="K970" t="s">
        <v>27</v>
      </c>
      <c r="L970">
        <v>7000</v>
      </c>
      <c r="M970">
        <v>1.67</v>
      </c>
      <c r="N970" t="s">
        <v>28</v>
      </c>
      <c r="O970">
        <v>20</v>
      </c>
      <c r="P970">
        <v>35</v>
      </c>
      <c r="Q970">
        <v>1</v>
      </c>
      <c r="R970">
        <v>4</v>
      </c>
      <c r="S970" t="s">
        <v>65</v>
      </c>
      <c r="T970" t="s">
        <v>44</v>
      </c>
      <c r="U970" t="s">
        <v>31</v>
      </c>
      <c r="V970" t="s">
        <v>45</v>
      </c>
      <c r="W970">
        <v>0</v>
      </c>
      <c r="X970">
        <v>1</v>
      </c>
      <c r="Y970" s="2">
        <f>Table1[[#This Row],[premium_yearly]]*Table1[[#This Row],[tenure_years]]</f>
        <v>2576.1419999999998</v>
      </c>
      <c r="Z970" s="2">
        <f>Table1[[#This Row],[total_collected_premiums]]*(1-$AD$2)</f>
        <v>1880.5836599999998</v>
      </c>
      <c r="AA970" s="2">
        <f>Table1[[#This Row],[retained_premium]]-Table1[[#This Row],[claim_amount_paid]]</f>
        <v>-5119.4163399999998</v>
      </c>
    </row>
    <row r="971" spans="1:27" x14ac:dyDescent="0.35">
      <c r="A971" t="s">
        <v>2952</v>
      </c>
      <c r="B971" t="s">
        <v>2953</v>
      </c>
      <c r="C971" t="s">
        <v>2954</v>
      </c>
      <c r="D971" s="1">
        <v>41782</v>
      </c>
      <c r="E971" s="1">
        <v>44225</v>
      </c>
      <c r="F971" s="1">
        <v>44225</v>
      </c>
      <c r="G971">
        <v>0</v>
      </c>
      <c r="H971">
        <v>83.14</v>
      </c>
      <c r="I971">
        <v>997.68</v>
      </c>
      <c r="J971">
        <v>4000</v>
      </c>
      <c r="K971" t="s">
        <v>27</v>
      </c>
      <c r="L971">
        <v>4000</v>
      </c>
      <c r="M971">
        <v>5.42</v>
      </c>
      <c r="N971" t="s">
        <v>36</v>
      </c>
      <c r="O971">
        <v>65</v>
      </c>
      <c r="P971">
        <v>43</v>
      </c>
      <c r="Q971">
        <v>1</v>
      </c>
      <c r="R971">
        <v>2</v>
      </c>
      <c r="S971" t="s">
        <v>29</v>
      </c>
      <c r="T971" t="s">
        <v>30</v>
      </c>
      <c r="U971" t="s">
        <v>38</v>
      </c>
      <c r="V971" t="s">
        <v>45</v>
      </c>
      <c r="W971">
        <v>1</v>
      </c>
      <c r="X971">
        <v>1</v>
      </c>
      <c r="Y971" s="2">
        <f>Table1[[#This Row],[premium_yearly]]*Table1[[#This Row],[tenure_years]]</f>
        <v>5407.4255999999996</v>
      </c>
      <c r="Z971" s="2">
        <f>Table1[[#This Row],[total_collected_premiums]]*(1-$AD$2)</f>
        <v>3947.4206879999997</v>
      </c>
      <c r="AA971" s="2">
        <f>Table1[[#This Row],[retained_premium]]-Table1[[#This Row],[claim_amount_paid]]</f>
        <v>-52.5793120000003</v>
      </c>
    </row>
    <row r="972" spans="1:27" x14ac:dyDescent="0.35">
      <c r="A972" t="s">
        <v>2955</v>
      </c>
      <c r="B972" t="s">
        <v>2956</v>
      </c>
      <c r="C972" t="s">
        <v>2957</v>
      </c>
      <c r="D972" s="1">
        <v>42522</v>
      </c>
      <c r="E972" s="1">
        <v>44225</v>
      </c>
      <c r="F972" s="1">
        <v>44225</v>
      </c>
      <c r="G972">
        <v>0</v>
      </c>
      <c r="H972">
        <v>85.75</v>
      </c>
      <c r="I972">
        <v>1029</v>
      </c>
      <c r="J972">
        <v>9000</v>
      </c>
      <c r="K972" t="s">
        <v>27</v>
      </c>
      <c r="L972">
        <v>9000</v>
      </c>
      <c r="M972">
        <v>6.08</v>
      </c>
      <c r="N972" t="s">
        <v>28</v>
      </c>
      <c r="O972">
        <v>73</v>
      </c>
      <c r="P972">
        <v>45</v>
      </c>
      <c r="Q972">
        <v>1</v>
      </c>
      <c r="R972">
        <v>2</v>
      </c>
      <c r="S972" t="s">
        <v>29</v>
      </c>
      <c r="T972" t="s">
        <v>44</v>
      </c>
      <c r="U972" t="s">
        <v>31</v>
      </c>
      <c r="V972" t="s">
        <v>32</v>
      </c>
      <c r="W972">
        <v>1</v>
      </c>
      <c r="X972">
        <v>1</v>
      </c>
      <c r="Y972" s="2">
        <f>Table1[[#This Row],[premium_yearly]]*Table1[[#This Row],[tenure_years]]</f>
        <v>6256.32</v>
      </c>
      <c r="Z972" s="2">
        <f>Table1[[#This Row],[total_collected_premiums]]*(1-$AD$2)</f>
        <v>4567.1135999999997</v>
      </c>
      <c r="AA972" s="2">
        <f>Table1[[#This Row],[retained_premium]]-Table1[[#This Row],[claim_amount_paid]]</f>
        <v>-4432.8864000000003</v>
      </c>
    </row>
    <row r="973" spans="1:27" x14ac:dyDescent="0.35">
      <c r="A973" t="s">
        <v>2958</v>
      </c>
      <c r="B973" t="s">
        <v>2959</v>
      </c>
      <c r="C973" t="s">
        <v>2960</v>
      </c>
      <c r="D973" s="1">
        <v>43590</v>
      </c>
      <c r="E973" s="1">
        <v>44216</v>
      </c>
      <c r="F973" s="1">
        <v>44221</v>
      </c>
      <c r="G973">
        <v>5</v>
      </c>
      <c r="H973">
        <v>110.42</v>
      </c>
      <c r="I973">
        <v>1325.04</v>
      </c>
      <c r="J973">
        <v>4000</v>
      </c>
      <c r="K973" t="s">
        <v>27</v>
      </c>
      <c r="L973">
        <v>4000</v>
      </c>
      <c r="M973">
        <v>1.58</v>
      </c>
      <c r="N973" t="s">
        <v>28</v>
      </c>
      <c r="O973">
        <v>19</v>
      </c>
      <c r="P973">
        <v>28</v>
      </c>
      <c r="Q973">
        <v>1</v>
      </c>
      <c r="R973">
        <v>3</v>
      </c>
      <c r="S973" t="s">
        <v>37</v>
      </c>
      <c r="T973" t="s">
        <v>44</v>
      </c>
      <c r="U973" t="s">
        <v>31</v>
      </c>
      <c r="V973" t="s">
        <v>39</v>
      </c>
      <c r="W973">
        <v>1</v>
      </c>
      <c r="X973">
        <v>1</v>
      </c>
      <c r="Y973" s="2">
        <f>Table1[[#This Row],[premium_yearly]]*Table1[[#This Row],[tenure_years]]</f>
        <v>2093.5632000000001</v>
      </c>
      <c r="Z973" s="2">
        <f>Table1[[#This Row],[total_collected_premiums]]*(1-$AD$2)</f>
        <v>1528.301136</v>
      </c>
      <c r="AA973" s="2">
        <f>Table1[[#This Row],[retained_premium]]-Table1[[#This Row],[claim_amount_paid]]</f>
        <v>-2471.698864</v>
      </c>
    </row>
    <row r="974" spans="1:27" x14ac:dyDescent="0.35">
      <c r="A974" t="s">
        <v>2961</v>
      </c>
      <c r="B974" t="s">
        <v>2962</v>
      </c>
      <c r="C974" t="s">
        <v>2963</v>
      </c>
      <c r="D974" s="1">
        <v>40711</v>
      </c>
      <c r="E974" s="1">
        <v>44214</v>
      </c>
      <c r="F974" s="1">
        <v>44219</v>
      </c>
      <c r="G974">
        <v>5</v>
      </c>
      <c r="H974">
        <v>136.94999999999999</v>
      </c>
      <c r="I974">
        <v>1643.4</v>
      </c>
      <c r="J974">
        <v>7000</v>
      </c>
      <c r="K974" t="s">
        <v>27</v>
      </c>
      <c r="L974">
        <v>7000</v>
      </c>
      <c r="M974">
        <v>3.17</v>
      </c>
      <c r="N974" t="s">
        <v>36</v>
      </c>
      <c r="O974">
        <v>38</v>
      </c>
      <c r="P974">
        <v>25</v>
      </c>
      <c r="Q974">
        <v>1</v>
      </c>
      <c r="R974">
        <v>4</v>
      </c>
      <c r="S974" t="s">
        <v>65</v>
      </c>
      <c r="T974" t="s">
        <v>30</v>
      </c>
      <c r="U974" t="s">
        <v>66</v>
      </c>
      <c r="V974" t="s">
        <v>39</v>
      </c>
      <c r="W974">
        <v>1</v>
      </c>
      <c r="X974">
        <v>0</v>
      </c>
      <c r="Y974" s="2">
        <f>Table1[[#This Row],[premium_yearly]]*Table1[[#This Row],[tenure_years]]</f>
        <v>5209.5780000000004</v>
      </c>
      <c r="Z974" s="2">
        <f>Table1[[#This Row],[total_collected_premiums]]*(1-$AD$2)</f>
        <v>3802.9919400000003</v>
      </c>
      <c r="AA974" s="2">
        <f>Table1[[#This Row],[retained_premium]]-Table1[[#This Row],[claim_amount_paid]]</f>
        <v>-3197.0080599999997</v>
      </c>
    </row>
    <row r="975" spans="1:27" x14ac:dyDescent="0.35">
      <c r="A975" t="s">
        <v>2964</v>
      </c>
      <c r="B975" t="s">
        <v>2965</v>
      </c>
      <c r="C975" t="s">
        <v>2966</v>
      </c>
      <c r="D975" s="1">
        <v>42987</v>
      </c>
      <c r="E975" s="1">
        <v>44210</v>
      </c>
      <c r="F975" s="1">
        <v>44215</v>
      </c>
      <c r="G975">
        <v>5</v>
      </c>
      <c r="H975">
        <v>77.77</v>
      </c>
      <c r="I975">
        <v>933.24</v>
      </c>
      <c r="J975">
        <v>9000</v>
      </c>
      <c r="K975" t="s">
        <v>27</v>
      </c>
      <c r="L975">
        <v>9000</v>
      </c>
      <c r="M975">
        <v>3.67</v>
      </c>
      <c r="N975" t="s">
        <v>49</v>
      </c>
      <c r="O975">
        <v>44</v>
      </c>
      <c r="P975">
        <v>53</v>
      </c>
      <c r="Q975">
        <v>1</v>
      </c>
      <c r="R975">
        <v>7</v>
      </c>
      <c r="S975" t="s">
        <v>29</v>
      </c>
      <c r="T975" t="s">
        <v>30</v>
      </c>
      <c r="U975" t="s">
        <v>38</v>
      </c>
      <c r="V975" t="s">
        <v>45</v>
      </c>
      <c r="W975">
        <v>1</v>
      </c>
      <c r="X975">
        <v>1</v>
      </c>
      <c r="Y975" s="2">
        <f>Table1[[#This Row],[premium_yearly]]*Table1[[#This Row],[tenure_years]]</f>
        <v>3424.9908</v>
      </c>
      <c r="Z975" s="2">
        <f>Table1[[#This Row],[total_collected_premiums]]*(1-$AD$2)</f>
        <v>2500.2432840000001</v>
      </c>
      <c r="AA975" s="2">
        <f>Table1[[#This Row],[retained_premium]]-Table1[[#This Row],[claim_amount_paid]]</f>
        <v>-6499.7567159999999</v>
      </c>
    </row>
    <row r="976" spans="1:27" x14ac:dyDescent="0.35">
      <c r="A976" t="s">
        <v>2967</v>
      </c>
      <c r="B976" t="s">
        <v>2968</v>
      </c>
      <c r="C976" t="s">
        <v>2969</v>
      </c>
      <c r="D976" s="1">
        <v>43738</v>
      </c>
      <c r="E976" s="1">
        <v>44229</v>
      </c>
      <c r="F976" s="1">
        <v>44229</v>
      </c>
      <c r="G976">
        <v>0</v>
      </c>
      <c r="H976">
        <v>136.66</v>
      </c>
      <c r="I976">
        <v>1639.92</v>
      </c>
      <c r="J976">
        <v>4000</v>
      </c>
      <c r="K976" t="s">
        <v>27</v>
      </c>
      <c r="L976">
        <v>4000</v>
      </c>
      <c r="M976">
        <v>5.25</v>
      </c>
      <c r="N976" t="s">
        <v>28</v>
      </c>
      <c r="O976">
        <v>63</v>
      </c>
      <c r="P976">
        <v>30</v>
      </c>
      <c r="Q976">
        <v>1</v>
      </c>
      <c r="R976">
        <v>3</v>
      </c>
      <c r="S976" t="s">
        <v>29</v>
      </c>
      <c r="T976" t="s">
        <v>30</v>
      </c>
      <c r="U976" t="s">
        <v>31</v>
      </c>
      <c r="V976" t="s">
        <v>32</v>
      </c>
      <c r="W976">
        <v>0</v>
      </c>
      <c r="X976">
        <v>1</v>
      </c>
      <c r="Y976" s="2">
        <f>Table1[[#This Row],[premium_yearly]]*Table1[[#This Row],[tenure_years]]</f>
        <v>8609.58</v>
      </c>
      <c r="Z976" s="2">
        <f>Table1[[#This Row],[total_collected_premiums]]*(1-$AD$2)</f>
        <v>6284.9933999999994</v>
      </c>
      <c r="AA976" s="2">
        <f>Table1[[#This Row],[retained_premium]]-Table1[[#This Row],[claim_amount_paid]]</f>
        <v>2284.9933999999994</v>
      </c>
    </row>
    <row r="977" spans="1:27" x14ac:dyDescent="0.35">
      <c r="A977" t="s">
        <v>2970</v>
      </c>
      <c r="B977" t="s">
        <v>2971</v>
      </c>
      <c r="C977" t="s">
        <v>2972</v>
      </c>
      <c r="D977" s="1">
        <v>41460</v>
      </c>
      <c r="E977" s="1">
        <v>44221</v>
      </c>
      <c r="F977" s="1">
        <v>44224</v>
      </c>
      <c r="G977">
        <v>3</v>
      </c>
      <c r="H977">
        <v>71.150000000000006</v>
      </c>
      <c r="I977">
        <v>853.8</v>
      </c>
      <c r="J977">
        <v>10000</v>
      </c>
      <c r="K977" t="s">
        <v>27</v>
      </c>
      <c r="L977">
        <v>10000</v>
      </c>
      <c r="M977">
        <v>4.33</v>
      </c>
      <c r="N977" t="s">
        <v>28</v>
      </c>
      <c r="O977">
        <v>52</v>
      </c>
      <c r="P977">
        <v>40</v>
      </c>
      <c r="Q977">
        <v>1</v>
      </c>
      <c r="R977">
        <v>3</v>
      </c>
      <c r="S977" t="s">
        <v>29</v>
      </c>
      <c r="T977" t="s">
        <v>30</v>
      </c>
      <c r="U977" t="s">
        <v>38</v>
      </c>
      <c r="V977" t="s">
        <v>39</v>
      </c>
      <c r="W977">
        <v>1</v>
      </c>
      <c r="X977">
        <v>0</v>
      </c>
      <c r="Y977" s="2">
        <f>Table1[[#This Row],[premium_yearly]]*Table1[[#This Row],[tenure_years]]</f>
        <v>3696.9539999999997</v>
      </c>
      <c r="Z977" s="2">
        <f>Table1[[#This Row],[total_collected_premiums]]*(1-$AD$2)</f>
        <v>2698.7764199999997</v>
      </c>
      <c r="AA977" s="2">
        <f>Table1[[#This Row],[retained_premium]]-Table1[[#This Row],[claim_amount_paid]]</f>
        <v>-7301.2235799999999</v>
      </c>
    </row>
    <row r="978" spans="1:27" x14ac:dyDescent="0.35">
      <c r="A978" t="s">
        <v>2973</v>
      </c>
      <c r="B978" t="s">
        <v>2974</v>
      </c>
      <c r="C978" t="s">
        <v>2975</v>
      </c>
      <c r="D978" s="1">
        <v>43004</v>
      </c>
      <c r="E978" s="1">
        <v>44230</v>
      </c>
      <c r="F978" s="1">
        <v>44230</v>
      </c>
      <c r="G978">
        <v>0</v>
      </c>
      <c r="H978">
        <v>79.2</v>
      </c>
      <c r="I978">
        <v>950.4</v>
      </c>
      <c r="J978">
        <v>8000</v>
      </c>
      <c r="K978" t="s">
        <v>27</v>
      </c>
      <c r="L978">
        <v>8000</v>
      </c>
      <c r="M978">
        <v>5.92</v>
      </c>
      <c r="N978" t="s">
        <v>49</v>
      </c>
      <c r="O978">
        <v>71</v>
      </c>
      <c r="P978">
        <v>48</v>
      </c>
      <c r="Q978">
        <v>1</v>
      </c>
      <c r="R978">
        <v>5</v>
      </c>
      <c r="S978" t="s">
        <v>65</v>
      </c>
      <c r="T978" t="s">
        <v>44</v>
      </c>
      <c r="U978" t="s">
        <v>38</v>
      </c>
      <c r="V978" t="s">
        <v>32</v>
      </c>
      <c r="W978">
        <v>0</v>
      </c>
      <c r="X978">
        <v>1</v>
      </c>
      <c r="Y978" s="2">
        <f>Table1[[#This Row],[premium_yearly]]*Table1[[#This Row],[tenure_years]]</f>
        <v>5626.3679999999995</v>
      </c>
      <c r="Z978" s="2">
        <f>Table1[[#This Row],[total_collected_premiums]]*(1-$AD$2)</f>
        <v>4107.2486399999998</v>
      </c>
      <c r="AA978" s="2">
        <f>Table1[[#This Row],[retained_premium]]-Table1[[#This Row],[claim_amount_paid]]</f>
        <v>-3892.7513600000002</v>
      </c>
    </row>
    <row r="979" spans="1:27" x14ac:dyDescent="0.35">
      <c r="A979" t="s">
        <v>2976</v>
      </c>
      <c r="B979" t="s">
        <v>2977</v>
      </c>
      <c r="C979" t="s">
        <v>2978</v>
      </c>
      <c r="D979" s="1">
        <v>40458</v>
      </c>
      <c r="E979" s="1">
        <v>44217</v>
      </c>
      <c r="F979" s="1">
        <v>44222</v>
      </c>
      <c r="G979">
        <v>5</v>
      </c>
      <c r="H979">
        <v>129.66</v>
      </c>
      <c r="I979">
        <v>1555.92</v>
      </c>
      <c r="J979">
        <v>4000</v>
      </c>
      <c r="K979" t="s">
        <v>27</v>
      </c>
      <c r="L979">
        <v>4000</v>
      </c>
      <c r="M979">
        <v>8.67</v>
      </c>
      <c r="N979" t="s">
        <v>49</v>
      </c>
      <c r="O979">
        <v>104</v>
      </c>
      <c r="P979">
        <v>29</v>
      </c>
      <c r="Q979">
        <v>1</v>
      </c>
      <c r="R979">
        <v>3</v>
      </c>
      <c r="S979" t="s">
        <v>37</v>
      </c>
      <c r="T979" t="s">
        <v>50</v>
      </c>
      <c r="U979" t="s">
        <v>38</v>
      </c>
      <c r="V979" t="s">
        <v>39</v>
      </c>
      <c r="W979">
        <v>0</v>
      </c>
      <c r="X979">
        <v>0</v>
      </c>
      <c r="Y979" s="2">
        <f>Table1[[#This Row],[premium_yearly]]*Table1[[#This Row],[tenure_years]]</f>
        <v>13489.8264</v>
      </c>
      <c r="Z979" s="2">
        <f>Table1[[#This Row],[total_collected_premiums]]*(1-$AD$2)</f>
        <v>9847.5732719999996</v>
      </c>
      <c r="AA979" s="2">
        <f>Table1[[#This Row],[retained_premium]]-Table1[[#This Row],[claim_amount_paid]]</f>
        <v>5847.5732719999996</v>
      </c>
    </row>
    <row r="980" spans="1:27" x14ac:dyDescent="0.35">
      <c r="A980" t="s">
        <v>2979</v>
      </c>
      <c r="B980" t="s">
        <v>2980</v>
      </c>
      <c r="C980" t="s">
        <v>2981</v>
      </c>
      <c r="D980" s="1">
        <v>41200</v>
      </c>
      <c r="E980" s="1">
        <v>44226</v>
      </c>
      <c r="F980" s="1">
        <v>44228</v>
      </c>
      <c r="G980">
        <v>2</v>
      </c>
      <c r="H980">
        <v>109.55</v>
      </c>
      <c r="I980">
        <v>1314.6</v>
      </c>
      <c r="J980">
        <v>3000</v>
      </c>
      <c r="K980" t="s">
        <v>27</v>
      </c>
      <c r="L980">
        <v>3000</v>
      </c>
      <c r="M980">
        <v>1.33</v>
      </c>
      <c r="N980" t="s">
        <v>49</v>
      </c>
      <c r="O980">
        <v>16</v>
      </c>
      <c r="P980">
        <v>29</v>
      </c>
      <c r="Q980">
        <v>1</v>
      </c>
      <c r="R980">
        <v>5</v>
      </c>
      <c r="S980" t="s">
        <v>65</v>
      </c>
      <c r="T980" t="s">
        <v>44</v>
      </c>
      <c r="U980" t="s">
        <v>107</v>
      </c>
      <c r="V980" t="s">
        <v>45</v>
      </c>
      <c r="W980">
        <v>1</v>
      </c>
      <c r="X980">
        <v>1</v>
      </c>
      <c r="Y980" s="2">
        <f>Table1[[#This Row],[premium_yearly]]*Table1[[#This Row],[tenure_years]]</f>
        <v>1748.4179999999999</v>
      </c>
      <c r="Z980" s="2">
        <f>Table1[[#This Row],[total_collected_premiums]]*(1-$AD$2)</f>
        <v>1276.3451399999999</v>
      </c>
      <c r="AA980" s="2">
        <f>Table1[[#This Row],[retained_premium]]-Table1[[#This Row],[claim_amount_paid]]</f>
        <v>-1723.6548600000001</v>
      </c>
    </row>
    <row r="981" spans="1:27" x14ac:dyDescent="0.35">
      <c r="A981" t="s">
        <v>2982</v>
      </c>
      <c r="B981" t="s">
        <v>2983</v>
      </c>
      <c r="C981" t="s">
        <v>2984</v>
      </c>
      <c r="D981" s="1">
        <v>42552</v>
      </c>
      <c r="E981" s="1">
        <v>44232</v>
      </c>
      <c r="F981" s="1">
        <v>44232</v>
      </c>
      <c r="G981">
        <v>0</v>
      </c>
      <c r="H981">
        <v>86.01</v>
      </c>
      <c r="I981">
        <v>1032.1199999999999</v>
      </c>
      <c r="J981">
        <v>9000</v>
      </c>
      <c r="K981" t="s">
        <v>27</v>
      </c>
      <c r="L981">
        <v>9000</v>
      </c>
      <c r="M981">
        <v>6.42</v>
      </c>
      <c r="N981" t="s">
        <v>36</v>
      </c>
      <c r="O981">
        <v>77</v>
      </c>
      <c r="P981">
        <v>46</v>
      </c>
      <c r="Q981">
        <v>1</v>
      </c>
      <c r="R981">
        <v>7</v>
      </c>
      <c r="S981" t="s">
        <v>29</v>
      </c>
      <c r="T981" t="s">
        <v>50</v>
      </c>
      <c r="U981" t="s">
        <v>31</v>
      </c>
      <c r="V981" t="s">
        <v>45</v>
      </c>
      <c r="W981">
        <v>1</v>
      </c>
      <c r="X981">
        <v>1</v>
      </c>
      <c r="Y981" s="2">
        <f>Table1[[#This Row],[premium_yearly]]*Table1[[#This Row],[tenure_years]]</f>
        <v>6626.210399999999</v>
      </c>
      <c r="Z981" s="2">
        <f>Table1[[#This Row],[total_collected_premiums]]*(1-$AD$2)</f>
        <v>4837.1335919999992</v>
      </c>
      <c r="AA981" s="2">
        <f>Table1[[#This Row],[retained_premium]]-Table1[[#This Row],[claim_amount_paid]]</f>
        <v>-4162.8664080000008</v>
      </c>
    </row>
    <row r="982" spans="1:27" x14ac:dyDescent="0.35">
      <c r="A982" t="s">
        <v>2985</v>
      </c>
      <c r="B982" t="s">
        <v>2986</v>
      </c>
      <c r="C982" t="s">
        <v>2987</v>
      </c>
      <c r="D982" s="1">
        <v>42789</v>
      </c>
      <c r="E982" s="1">
        <v>44225</v>
      </c>
      <c r="F982" s="1">
        <v>44228</v>
      </c>
      <c r="G982">
        <v>3</v>
      </c>
      <c r="H982">
        <v>128.35</v>
      </c>
      <c r="I982">
        <v>1540.2</v>
      </c>
      <c r="J982">
        <v>10000</v>
      </c>
      <c r="K982" t="s">
        <v>43</v>
      </c>
      <c r="L982">
        <v>0</v>
      </c>
      <c r="M982">
        <v>8.5</v>
      </c>
      <c r="N982" t="s">
        <v>28</v>
      </c>
      <c r="O982">
        <v>102</v>
      </c>
      <c r="P982">
        <v>49</v>
      </c>
      <c r="Q982">
        <v>1</v>
      </c>
      <c r="R982">
        <v>7</v>
      </c>
      <c r="S982" t="s">
        <v>65</v>
      </c>
      <c r="T982" t="s">
        <v>44</v>
      </c>
      <c r="U982" t="s">
        <v>66</v>
      </c>
      <c r="V982" t="s">
        <v>39</v>
      </c>
      <c r="W982">
        <v>0</v>
      </c>
      <c r="X982">
        <v>1</v>
      </c>
      <c r="Y982" s="2">
        <f>Table1[[#This Row],[premium_yearly]]*Table1[[#This Row],[tenure_years]]</f>
        <v>13091.7</v>
      </c>
      <c r="Z982" s="2">
        <f>Table1[[#This Row],[total_collected_premiums]]*(1-$AD$2)</f>
        <v>9556.9410000000007</v>
      </c>
      <c r="AA982" s="2">
        <f>Table1[[#This Row],[retained_premium]]-Table1[[#This Row],[claim_amount_paid]]</f>
        <v>9556.9410000000007</v>
      </c>
    </row>
    <row r="983" spans="1:27" x14ac:dyDescent="0.35">
      <c r="A983" t="s">
        <v>2988</v>
      </c>
      <c r="B983" t="s">
        <v>2989</v>
      </c>
      <c r="C983" t="s">
        <v>2990</v>
      </c>
      <c r="D983" s="1">
        <v>42973</v>
      </c>
      <c r="E983" s="1">
        <v>44216</v>
      </c>
      <c r="F983" s="1">
        <v>44221</v>
      </c>
      <c r="G983">
        <v>5</v>
      </c>
      <c r="H983">
        <v>105.73</v>
      </c>
      <c r="I983">
        <v>1268.76</v>
      </c>
      <c r="J983">
        <v>10000</v>
      </c>
      <c r="K983" t="s">
        <v>27</v>
      </c>
      <c r="L983">
        <v>10000</v>
      </c>
      <c r="M983">
        <v>9.75</v>
      </c>
      <c r="N983" t="s">
        <v>36</v>
      </c>
      <c r="O983">
        <v>117</v>
      </c>
      <c r="P983">
        <v>39</v>
      </c>
      <c r="Q983">
        <v>0</v>
      </c>
      <c r="R983">
        <v>4</v>
      </c>
      <c r="S983" t="s">
        <v>29</v>
      </c>
      <c r="T983" t="s">
        <v>44</v>
      </c>
      <c r="U983" t="s">
        <v>58</v>
      </c>
      <c r="V983" t="s">
        <v>45</v>
      </c>
      <c r="W983">
        <v>0</v>
      </c>
      <c r="X983">
        <v>1</v>
      </c>
      <c r="Y983" s="2">
        <f>Table1[[#This Row],[premium_yearly]]*Table1[[#This Row],[tenure_years]]</f>
        <v>12370.41</v>
      </c>
      <c r="Z983" s="2">
        <f>Table1[[#This Row],[total_collected_premiums]]*(1-$AD$2)</f>
        <v>9030.3992999999991</v>
      </c>
      <c r="AA983" s="2">
        <f>Table1[[#This Row],[retained_premium]]-Table1[[#This Row],[claim_amount_paid]]</f>
        <v>-969.60070000000087</v>
      </c>
    </row>
    <row r="984" spans="1:27" x14ac:dyDescent="0.35">
      <c r="A984" t="s">
        <v>2991</v>
      </c>
      <c r="B984" t="s">
        <v>2992</v>
      </c>
      <c r="C984" t="s">
        <v>2993</v>
      </c>
      <c r="D984" s="1">
        <v>43071</v>
      </c>
      <c r="E984" s="1">
        <v>44213</v>
      </c>
      <c r="F984" s="1">
        <v>44218</v>
      </c>
      <c r="G984">
        <v>5</v>
      </c>
      <c r="H984">
        <v>120.33</v>
      </c>
      <c r="I984">
        <v>1443.96</v>
      </c>
      <c r="J984">
        <v>3000</v>
      </c>
      <c r="K984" t="s">
        <v>27</v>
      </c>
      <c r="L984">
        <v>3000</v>
      </c>
      <c r="M984">
        <v>4.08</v>
      </c>
      <c r="N984" t="s">
        <v>36</v>
      </c>
      <c r="O984">
        <v>49</v>
      </c>
      <c r="P984">
        <v>59</v>
      </c>
      <c r="Q984">
        <v>1</v>
      </c>
      <c r="R984">
        <v>2</v>
      </c>
      <c r="S984" t="s">
        <v>65</v>
      </c>
      <c r="T984" t="s">
        <v>30</v>
      </c>
      <c r="U984" t="s">
        <v>38</v>
      </c>
      <c r="V984" t="s">
        <v>39</v>
      </c>
      <c r="W984">
        <v>1</v>
      </c>
      <c r="X984">
        <v>0</v>
      </c>
      <c r="Y984" s="2">
        <f>Table1[[#This Row],[premium_yearly]]*Table1[[#This Row],[tenure_years]]</f>
        <v>5891.3568000000005</v>
      </c>
      <c r="Z984" s="2">
        <f>Table1[[#This Row],[total_collected_premiums]]*(1-$AD$2)</f>
        <v>4300.6904640000002</v>
      </c>
      <c r="AA984" s="2">
        <f>Table1[[#This Row],[retained_premium]]-Table1[[#This Row],[claim_amount_paid]]</f>
        <v>1300.6904640000002</v>
      </c>
    </row>
    <row r="985" spans="1:27" x14ac:dyDescent="0.35">
      <c r="A985" t="s">
        <v>2994</v>
      </c>
      <c r="B985" t="s">
        <v>2995</v>
      </c>
      <c r="C985" t="s">
        <v>2996</v>
      </c>
      <c r="D985" s="1">
        <v>43699</v>
      </c>
      <c r="E985" s="1">
        <v>44220</v>
      </c>
      <c r="F985" s="1">
        <v>44225</v>
      </c>
      <c r="G985">
        <v>5</v>
      </c>
      <c r="H985">
        <v>127.66</v>
      </c>
      <c r="I985">
        <v>1531.92</v>
      </c>
      <c r="J985">
        <v>5000</v>
      </c>
      <c r="K985" t="s">
        <v>27</v>
      </c>
      <c r="L985">
        <v>5000</v>
      </c>
      <c r="M985">
        <v>6.67</v>
      </c>
      <c r="N985" t="s">
        <v>49</v>
      </c>
      <c r="O985">
        <v>80</v>
      </c>
      <c r="P985">
        <v>38</v>
      </c>
      <c r="Q985">
        <v>1</v>
      </c>
      <c r="R985">
        <v>3</v>
      </c>
      <c r="S985" t="s">
        <v>65</v>
      </c>
      <c r="T985" t="s">
        <v>44</v>
      </c>
      <c r="U985" t="s">
        <v>38</v>
      </c>
      <c r="V985" t="s">
        <v>32</v>
      </c>
      <c r="W985">
        <v>1</v>
      </c>
      <c r="X985">
        <v>1</v>
      </c>
      <c r="Y985" s="2">
        <f>Table1[[#This Row],[premium_yearly]]*Table1[[#This Row],[tenure_years]]</f>
        <v>10217.9064</v>
      </c>
      <c r="Z985" s="2">
        <f>Table1[[#This Row],[total_collected_premiums]]*(1-$AD$2)</f>
        <v>7459.071672</v>
      </c>
      <c r="AA985" s="2">
        <f>Table1[[#This Row],[retained_premium]]-Table1[[#This Row],[claim_amount_paid]]</f>
        <v>2459.071672</v>
      </c>
    </row>
    <row r="986" spans="1:27" x14ac:dyDescent="0.35">
      <c r="A986" t="s">
        <v>2997</v>
      </c>
      <c r="B986" t="s">
        <v>2998</v>
      </c>
      <c r="C986" t="s">
        <v>2999</v>
      </c>
      <c r="D986" s="1">
        <v>41684</v>
      </c>
      <c r="E986" s="1">
        <v>44215</v>
      </c>
      <c r="F986" s="1">
        <v>44220</v>
      </c>
      <c r="G986">
        <v>5</v>
      </c>
      <c r="H986">
        <v>104.66</v>
      </c>
      <c r="I986">
        <v>1255.92</v>
      </c>
      <c r="J986">
        <v>5000</v>
      </c>
      <c r="K986" t="s">
        <v>27</v>
      </c>
      <c r="L986">
        <v>5000</v>
      </c>
      <c r="M986">
        <v>5.08</v>
      </c>
      <c r="N986" t="s">
        <v>28</v>
      </c>
      <c r="O986">
        <v>61</v>
      </c>
      <c r="P986">
        <v>62</v>
      </c>
      <c r="Q986">
        <v>0</v>
      </c>
      <c r="R986">
        <v>4</v>
      </c>
      <c r="S986" t="s">
        <v>29</v>
      </c>
      <c r="T986" t="s">
        <v>30</v>
      </c>
      <c r="U986" t="s">
        <v>38</v>
      </c>
      <c r="V986" t="s">
        <v>32</v>
      </c>
      <c r="W986">
        <v>1</v>
      </c>
      <c r="X986">
        <v>1</v>
      </c>
      <c r="Y986" s="2">
        <f>Table1[[#This Row],[premium_yearly]]*Table1[[#This Row],[tenure_years]]</f>
        <v>6380.0736000000006</v>
      </c>
      <c r="Z986" s="2">
        <f>Table1[[#This Row],[total_collected_premiums]]*(1-$AD$2)</f>
        <v>4657.4537280000004</v>
      </c>
      <c r="AA986" s="2">
        <f>Table1[[#This Row],[retained_premium]]-Table1[[#This Row],[claim_amount_paid]]</f>
        <v>-342.54627199999959</v>
      </c>
    </row>
    <row r="987" spans="1:27" x14ac:dyDescent="0.35">
      <c r="A987" t="s">
        <v>3000</v>
      </c>
      <c r="B987" t="s">
        <v>3001</v>
      </c>
      <c r="C987" t="s">
        <v>3002</v>
      </c>
      <c r="D987" s="1">
        <v>42678</v>
      </c>
      <c r="E987" s="1">
        <v>44217</v>
      </c>
      <c r="F987" s="1">
        <v>44222</v>
      </c>
      <c r="G987">
        <v>5</v>
      </c>
      <c r="H987">
        <v>139.12</v>
      </c>
      <c r="I987">
        <v>1669.44</v>
      </c>
      <c r="J987">
        <v>9000</v>
      </c>
      <c r="K987" t="s">
        <v>27</v>
      </c>
      <c r="L987">
        <v>9000</v>
      </c>
      <c r="M987">
        <v>3.67</v>
      </c>
      <c r="N987" t="s">
        <v>28</v>
      </c>
      <c r="O987">
        <v>44</v>
      </c>
      <c r="P987">
        <v>56</v>
      </c>
      <c r="Q987">
        <v>0</v>
      </c>
      <c r="R987">
        <v>2</v>
      </c>
      <c r="S987" t="s">
        <v>29</v>
      </c>
      <c r="T987" t="s">
        <v>30</v>
      </c>
      <c r="U987" t="s">
        <v>38</v>
      </c>
      <c r="V987" t="s">
        <v>32</v>
      </c>
      <c r="W987">
        <v>0</v>
      </c>
      <c r="X987">
        <v>1</v>
      </c>
      <c r="Y987" s="2">
        <f>Table1[[#This Row],[premium_yearly]]*Table1[[#This Row],[tenure_years]]</f>
        <v>6126.8447999999999</v>
      </c>
      <c r="Z987" s="2">
        <f>Table1[[#This Row],[total_collected_premiums]]*(1-$AD$2)</f>
        <v>4472.5967039999996</v>
      </c>
      <c r="AA987" s="2">
        <f>Table1[[#This Row],[retained_premium]]-Table1[[#This Row],[claim_amount_paid]]</f>
        <v>-4527.4032960000004</v>
      </c>
    </row>
    <row r="988" spans="1:27" x14ac:dyDescent="0.35">
      <c r="A988" t="s">
        <v>3003</v>
      </c>
      <c r="B988" t="s">
        <v>3004</v>
      </c>
      <c r="C988" t="s">
        <v>3005</v>
      </c>
      <c r="D988" s="1">
        <v>40947</v>
      </c>
      <c r="E988" s="1">
        <v>44229</v>
      </c>
      <c r="F988" s="1">
        <v>44231</v>
      </c>
      <c r="G988">
        <v>2</v>
      </c>
      <c r="H988">
        <v>105.84</v>
      </c>
      <c r="I988">
        <v>1270.08</v>
      </c>
      <c r="J988">
        <v>8000</v>
      </c>
      <c r="K988" t="s">
        <v>27</v>
      </c>
      <c r="L988">
        <v>8000</v>
      </c>
      <c r="M988">
        <v>7.5</v>
      </c>
      <c r="N988" t="s">
        <v>36</v>
      </c>
      <c r="O988">
        <v>90</v>
      </c>
      <c r="P988">
        <v>51</v>
      </c>
      <c r="Q988">
        <v>1</v>
      </c>
      <c r="R988">
        <v>5</v>
      </c>
      <c r="S988" t="s">
        <v>29</v>
      </c>
      <c r="T988" t="s">
        <v>50</v>
      </c>
      <c r="U988" t="s">
        <v>58</v>
      </c>
      <c r="V988" t="s">
        <v>45</v>
      </c>
      <c r="W988">
        <v>1</v>
      </c>
      <c r="X988">
        <v>1</v>
      </c>
      <c r="Y988" s="2">
        <f>Table1[[#This Row],[premium_yearly]]*Table1[[#This Row],[tenure_years]]</f>
        <v>9525.5999999999985</v>
      </c>
      <c r="Z988" s="2">
        <f>Table1[[#This Row],[total_collected_premiums]]*(1-$AD$2)</f>
        <v>6953.6879999999992</v>
      </c>
      <c r="AA988" s="2">
        <f>Table1[[#This Row],[retained_premium]]-Table1[[#This Row],[claim_amount_paid]]</f>
        <v>-1046.3120000000008</v>
      </c>
    </row>
    <row r="989" spans="1:27" x14ac:dyDescent="0.35">
      <c r="A989" t="s">
        <v>3006</v>
      </c>
      <c r="B989" t="s">
        <v>3007</v>
      </c>
      <c r="C989" t="s">
        <v>3008</v>
      </c>
      <c r="D989" s="1">
        <v>42033</v>
      </c>
      <c r="E989" s="1">
        <v>44234</v>
      </c>
      <c r="F989" s="1">
        <v>44234</v>
      </c>
      <c r="G989">
        <v>0</v>
      </c>
      <c r="H989">
        <v>116.09</v>
      </c>
      <c r="I989">
        <v>1393.08</v>
      </c>
      <c r="J989">
        <v>4000</v>
      </c>
      <c r="K989" t="s">
        <v>27</v>
      </c>
      <c r="L989">
        <v>4000</v>
      </c>
      <c r="M989">
        <v>1.5</v>
      </c>
      <c r="N989" t="s">
        <v>49</v>
      </c>
      <c r="O989">
        <v>18</v>
      </c>
      <c r="P989">
        <v>47</v>
      </c>
      <c r="Q989">
        <v>1</v>
      </c>
      <c r="R989">
        <v>3</v>
      </c>
      <c r="S989" t="s">
        <v>65</v>
      </c>
      <c r="T989" t="s">
        <v>44</v>
      </c>
      <c r="U989" t="s">
        <v>107</v>
      </c>
      <c r="V989" t="s">
        <v>39</v>
      </c>
      <c r="W989">
        <v>0</v>
      </c>
      <c r="X989">
        <v>0</v>
      </c>
      <c r="Y989" s="2">
        <f>Table1[[#This Row],[premium_yearly]]*Table1[[#This Row],[tenure_years]]</f>
        <v>2089.62</v>
      </c>
      <c r="Z989" s="2">
        <f>Table1[[#This Row],[total_collected_premiums]]*(1-$AD$2)</f>
        <v>1525.4225999999999</v>
      </c>
      <c r="AA989" s="2">
        <f>Table1[[#This Row],[retained_premium]]-Table1[[#This Row],[claim_amount_paid]]</f>
        <v>-2474.5774000000001</v>
      </c>
    </row>
    <row r="990" spans="1:27" x14ac:dyDescent="0.35">
      <c r="A990" t="s">
        <v>3009</v>
      </c>
      <c r="B990" t="s">
        <v>3010</v>
      </c>
      <c r="C990" t="s">
        <v>3011</v>
      </c>
      <c r="D990" s="1">
        <v>40581</v>
      </c>
      <c r="E990" s="1">
        <v>44230</v>
      </c>
      <c r="F990" s="1">
        <v>44231</v>
      </c>
      <c r="G990">
        <v>1</v>
      </c>
      <c r="H990">
        <v>123.44</v>
      </c>
      <c r="I990">
        <v>1481.28</v>
      </c>
      <c r="J990">
        <v>5000</v>
      </c>
      <c r="K990" t="s">
        <v>27</v>
      </c>
      <c r="L990">
        <v>5000</v>
      </c>
      <c r="M990">
        <v>6.42</v>
      </c>
      <c r="N990" t="s">
        <v>49</v>
      </c>
      <c r="O990">
        <v>77</v>
      </c>
      <c r="P990">
        <v>53</v>
      </c>
      <c r="Q990">
        <v>0</v>
      </c>
      <c r="R990">
        <v>5</v>
      </c>
      <c r="S990" t="s">
        <v>65</v>
      </c>
      <c r="T990" t="s">
        <v>50</v>
      </c>
      <c r="U990" t="s">
        <v>38</v>
      </c>
      <c r="V990" t="s">
        <v>39</v>
      </c>
      <c r="W990">
        <v>1</v>
      </c>
      <c r="X990">
        <v>1</v>
      </c>
      <c r="Y990" s="2">
        <f>Table1[[#This Row],[premium_yearly]]*Table1[[#This Row],[tenure_years]]</f>
        <v>9509.8176000000003</v>
      </c>
      <c r="Z990" s="2">
        <f>Table1[[#This Row],[total_collected_premiums]]*(1-$AD$2)</f>
        <v>6942.1668479999998</v>
      </c>
      <c r="AA990" s="2">
        <f>Table1[[#This Row],[retained_premium]]-Table1[[#This Row],[claim_amount_paid]]</f>
        <v>1942.1668479999998</v>
      </c>
    </row>
    <row r="991" spans="1:27" x14ac:dyDescent="0.35">
      <c r="A991" t="s">
        <v>3012</v>
      </c>
      <c r="B991" t="s">
        <v>3013</v>
      </c>
      <c r="C991" t="s">
        <v>3014</v>
      </c>
      <c r="D991" s="1">
        <v>42180</v>
      </c>
      <c r="E991" s="1">
        <v>44228</v>
      </c>
      <c r="F991" s="1">
        <v>44230</v>
      </c>
      <c r="G991">
        <v>2</v>
      </c>
      <c r="H991">
        <v>118.18</v>
      </c>
      <c r="I991">
        <v>1418.16</v>
      </c>
      <c r="J991">
        <v>2000</v>
      </c>
      <c r="K991" t="s">
        <v>27</v>
      </c>
      <c r="L991">
        <v>2000</v>
      </c>
      <c r="M991">
        <v>7</v>
      </c>
      <c r="N991" t="s">
        <v>49</v>
      </c>
      <c r="O991">
        <v>84</v>
      </c>
      <c r="P991">
        <v>43</v>
      </c>
      <c r="Q991">
        <v>1</v>
      </c>
      <c r="R991">
        <v>6</v>
      </c>
      <c r="S991" t="s">
        <v>37</v>
      </c>
      <c r="T991" t="s">
        <v>44</v>
      </c>
      <c r="U991" t="s">
        <v>51</v>
      </c>
      <c r="V991" t="s">
        <v>39</v>
      </c>
      <c r="W991">
        <v>0</v>
      </c>
      <c r="X991">
        <v>1</v>
      </c>
      <c r="Y991" s="2">
        <f>Table1[[#This Row],[premium_yearly]]*Table1[[#This Row],[tenure_years]]</f>
        <v>9927.1200000000008</v>
      </c>
      <c r="Z991" s="2">
        <f>Table1[[#This Row],[total_collected_premiums]]*(1-$AD$2)</f>
        <v>7246.7976000000008</v>
      </c>
      <c r="AA991" s="2">
        <f>Table1[[#This Row],[retained_premium]]-Table1[[#This Row],[claim_amount_paid]]</f>
        <v>5246.7976000000008</v>
      </c>
    </row>
    <row r="992" spans="1:27" x14ac:dyDescent="0.35">
      <c r="A992" t="s">
        <v>3015</v>
      </c>
      <c r="B992" t="s">
        <v>3016</v>
      </c>
      <c r="C992" t="s">
        <v>3017</v>
      </c>
      <c r="D992" s="1">
        <v>42671</v>
      </c>
      <c r="E992" s="1">
        <v>44234</v>
      </c>
      <c r="F992" s="1">
        <v>44234</v>
      </c>
      <c r="G992">
        <v>0</v>
      </c>
      <c r="H992">
        <v>73.53</v>
      </c>
      <c r="I992">
        <v>882.36</v>
      </c>
      <c r="J992">
        <v>4000</v>
      </c>
      <c r="K992" t="s">
        <v>27</v>
      </c>
      <c r="L992">
        <v>4000</v>
      </c>
      <c r="M992">
        <v>2.92</v>
      </c>
      <c r="N992" t="s">
        <v>36</v>
      </c>
      <c r="O992">
        <v>35</v>
      </c>
      <c r="P992">
        <v>42</v>
      </c>
      <c r="Q992">
        <v>0</v>
      </c>
      <c r="R992">
        <v>5</v>
      </c>
      <c r="S992" t="s">
        <v>65</v>
      </c>
      <c r="T992" t="s">
        <v>30</v>
      </c>
      <c r="U992" t="s">
        <v>38</v>
      </c>
      <c r="V992" t="s">
        <v>45</v>
      </c>
      <c r="W992">
        <v>1</v>
      </c>
      <c r="X992">
        <v>1</v>
      </c>
      <c r="Y992" s="2">
        <f>Table1[[#This Row],[premium_yearly]]*Table1[[#This Row],[tenure_years]]</f>
        <v>2576.4911999999999</v>
      </c>
      <c r="Z992" s="2">
        <f>Table1[[#This Row],[total_collected_premiums]]*(1-$AD$2)</f>
        <v>1880.8385759999999</v>
      </c>
      <c r="AA992" s="2">
        <f>Table1[[#This Row],[retained_premium]]-Table1[[#This Row],[claim_amount_paid]]</f>
        <v>-2119.1614239999999</v>
      </c>
    </row>
    <row r="993" spans="1:27" x14ac:dyDescent="0.35">
      <c r="A993" t="s">
        <v>3018</v>
      </c>
      <c r="B993" t="s">
        <v>3019</v>
      </c>
      <c r="C993" t="s">
        <v>3020</v>
      </c>
      <c r="D993" s="1">
        <v>41042</v>
      </c>
      <c r="E993" s="1">
        <v>44219</v>
      </c>
      <c r="F993" s="1">
        <v>44224</v>
      </c>
      <c r="G993">
        <v>5</v>
      </c>
      <c r="H993">
        <v>80.010000000000005</v>
      </c>
      <c r="I993">
        <v>960.12</v>
      </c>
      <c r="J993">
        <v>6000</v>
      </c>
      <c r="K993" t="s">
        <v>27</v>
      </c>
      <c r="L993">
        <v>6000</v>
      </c>
      <c r="M993">
        <v>5.75</v>
      </c>
      <c r="N993" t="s">
        <v>28</v>
      </c>
      <c r="O993">
        <v>69</v>
      </c>
      <c r="P993">
        <v>52</v>
      </c>
      <c r="Q993">
        <v>1</v>
      </c>
      <c r="R993">
        <v>6</v>
      </c>
      <c r="S993" t="s">
        <v>65</v>
      </c>
      <c r="T993" t="s">
        <v>30</v>
      </c>
      <c r="U993" t="s">
        <v>31</v>
      </c>
      <c r="V993" t="s">
        <v>32</v>
      </c>
      <c r="W993">
        <v>1</v>
      </c>
      <c r="X993">
        <v>0</v>
      </c>
      <c r="Y993" s="2">
        <f>Table1[[#This Row],[premium_yearly]]*Table1[[#This Row],[tenure_years]]</f>
        <v>5520.69</v>
      </c>
      <c r="Z993" s="2">
        <f>Table1[[#This Row],[total_collected_premiums]]*(1-$AD$2)</f>
        <v>4030.1036999999997</v>
      </c>
      <c r="AA993" s="2">
        <f>Table1[[#This Row],[retained_premium]]-Table1[[#This Row],[claim_amount_paid]]</f>
        <v>-1969.8963000000003</v>
      </c>
    </row>
    <row r="994" spans="1:27" x14ac:dyDescent="0.35">
      <c r="A994" t="s">
        <v>3021</v>
      </c>
      <c r="B994" t="s">
        <v>3022</v>
      </c>
      <c r="C994" t="s">
        <v>3023</v>
      </c>
      <c r="D994" s="1">
        <v>42943</v>
      </c>
      <c r="E994" s="1">
        <v>44232</v>
      </c>
      <c r="F994" s="1">
        <v>44233</v>
      </c>
      <c r="G994">
        <v>1</v>
      </c>
      <c r="H994">
        <v>123.97</v>
      </c>
      <c r="I994">
        <v>1487.64</v>
      </c>
      <c r="J994">
        <v>4000</v>
      </c>
      <c r="K994" t="s">
        <v>27</v>
      </c>
      <c r="L994">
        <v>4000</v>
      </c>
      <c r="M994">
        <v>8.08</v>
      </c>
      <c r="N994" t="s">
        <v>36</v>
      </c>
      <c r="O994">
        <v>97</v>
      </c>
      <c r="P994">
        <v>56</v>
      </c>
      <c r="Q994">
        <v>1</v>
      </c>
      <c r="R994">
        <v>3</v>
      </c>
      <c r="S994" t="s">
        <v>65</v>
      </c>
      <c r="T994" t="s">
        <v>30</v>
      </c>
      <c r="U994" t="s">
        <v>38</v>
      </c>
      <c r="V994" t="s">
        <v>39</v>
      </c>
      <c r="W994">
        <v>0</v>
      </c>
      <c r="X994">
        <v>1</v>
      </c>
      <c r="Y994" s="2">
        <f>Table1[[#This Row],[premium_yearly]]*Table1[[#This Row],[tenure_years]]</f>
        <v>12020.131200000002</v>
      </c>
      <c r="Z994" s="2">
        <f>Table1[[#This Row],[total_collected_premiums]]*(1-$AD$2)</f>
        <v>8774.6957760000005</v>
      </c>
      <c r="AA994" s="2">
        <f>Table1[[#This Row],[retained_premium]]-Table1[[#This Row],[claim_amount_paid]]</f>
        <v>4774.6957760000005</v>
      </c>
    </row>
    <row r="995" spans="1:27" x14ac:dyDescent="0.35">
      <c r="A995" t="s">
        <v>3024</v>
      </c>
      <c r="B995" t="s">
        <v>3025</v>
      </c>
      <c r="C995" t="s">
        <v>3026</v>
      </c>
      <c r="D995" s="1">
        <v>42691</v>
      </c>
      <c r="E995" s="1">
        <v>44230</v>
      </c>
      <c r="F995" s="1">
        <v>44232</v>
      </c>
      <c r="G995">
        <v>2</v>
      </c>
      <c r="H995">
        <v>116.62</v>
      </c>
      <c r="I995">
        <v>1399.44</v>
      </c>
      <c r="J995">
        <v>5000</v>
      </c>
      <c r="K995" t="s">
        <v>27</v>
      </c>
      <c r="L995">
        <v>5000</v>
      </c>
      <c r="M995">
        <v>9.17</v>
      </c>
      <c r="N995" t="s">
        <v>49</v>
      </c>
      <c r="O995">
        <v>110</v>
      </c>
      <c r="P995">
        <v>48</v>
      </c>
      <c r="Q995">
        <v>0</v>
      </c>
      <c r="R995">
        <v>3</v>
      </c>
      <c r="S995" t="s">
        <v>37</v>
      </c>
      <c r="T995" t="s">
        <v>30</v>
      </c>
      <c r="U995" t="s">
        <v>38</v>
      </c>
      <c r="V995" t="s">
        <v>32</v>
      </c>
      <c r="W995">
        <v>1</v>
      </c>
      <c r="X995">
        <v>1</v>
      </c>
      <c r="Y995" s="2">
        <f>Table1[[#This Row],[premium_yearly]]*Table1[[#This Row],[tenure_years]]</f>
        <v>12832.864800000001</v>
      </c>
      <c r="Z995" s="2">
        <f>Table1[[#This Row],[total_collected_premiums]]*(1-$AD$2)</f>
        <v>9367.991304000001</v>
      </c>
      <c r="AA995" s="2">
        <f>Table1[[#This Row],[retained_premium]]-Table1[[#This Row],[claim_amount_paid]]</f>
        <v>4367.991304000001</v>
      </c>
    </row>
    <row r="996" spans="1:27" x14ac:dyDescent="0.35">
      <c r="A996" t="s">
        <v>3027</v>
      </c>
      <c r="B996" t="s">
        <v>3028</v>
      </c>
      <c r="C996" t="s">
        <v>3029</v>
      </c>
      <c r="D996" s="1">
        <v>41171</v>
      </c>
      <c r="E996" s="1">
        <v>44231</v>
      </c>
      <c r="F996" s="1">
        <v>44232</v>
      </c>
      <c r="G996">
        <v>1</v>
      </c>
      <c r="H996">
        <v>106.28</v>
      </c>
      <c r="I996">
        <v>1275.3599999999999</v>
      </c>
      <c r="J996">
        <v>10000</v>
      </c>
      <c r="K996" t="s">
        <v>27</v>
      </c>
      <c r="L996">
        <v>10000</v>
      </c>
      <c r="M996">
        <v>4.42</v>
      </c>
      <c r="N996" t="s">
        <v>28</v>
      </c>
      <c r="O996">
        <v>53</v>
      </c>
      <c r="P996">
        <v>25</v>
      </c>
      <c r="Q996">
        <v>1</v>
      </c>
      <c r="R996">
        <v>6</v>
      </c>
      <c r="S996" t="s">
        <v>29</v>
      </c>
      <c r="T996" t="s">
        <v>50</v>
      </c>
      <c r="U996" t="s">
        <v>66</v>
      </c>
      <c r="V996" t="s">
        <v>32</v>
      </c>
      <c r="W996">
        <v>1</v>
      </c>
      <c r="X996">
        <v>1</v>
      </c>
      <c r="Y996" s="2">
        <f>Table1[[#This Row],[premium_yearly]]*Table1[[#This Row],[tenure_years]]</f>
        <v>5637.0911999999998</v>
      </c>
      <c r="Z996" s="2">
        <f>Table1[[#This Row],[total_collected_premiums]]*(1-$AD$2)</f>
        <v>4115.0765759999995</v>
      </c>
      <c r="AA996" s="2">
        <f>Table1[[#This Row],[retained_premium]]-Table1[[#This Row],[claim_amount_paid]]</f>
        <v>-5884.9234240000005</v>
      </c>
    </row>
    <row r="997" spans="1:27" x14ac:dyDescent="0.35">
      <c r="A997" t="s">
        <v>3030</v>
      </c>
      <c r="B997" t="s">
        <v>3031</v>
      </c>
      <c r="C997" t="s">
        <v>3032</v>
      </c>
      <c r="D997" s="1">
        <v>43844</v>
      </c>
      <c r="E997" s="1">
        <v>44233</v>
      </c>
      <c r="F997" s="1">
        <v>44234</v>
      </c>
      <c r="G997">
        <v>1</v>
      </c>
      <c r="H997">
        <v>109.72</v>
      </c>
      <c r="I997">
        <v>1316.64</v>
      </c>
      <c r="J997">
        <v>4000</v>
      </c>
      <c r="K997" t="s">
        <v>27</v>
      </c>
      <c r="L997">
        <v>4000</v>
      </c>
      <c r="M997">
        <v>7.08</v>
      </c>
      <c r="N997" t="s">
        <v>49</v>
      </c>
      <c r="O997">
        <v>85</v>
      </c>
      <c r="P997">
        <v>26</v>
      </c>
      <c r="Q997">
        <v>1</v>
      </c>
      <c r="R997">
        <v>7</v>
      </c>
      <c r="S997" t="s">
        <v>37</v>
      </c>
      <c r="T997" t="s">
        <v>50</v>
      </c>
      <c r="U997" t="s">
        <v>88</v>
      </c>
      <c r="V997" t="s">
        <v>39</v>
      </c>
      <c r="W997">
        <v>1</v>
      </c>
      <c r="X997">
        <v>1</v>
      </c>
      <c r="Y997" s="2">
        <f>Table1[[#This Row],[premium_yearly]]*Table1[[#This Row],[tenure_years]]</f>
        <v>9321.8112000000001</v>
      </c>
      <c r="Z997" s="2">
        <f>Table1[[#This Row],[total_collected_premiums]]*(1-$AD$2)</f>
        <v>6804.922176</v>
      </c>
      <c r="AA997" s="2">
        <f>Table1[[#This Row],[retained_premium]]-Table1[[#This Row],[claim_amount_paid]]</f>
        <v>2804.922176</v>
      </c>
    </row>
    <row r="998" spans="1:27" x14ac:dyDescent="0.35">
      <c r="A998" t="s">
        <v>3033</v>
      </c>
      <c r="B998" t="s">
        <v>3034</v>
      </c>
      <c r="C998" t="s">
        <v>3035</v>
      </c>
      <c r="D998" s="1">
        <v>41817</v>
      </c>
      <c r="E998" s="1">
        <v>44233</v>
      </c>
      <c r="F998" s="1">
        <v>44234</v>
      </c>
      <c r="G998">
        <v>1</v>
      </c>
      <c r="H998">
        <v>99.55</v>
      </c>
      <c r="I998">
        <v>1194.5999999999999</v>
      </c>
      <c r="J998">
        <v>3000</v>
      </c>
      <c r="K998" t="s">
        <v>27</v>
      </c>
      <c r="L998">
        <v>3000</v>
      </c>
      <c r="M998">
        <v>8</v>
      </c>
      <c r="N998" t="s">
        <v>49</v>
      </c>
      <c r="O998">
        <v>96</v>
      </c>
      <c r="P998">
        <v>34</v>
      </c>
      <c r="Q998">
        <v>0</v>
      </c>
      <c r="R998">
        <v>2</v>
      </c>
      <c r="S998" t="s">
        <v>29</v>
      </c>
      <c r="T998" t="s">
        <v>30</v>
      </c>
      <c r="U998" t="s">
        <v>31</v>
      </c>
      <c r="V998" t="s">
        <v>39</v>
      </c>
      <c r="W998">
        <v>1</v>
      </c>
      <c r="X998">
        <v>0</v>
      </c>
      <c r="Y998" s="2">
        <f>Table1[[#This Row],[premium_yearly]]*Table1[[#This Row],[tenure_years]]</f>
        <v>9556.7999999999993</v>
      </c>
      <c r="Z998" s="2">
        <f>Table1[[#This Row],[total_collected_premiums]]*(1-$AD$2)</f>
        <v>6976.463999999999</v>
      </c>
      <c r="AA998" s="2">
        <f>Table1[[#This Row],[retained_premium]]-Table1[[#This Row],[claim_amount_paid]]</f>
        <v>3976.463999999999</v>
      </c>
    </row>
    <row r="999" spans="1:27" x14ac:dyDescent="0.35">
      <c r="A999" t="s">
        <v>3036</v>
      </c>
      <c r="B999" t="s">
        <v>3037</v>
      </c>
      <c r="C999" t="s">
        <v>3038</v>
      </c>
      <c r="D999" s="1">
        <v>42883</v>
      </c>
      <c r="E999" s="1">
        <v>44236</v>
      </c>
      <c r="F999" s="1">
        <v>44236</v>
      </c>
      <c r="G999">
        <v>0</v>
      </c>
      <c r="H999">
        <v>78.73</v>
      </c>
      <c r="I999">
        <v>944.76</v>
      </c>
      <c r="J999">
        <v>3000</v>
      </c>
      <c r="K999" t="s">
        <v>27</v>
      </c>
      <c r="L999">
        <v>3000</v>
      </c>
      <c r="M999">
        <v>3.5</v>
      </c>
      <c r="N999" t="s">
        <v>28</v>
      </c>
      <c r="O999">
        <v>42</v>
      </c>
      <c r="P999">
        <v>26</v>
      </c>
      <c r="Q999">
        <v>0</v>
      </c>
      <c r="R999">
        <v>4</v>
      </c>
      <c r="S999" t="s">
        <v>29</v>
      </c>
      <c r="T999" t="s">
        <v>30</v>
      </c>
      <c r="U999" t="s">
        <v>38</v>
      </c>
      <c r="V999" t="s">
        <v>32</v>
      </c>
      <c r="W999">
        <v>0</v>
      </c>
      <c r="X999">
        <v>0</v>
      </c>
      <c r="Y999" s="2">
        <f>Table1[[#This Row],[premium_yearly]]*Table1[[#This Row],[tenure_years]]</f>
        <v>3306.66</v>
      </c>
      <c r="Z999" s="2">
        <f>Table1[[#This Row],[total_collected_premiums]]*(1-$AD$2)</f>
        <v>2413.8617999999997</v>
      </c>
      <c r="AA999" s="2">
        <f>Table1[[#This Row],[retained_premium]]-Table1[[#This Row],[claim_amount_paid]]</f>
        <v>-586.13820000000032</v>
      </c>
    </row>
    <row r="1000" spans="1:27" x14ac:dyDescent="0.35">
      <c r="A1000" t="s">
        <v>3039</v>
      </c>
      <c r="B1000" t="s">
        <v>3040</v>
      </c>
      <c r="C1000" t="s">
        <v>3041</v>
      </c>
      <c r="D1000" s="1">
        <v>43220</v>
      </c>
      <c r="E1000" s="1">
        <v>44221</v>
      </c>
      <c r="F1000" s="1">
        <v>44226</v>
      </c>
      <c r="G1000">
        <v>5</v>
      </c>
      <c r="H1000">
        <v>126.54</v>
      </c>
      <c r="I1000">
        <v>1518.48</v>
      </c>
      <c r="J1000">
        <v>9000</v>
      </c>
      <c r="K1000" t="s">
        <v>27</v>
      </c>
      <c r="L1000">
        <v>9000</v>
      </c>
      <c r="M1000">
        <v>6.33</v>
      </c>
      <c r="N1000" t="s">
        <v>28</v>
      </c>
      <c r="O1000">
        <v>76</v>
      </c>
      <c r="P1000">
        <v>54</v>
      </c>
      <c r="Q1000">
        <v>1</v>
      </c>
      <c r="R1000">
        <v>6</v>
      </c>
      <c r="S1000" t="s">
        <v>29</v>
      </c>
      <c r="T1000" t="s">
        <v>50</v>
      </c>
      <c r="U1000" t="s">
        <v>107</v>
      </c>
      <c r="V1000" t="s">
        <v>32</v>
      </c>
      <c r="W1000">
        <v>1</v>
      </c>
      <c r="X1000">
        <v>1</v>
      </c>
      <c r="Y1000" s="2">
        <f>Table1[[#This Row],[premium_yearly]]*Table1[[#This Row],[tenure_years]]</f>
        <v>9611.9784</v>
      </c>
      <c r="Z1000" s="2">
        <f>Table1[[#This Row],[total_collected_premiums]]*(1-$AD$2)</f>
        <v>7016.744232</v>
      </c>
      <c r="AA1000" s="2">
        <f>Table1[[#This Row],[retained_premium]]-Table1[[#This Row],[claim_amount_paid]]</f>
        <v>-1983.255768</v>
      </c>
    </row>
    <row r="1001" spans="1:27" x14ac:dyDescent="0.35">
      <c r="A1001" t="s">
        <v>3042</v>
      </c>
      <c r="B1001" t="s">
        <v>3043</v>
      </c>
      <c r="C1001" t="s">
        <v>3044</v>
      </c>
      <c r="D1001" s="1">
        <v>42235</v>
      </c>
      <c r="E1001" s="1">
        <v>44235</v>
      </c>
      <c r="F1001" s="1">
        <v>44235</v>
      </c>
      <c r="G1001">
        <v>0</v>
      </c>
      <c r="H1001">
        <v>107.21</v>
      </c>
      <c r="I1001">
        <v>1286.52</v>
      </c>
      <c r="J1001">
        <v>2000</v>
      </c>
      <c r="K1001" t="s">
        <v>27</v>
      </c>
      <c r="L1001">
        <v>2000</v>
      </c>
      <c r="M1001">
        <v>6</v>
      </c>
      <c r="N1001" t="s">
        <v>36</v>
      </c>
      <c r="O1001">
        <v>72</v>
      </c>
      <c r="P1001">
        <v>49</v>
      </c>
      <c r="Q1001">
        <v>1</v>
      </c>
      <c r="R1001">
        <v>6</v>
      </c>
      <c r="S1001" t="s">
        <v>65</v>
      </c>
      <c r="T1001" t="s">
        <v>30</v>
      </c>
      <c r="U1001" t="s">
        <v>31</v>
      </c>
      <c r="V1001" t="s">
        <v>32</v>
      </c>
      <c r="W1001">
        <v>1</v>
      </c>
      <c r="X1001">
        <v>1</v>
      </c>
      <c r="Y1001" s="2">
        <f>Table1[[#This Row],[premium_yearly]]*Table1[[#This Row],[tenure_years]]</f>
        <v>7719.12</v>
      </c>
      <c r="Z1001" s="2">
        <f>Table1[[#This Row],[total_collected_premiums]]*(1-$AD$2)</f>
        <v>5634.9575999999997</v>
      </c>
      <c r="AA1001" s="2">
        <f>Table1[[#This Row],[retained_premium]]-Table1[[#This Row],[claim_amount_paid]]</f>
        <v>3634.9575999999997</v>
      </c>
    </row>
    <row r="1002" spans="1:27" x14ac:dyDescent="0.35">
      <c r="A1002" t="s">
        <v>3045</v>
      </c>
      <c r="B1002" t="s">
        <v>3046</v>
      </c>
      <c r="C1002" t="s">
        <v>3047</v>
      </c>
      <c r="D1002" s="1">
        <v>40725</v>
      </c>
      <c r="E1002" s="1">
        <v>44223</v>
      </c>
      <c r="F1002" s="1">
        <v>44228</v>
      </c>
      <c r="G1002">
        <v>5</v>
      </c>
      <c r="H1002">
        <v>107.19</v>
      </c>
      <c r="I1002">
        <v>1286.28</v>
      </c>
      <c r="J1002">
        <v>8000</v>
      </c>
      <c r="K1002" t="s">
        <v>27</v>
      </c>
      <c r="L1002">
        <v>8000</v>
      </c>
      <c r="M1002">
        <v>6</v>
      </c>
      <c r="N1002" t="s">
        <v>28</v>
      </c>
      <c r="O1002">
        <v>72</v>
      </c>
      <c r="P1002">
        <v>43</v>
      </c>
      <c r="Q1002">
        <v>0</v>
      </c>
      <c r="R1002">
        <v>4</v>
      </c>
      <c r="S1002" t="s">
        <v>29</v>
      </c>
      <c r="T1002" t="s">
        <v>50</v>
      </c>
      <c r="U1002" t="s">
        <v>38</v>
      </c>
      <c r="V1002" t="s">
        <v>45</v>
      </c>
      <c r="W1002">
        <v>1</v>
      </c>
      <c r="X1002">
        <v>1</v>
      </c>
      <c r="Y1002" s="2">
        <f>Table1[[#This Row],[premium_yearly]]*Table1[[#This Row],[tenure_years]]</f>
        <v>7717.68</v>
      </c>
      <c r="Z1002" s="2">
        <f>Table1[[#This Row],[total_collected_premiums]]*(1-$AD$2)</f>
        <v>5633.9063999999998</v>
      </c>
      <c r="AA1002" s="2">
        <f>Table1[[#This Row],[retained_premium]]-Table1[[#This Row],[claim_amount_paid]]</f>
        <v>-2366.0936000000002</v>
      </c>
    </row>
    <row r="1003" spans="1:27" x14ac:dyDescent="0.35">
      <c r="A1003" t="s">
        <v>3048</v>
      </c>
      <c r="B1003" t="s">
        <v>3049</v>
      </c>
      <c r="C1003" t="s">
        <v>3050</v>
      </c>
      <c r="D1003" s="1">
        <v>40509</v>
      </c>
      <c r="E1003" s="1">
        <v>44219</v>
      </c>
      <c r="F1003" s="1">
        <v>44224</v>
      </c>
      <c r="G1003">
        <v>5</v>
      </c>
      <c r="H1003">
        <v>94.68</v>
      </c>
      <c r="I1003">
        <v>1136.1600000000001</v>
      </c>
      <c r="J1003">
        <v>8000</v>
      </c>
      <c r="K1003" t="s">
        <v>27</v>
      </c>
      <c r="L1003">
        <v>8000</v>
      </c>
      <c r="M1003">
        <v>2.17</v>
      </c>
      <c r="N1003" t="s">
        <v>49</v>
      </c>
      <c r="O1003">
        <v>26</v>
      </c>
      <c r="P1003">
        <v>63</v>
      </c>
      <c r="Q1003">
        <v>1</v>
      </c>
      <c r="R1003">
        <v>5</v>
      </c>
      <c r="S1003" t="s">
        <v>37</v>
      </c>
      <c r="T1003" t="s">
        <v>50</v>
      </c>
      <c r="U1003" t="s">
        <v>88</v>
      </c>
      <c r="V1003" t="s">
        <v>45</v>
      </c>
      <c r="W1003">
        <v>1</v>
      </c>
      <c r="X1003">
        <v>1</v>
      </c>
      <c r="Y1003" s="2">
        <f>Table1[[#This Row],[premium_yearly]]*Table1[[#This Row],[tenure_years]]</f>
        <v>2465.4672</v>
      </c>
      <c r="Z1003" s="2">
        <f>Table1[[#This Row],[total_collected_premiums]]*(1-$AD$2)</f>
        <v>1799.791056</v>
      </c>
      <c r="AA1003" s="2">
        <f>Table1[[#This Row],[retained_premium]]-Table1[[#This Row],[claim_amount_paid]]</f>
        <v>-6200.208944</v>
      </c>
    </row>
    <row r="1004" spans="1:27" x14ac:dyDescent="0.35">
      <c r="A1004" t="s">
        <v>3051</v>
      </c>
      <c r="B1004" t="s">
        <v>3052</v>
      </c>
      <c r="C1004" t="s">
        <v>3053</v>
      </c>
      <c r="D1004" s="1">
        <v>40635</v>
      </c>
      <c r="E1004" s="1">
        <v>44232</v>
      </c>
      <c r="F1004" s="1">
        <v>44234</v>
      </c>
      <c r="G1004">
        <v>2</v>
      </c>
      <c r="H1004">
        <v>70.099999999999994</v>
      </c>
      <c r="I1004">
        <v>841.2</v>
      </c>
      <c r="J1004">
        <v>8000</v>
      </c>
      <c r="K1004" t="s">
        <v>27</v>
      </c>
      <c r="L1004">
        <v>8000</v>
      </c>
      <c r="M1004">
        <v>1.25</v>
      </c>
      <c r="N1004" t="s">
        <v>49</v>
      </c>
      <c r="O1004">
        <v>15</v>
      </c>
      <c r="P1004">
        <v>55</v>
      </c>
      <c r="Q1004">
        <v>1</v>
      </c>
      <c r="R1004">
        <v>6</v>
      </c>
      <c r="S1004" t="s">
        <v>37</v>
      </c>
      <c r="T1004" t="s">
        <v>30</v>
      </c>
      <c r="U1004" t="s">
        <v>31</v>
      </c>
      <c r="V1004" t="s">
        <v>45</v>
      </c>
      <c r="W1004">
        <v>1</v>
      </c>
      <c r="X1004">
        <v>1</v>
      </c>
      <c r="Y1004" s="2">
        <f>Table1[[#This Row],[premium_yearly]]*Table1[[#This Row],[tenure_years]]</f>
        <v>1051.5</v>
      </c>
      <c r="Z1004" s="2">
        <f>Table1[[#This Row],[total_collected_premiums]]*(1-$AD$2)</f>
        <v>767.59500000000003</v>
      </c>
      <c r="AA1004" s="2">
        <f>Table1[[#This Row],[retained_premium]]-Table1[[#This Row],[claim_amount_paid]]</f>
        <v>-7232.4049999999997</v>
      </c>
    </row>
    <row r="1005" spans="1:27" x14ac:dyDescent="0.35">
      <c r="A1005" t="s">
        <v>3054</v>
      </c>
      <c r="B1005" t="s">
        <v>3055</v>
      </c>
      <c r="C1005" t="s">
        <v>3056</v>
      </c>
      <c r="D1005" s="1">
        <v>42098</v>
      </c>
      <c r="E1005" s="1">
        <v>44218</v>
      </c>
      <c r="F1005" s="1">
        <v>44223</v>
      </c>
      <c r="G1005">
        <v>5</v>
      </c>
      <c r="H1005">
        <v>139.43</v>
      </c>
      <c r="I1005">
        <v>1673.16</v>
      </c>
      <c r="J1005">
        <v>1000</v>
      </c>
      <c r="K1005" t="s">
        <v>27</v>
      </c>
      <c r="L1005">
        <v>1000</v>
      </c>
      <c r="M1005">
        <v>2.08</v>
      </c>
      <c r="N1005" t="s">
        <v>49</v>
      </c>
      <c r="O1005">
        <v>25</v>
      </c>
      <c r="P1005">
        <v>51</v>
      </c>
      <c r="Q1005">
        <v>0</v>
      </c>
      <c r="R1005">
        <v>4</v>
      </c>
      <c r="S1005" t="s">
        <v>29</v>
      </c>
      <c r="T1005" t="s">
        <v>50</v>
      </c>
      <c r="U1005" t="s">
        <v>38</v>
      </c>
      <c r="V1005" t="s">
        <v>39</v>
      </c>
      <c r="W1005">
        <v>1</v>
      </c>
      <c r="X1005">
        <v>0</v>
      </c>
      <c r="Y1005" s="2">
        <f>Table1[[#This Row],[premium_yearly]]*Table1[[#This Row],[tenure_years]]</f>
        <v>3480.1728000000003</v>
      </c>
      <c r="Z1005" s="2">
        <f>Table1[[#This Row],[total_collected_premiums]]*(1-$AD$2)</f>
        <v>2540.5261439999999</v>
      </c>
      <c r="AA1005" s="2">
        <f>Table1[[#This Row],[retained_premium]]-Table1[[#This Row],[claim_amount_paid]]</f>
        <v>1540.5261439999999</v>
      </c>
    </row>
    <row r="1006" spans="1:27" x14ac:dyDescent="0.35">
      <c r="A1006" t="s">
        <v>3057</v>
      </c>
      <c r="B1006" t="s">
        <v>3058</v>
      </c>
      <c r="C1006" t="s">
        <v>3059</v>
      </c>
      <c r="D1006" s="1">
        <v>40966</v>
      </c>
      <c r="E1006" s="1">
        <v>44230</v>
      </c>
      <c r="F1006" s="1">
        <v>44233</v>
      </c>
      <c r="G1006">
        <v>3</v>
      </c>
      <c r="H1006">
        <v>137.79</v>
      </c>
      <c r="I1006">
        <v>1653.48</v>
      </c>
      <c r="J1006">
        <v>8000</v>
      </c>
      <c r="K1006" t="s">
        <v>27</v>
      </c>
      <c r="L1006">
        <v>8000</v>
      </c>
      <c r="M1006">
        <v>6.17</v>
      </c>
      <c r="N1006" t="s">
        <v>36</v>
      </c>
      <c r="O1006">
        <v>74</v>
      </c>
      <c r="P1006">
        <v>64</v>
      </c>
      <c r="Q1006">
        <v>1</v>
      </c>
      <c r="R1006">
        <v>5</v>
      </c>
      <c r="S1006" t="s">
        <v>29</v>
      </c>
      <c r="T1006" t="s">
        <v>50</v>
      </c>
      <c r="U1006" t="s">
        <v>38</v>
      </c>
      <c r="V1006" t="s">
        <v>39</v>
      </c>
      <c r="W1006">
        <v>0</v>
      </c>
      <c r="X1006">
        <v>1</v>
      </c>
      <c r="Y1006" s="2">
        <f>Table1[[#This Row],[premium_yearly]]*Table1[[#This Row],[tenure_years]]</f>
        <v>10201.971600000001</v>
      </c>
      <c r="Z1006" s="2">
        <f>Table1[[#This Row],[total_collected_premiums]]*(1-$AD$2)</f>
        <v>7447.4392680000001</v>
      </c>
      <c r="AA1006" s="2">
        <f>Table1[[#This Row],[retained_premium]]-Table1[[#This Row],[claim_amount_paid]]</f>
        <v>-552.56073199999992</v>
      </c>
    </row>
    <row r="1007" spans="1:27" x14ac:dyDescent="0.35">
      <c r="A1007" t="s">
        <v>3060</v>
      </c>
      <c r="B1007" t="s">
        <v>3061</v>
      </c>
      <c r="C1007" t="s">
        <v>3062</v>
      </c>
      <c r="D1007" s="1">
        <v>40541</v>
      </c>
      <c r="E1007" s="1">
        <v>44234</v>
      </c>
      <c r="F1007" s="1">
        <v>44235</v>
      </c>
      <c r="G1007">
        <v>1</v>
      </c>
      <c r="H1007">
        <v>92.06</v>
      </c>
      <c r="I1007">
        <v>1104.72</v>
      </c>
      <c r="J1007">
        <v>4000</v>
      </c>
      <c r="K1007" t="s">
        <v>43</v>
      </c>
      <c r="L1007">
        <v>0</v>
      </c>
      <c r="M1007">
        <v>0.67</v>
      </c>
      <c r="N1007" t="s">
        <v>36</v>
      </c>
      <c r="O1007">
        <v>8</v>
      </c>
      <c r="P1007">
        <v>40</v>
      </c>
      <c r="Q1007">
        <v>1</v>
      </c>
      <c r="R1007">
        <v>6</v>
      </c>
      <c r="S1007" t="s">
        <v>37</v>
      </c>
      <c r="T1007" t="s">
        <v>50</v>
      </c>
      <c r="U1007" t="s">
        <v>31</v>
      </c>
      <c r="V1007" t="s">
        <v>39</v>
      </c>
      <c r="W1007">
        <v>1</v>
      </c>
      <c r="X1007">
        <v>1</v>
      </c>
      <c r="Y1007" s="2">
        <f>Table1[[#This Row],[premium_yearly]]*Table1[[#This Row],[tenure_years]]</f>
        <v>740.16240000000005</v>
      </c>
      <c r="Z1007" s="2">
        <f>Table1[[#This Row],[total_collected_premiums]]*(1-$AD$2)</f>
        <v>540.31855200000007</v>
      </c>
      <c r="AA1007" s="2">
        <f>Table1[[#This Row],[retained_premium]]-Table1[[#This Row],[claim_amount_paid]]</f>
        <v>540.31855200000007</v>
      </c>
    </row>
    <row r="1008" spans="1:27" x14ac:dyDescent="0.35">
      <c r="A1008" t="s">
        <v>3063</v>
      </c>
      <c r="B1008" t="s">
        <v>3064</v>
      </c>
      <c r="C1008" t="s">
        <v>3065</v>
      </c>
      <c r="D1008" s="1">
        <v>41092</v>
      </c>
      <c r="E1008" s="1">
        <v>44230</v>
      </c>
      <c r="F1008" s="1">
        <v>44233</v>
      </c>
      <c r="G1008">
        <v>3</v>
      </c>
      <c r="H1008">
        <v>90.25</v>
      </c>
      <c r="I1008">
        <v>1083</v>
      </c>
      <c r="J1008">
        <v>2000</v>
      </c>
      <c r="K1008" t="s">
        <v>27</v>
      </c>
      <c r="L1008">
        <v>2000</v>
      </c>
      <c r="M1008">
        <v>8.58</v>
      </c>
      <c r="N1008" t="s">
        <v>28</v>
      </c>
      <c r="O1008">
        <v>103</v>
      </c>
      <c r="P1008">
        <v>38</v>
      </c>
      <c r="Q1008">
        <v>1</v>
      </c>
      <c r="R1008">
        <v>7</v>
      </c>
      <c r="S1008" t="s">
        <v>29</v>
      </c>
      <c r="T1008" t="s">
        <v>30</v>
      </c>
      <c r="U1008" t="s">
        <v>38</v>
      </c>
      <c r="V1008" t="s">
        <v>45</v>
      </c>
      <c r="W1008">
        <v>0</v>
      </c>
      <c r="X1008">
        <v>1</v>
      </c>
      <c r="Y1008" s="2">
        <f>Table1[[#This Row],[premium_yearly]]*Table1[[#This Row],[tenure_years]]</f>
        <v>9292.14</v>
      </c>
      <c r="Z1008" s="2">
        <f>Table1[[#This Row],[total_collected_premiums]]*(1-$AD$2)</f>
        <v>6783.2621999999992</v>
      </c>
      <c r="AA1008" s="2">
        <f>Table1[[#This Row],[retained_premium]]-Table1[[#This Row],[claim_amount_paid]]</f>
        <v>4783.2621999999992</v>
      </c>
    </row>
    <row r="1009" spans="1:27" x14ac:dyDescent="0.35">
      <c r="A1009" t="s">
        <v>3066</v>
      </c>
      <c r="B1009" t="s">
        <v>3067</v>
      </c>
      <c r="C1009" t="s">
        <v>3068</v>
      </c>
      <c r="D1009" s="1">
        <v>41222</v>
      </c>
      <c r="E1009" s="1">
        <v>44232</v>
      </c>
      <c r="F1009" s="1">
        <v>44234</v>
      </c>
      <c r="G1009">
        <v>2</v>
      </c>
      <c r="H1009">
        <v>116.24</v>
      </c>
      <c r="I1009">
        <v>1394.88</v>
      </c>
      <c r="J1009">
        <v>3000</v>
      </c>
      <c r="K1009" t="s">
        <v>27</v>
      </c>
      <c r="L1009">
        <v>3000</v>
      </c>
      <c r="M1009">
        <v>7.42</v>
      </c>
      <c r="N1009" t="s">
        <v>28</v>
      </c>
      <c r="O1009">
        <v>89</v>
      </c>
      <c r="P1009">
        <v>33</v>
      </c>
      <c r="Q1009">
        <v>1</v>
      </c>
      <c r="R1009">
        <v>2</v>
      </c>
      <c r="S1009" t="s">
        <v>65</v>
      </c>
      <c r="T1009" t="s">
        <v>44</v>
      </c>
      <c r="U1009" t="s">
        <v>66</v>
      </c>
      <c r="V1009" t="s">
        <v>39</v>
      </c>
      <c r="W1009">
        <v>0</v>
      </c>
      <c r="X1009">
        <v>0</v>
      </c>
      <c r="Y1009" s="2">
        <f>Table1[[#This Row],[premium_yearly]]*Table1[[#This Row],[tenure_years]]</f>
        <v>10350.009600000001</v>
      </c>
      <c r="Z1009" s="2">
        <f>Table1[[#This Row],[total_collected_premiums]]*(1-$AD$2)</f>
        <v>7555.5070080000005</v>
      </c>
      <c r="AA1009" s="2">
        <f>Table1[[#This Row],[retained_premium]]-Table1[[#This Row],[claim_amount_paid]]</f>
        <v>4555.5070080000005</v>
      </c>
    </row>
    <row r="1010" spans="1:27" x14ac:dyDescent="0.35">
      <c r="A1010" t="s">
        <v>3069</v>
      </c>
      <c r="B1010" t="s">
        <v>3070</v>
      </c>
      <c r="C1010" t="s">
        <v>3071</v>
      </c>
      <c r="D1010" s="1">
        <v>40557</v>
      </c>
      <c r="E1010" s="1">
        <v>44224</v>
      </c>
      <c r="F1010" s="1">
        <v>44229</v>
      </c>
      <c r="G1010">
        <v>5</v>
      </c>
      <c r="H1010">
        <v>109.99</v>
      </c>
      <c r="I1010">
        <v>1319.88</v>
      </c>
      <c r="J1010">
        <v>5000</v>
      </c>
      <c r="K1010" t="s">
        <v>27</v>
      </c>
      <c r="L1010">
        <v>5000</v>
      </c>
      <c r="M1010">
        <v>6.42</v>
      </c>
      <c r="N1010" t="s">
        <v>36</v>
      </c>
      <c r="O1010">
        <v>77</v>
      </c>
      <c r="P1010">
        <v>48</v>
      </c>
      <c r="Q1010">
        <v>1</v>
      </c>
      <c r="R1010">
        <v>6</v>
      </c>
      <c r="S1010" t="s">
        <v>65</v>
      </c>
      <c r="T1010" t="s">
        <v>30</v>
      </c>
      <c r="U1010" t="s">
        <v>31</v>
      </c>
      <c r="V1010" t="s">
        <v>45</v>
      </c>
      <c r="W1010">
        <v>1</v>
      </c>
      <c r="X1010">
        <v>0</v>
      </c>
      <c r="Y1010" s="2">
        <f>Table1[[#This Row],[premium_yearly]]*Table1[[#This Row],[tenure_years]]</f>
        <v>8473.6296000000002</v>
      </c>
      <c r="Z1010" s="2">
        <f>Table1[[#This Row],[total_collected_premiums]]*(1-$AD$2)</f>
        <v>6185.7496080000001</v>
      </c>
      <c r="AA1010" s="2">
        <f>Table1[[#This Row],[retained_premium]]-Table1[[#This Row],[claim_amount_paid]]</f>
        <v>1185.7496080000001</v>
      </c>
    </row>
    <row r="1011" spans="1:27" x14ac:dyDescent="0.35">
      <c r="A1011" t="s">
        <v>3072</v>
      </c>
      <c r="B1011" t="s">
        <v>3073</v>
      </c>
      <c r="C1011" t="s">
        <v>3074</v>
      </c>
      <c r="D1011" s="1">
        <v>42220</v>
      </c>
      <c r="E1011" s="1">
        <v>44233</v>
      </c>
      <c r="F1011" s="1">
        <v>44235</v>
      </c>
      <c r="G1011">
        <v>2</v>
      </c>
      <c r="H1011">
        <v>135.19999999999999</v>
      </c>
      <c r="I1011">
        <v>1622.4</v>
      </c>
      <c r="J1011">
        <v>10000</v>
      </c>
      <c r="K1011" t="s">
        <v>27</v>
      </c>
      <c r="L1011">
        <v>10000</v>
      </c>
      <c r="M1011">
        <v>8.75</v>
      </c>
      <c r="N1011" t="s">
        <v>28</v>
      </c>
      <c r="O1011">
        <v>105</v>
      </c>
      <c r="P1011">
        <v>63</v>
      </c>
      <c r="Q1011">
        <v>1</v>
      </c>
      <c r="R1011">
        <v>7</v>
      </c>
      <c r="S1011" t="s">
        <v>29</v>
      </c>
      <c r="T1011" t="s">
        <v>30</v>
      </c>
      <c r="U1011" t="s">
        <v>31</v>
      </c>
      <c r="V1011" t="s">
        <v>39</v>
      </c>
      <c r="W1011">
        <v>1</v>
      </c>
      <c r="X1011">
        <v>1</v>
      </c>
      <c r="Y1011" s="2">
        <f>Table1[[#This Row],[premium_yearly]]*Table1[[#This Row],[tenure_years]]</f>
        <v>14196</v>
      </c>
      <c r="Z1011" s="2">
        <f>Table1[[#This Row],[total_collected_premiums]]*(1-$AD$2)</f>
        <v>10363.08</v>
      </c>
      <c r="AA1011" s="2">
        <f>Table1[[#This Row],[retained_premium]]-Table1[[#This Row],[claim_amount_paid]]</f>
        <v>363.07999999999993</v>
      </c>
    </row>
    <row r="1012" spans="1:27" x14ac:dyDescent="0.35">
      <c r="A1012" t="s">
        <v>3075</v>
      </c>
      <c r="B1012" t="s">
        <v>3076</v>
      </c>
      <c r="C1012" t="s">
        <v>3077</v>
      </c>
      <c r="D1012" s="1">
        <v>42724</v>
      </c>
      <c r="E1012" s="1">
        <v>44234</v>
      </c>
      <c r="F1012" s="1">
        <v>44235</v>
      </c>
      <c r="G1012">
        <v>1</v>
      </c>
      <c r="H1012">
        <v>98.66</v>
      </c>
      <c r="I1012">
        <v>1183.92</v>
      </c>
      <c r="J1012">
        <v>10000</v>
      </c>
      <c r="K1012" t="s">
        <v>43</v>
      </c>
      <c r="L1012">
        <v>0</v>
      </c>
      <c r="M1012">
        <v>6.83</v>
      </c>
      <c r="N1012" t="s">
        <v>36</v>
      </c>
      <c r="O1012">
        <v>82</v>
      </c>
      <c r="P1012">
        <v>50</v>
      </c>
      <c r="Q1012">
        <v>1</v>
      </c>
      <c r="R1012">
        <v>7</v>
      </c>
      <c r="S1012" t="s">
        <v>29</v>
      </c>
      <c r="T1012" t="s">
        <v>30</v>
      </c>
      <c r="U1012" t="s">
        <v>38</v>
      </c>
      <c r="V1012" t="s">
        <v>39</v>
      </c>
      <c r="W1012">
        <v>1</v>
      </c>
      <c r="X1012">
        <v>1</v>
      </c>
      <c r="Y1012" s="2">
        <f>Table1[[#This Row],[premium_yearly]]*Table1[[#This Row],[tenure_years]]</f>
        <v>8086.173600000001</v>
      </c>
      <c r="Z1012" s="2">
        <f>Table1[[#This Row],[total_collected_premiums]]*(1-$AD$2)</f>
        <v>5902.9067280000008</v>
      </c>
      <c r="AA1012" s="2">
        <f>Table1[[#This Row],[retained_premium]]-Table1[[#This Row],[claim_amount_paid]]</f>
        <v>5902.9067280000008</v>
      </c>
    </row>
    <row r="1013" spans="1:27" x14ac:dyDescent="0.35">
      <c r="A1013" t="s">
        <v>3078</v>
      </c>
      <c r="B1013" t="s">
        <v>3079</v>
      </c>
      <c r="C1013" t="s">
        <v>3080</v>
      </c>
      <c r="D1013" s="1">
        <v>40380</v>
      </c>
      <c r="E1013" s="1">
        <v>44237</v>
      </c>
      <c r="F1013" s="1">
        <v>44237</v>
      </c>
      <c r="G1013">
        <v>0</v>
      </c>
      <c r="H1013">
        <v>124.03</v>
      </c>
      <c r="I1013">
        <v>1488.36</v>
      </c>
      <c r="J1013">
        <v>3000</v>
      </c>
      <c r="K1013" t="s">
        <v>27</v>
      </c>
      <c r="L1013">
        <v>3000</v>
      </c>
      <c r="M1013">
        <v>2.75</v>
      </c>
      <c r="N1013" t="s">
        <v>49</v>
      </c>
      <c r="O1013">
        <v>33</v>
      </c>
      <c r="P1013">
        <v>53</v>
      </c>
      <c r="Q1013">
        <v>1</v>
      </c>
      <c r="R1013">
        <v>5</v>
      </c>
      <c r="S1013" t="s">
        <v>29</v>
      </c>
      <c r="T1013" t="s">
        <v>44</v>
      </c>
      <c r="U1013" t="s">
        <v>31</v>
      </c>
      <c r="V1013" t="s">
        <v>32</v>
      </c>
      <c r="W1013">
        <v>1</v>
      </c>
      <c r="X1013">
        <v>1</v>
      </c>
      <c r="Y1013" s="2">
        <f>Table1[[#This Row],[premium_yearly]]*Table1[[#This Row],[tenure_years]]</f>
        <v>4092.99</v>
      </c>
      <c r="Z1013" s="2">
        <f>Table1[[#This Row],[total_collected_premiums]]*(1-$AD$2)</f>
        <v>2987.8826999999997</v>
      </c>
      <c r="AA1013" s="2">
        <f>Table1[[#This Row],[retained_premium]]-Table1[[#This Row],[claim_amount_paid]]</f>
        <v>-12.117300000000341</v>
      </c>
    </row>
    <row r="1014" spans="1:27" x14ac:dyDescent="0.35">
      <c r="A1014" t="s">
        <v>3081</v>
      </c>
      <c r="B1014" t="s">
        <v>3082</v>
      </c>
      <c r="C1014" t="s">
        <v>3083</v>
      </c>
      <c r="D1014" s="1">
        <v>41586</v>
      </c>
      <c r="E1014" s="1">
        <v>44234</v>
      </c>
      <c r="F1014" s="1">
        <v>44236</v>
      </c>
      <c r="G1014">
        <v>2</v>
      </c>
      <c r="H1014">
        <v>71.510000000000005</v>
      </c>
      <c r="I1014">
        <v>858.12</v>
      </c>
      <c r="J1014">
        <v>8000</v>
      </c>
      <c r="K1014" t="s">
        <v>27</v>
      </c>
      <c r="L1014">
        <v>8000</v>
      </c>
      <c r="M1014">
        <v>5.33</v>
      </c>
      <c r="N1014" t="s">
        <v>28</v>
      </c>
      <c r="O1014">
        <v>64</v>
      </c>
      <c r="P1014">
        <v>29</v>
      </c>
      <c r="Q1014">
        <v>1</v>
      </c>
      <c r="R1014">
        <v>4</v>
      </c>
      <c r="S1014" t="s">
        <v>65</v>
      </c>
      <c r="T1014" t="s">
        <v>44</v>
      </c>
      <c r="U1014" t="s">
        <v>38</v>
      </c>
      <c r="V1014" t="s">
        <v>32</v>
      </c>
      <c r="W1014">
        <v>1</v>
      </c>
      <c r="X1014">
        <v>0</v>
      </c>
      <c r="Y1014" s="2">
        <f>Table1[[#This Row],[premium_yearly]]*Table1[[#This Row],[tenure_years]]</f>
        <v>4573.7795999999998</v>
      </c>
      <c r="Z1014" s="2">
        <f>Table1[[#This Row],[total_collected_premiums]]*(1-$AD$2)</f>
        <v>3338.8591079999997</v>
      </c>
      <c r="AA1014" s="2">
        <f>Table1[[#This Row],[retained_premium]]-Table1[[#This Row],[claim_amount_paid]]</f>
        <v>-4661.1408920000003</v>
      </c>
    </row>
    <row r="1015" spans="1:27" x14ac:dyDescent="0.35">
      <c r="A1015" t="s">
        <v>3084</v>
      </c>
      <c r="B1015" t="s">
        <v>3085</v>
      </c>
      <c r="C1015" t="s">
        <v>3086</v>
      </c>
      <c r="D1015" s="1">
        <v>41304</v>
      </c>
      <c r="E1015" s="1">
        <v>44239</v>
      </c>
      <c r="F1015" s="1">
        <v>44239</v>
      </c>
      <c r="G1015">
        <v>0</v>
      </c>
      <c r="H1015">
        <v>116.33</v>
      </c>
      <c r="I1015">
        <v>1395.96</v>
      </c>
      <c r="J1015">
        <v>1000</v>
      </c>
      <c r="K1015" t="s">
        <v>27</v>
      </c>
      <c r="L1015">
        <v>1000</v>
      </c>
      <c r="M1015">
        <v>3.75</v>
      </c>
      <c r="N1015" t="s">
        <v>49</v>
      </c>
      <c r="O1015">
        <v>45</v>
      </c>
      <c r="P1015">
        <v>43</v>
      </c>
      <c r="Q1015">
        <v>1</v>
      </c>
      <c r="R1015">
        <v>4</v>
      </c>
      <c r="S1015" t="s">
        <v>65</v>
      </c>
      <c r="T1015" t="s">
        <v>50</v>
      </c>
      <c r="U1015" t="s">
        <v>58</v>
      </c>
      <c r="V1015" t="s">
        <v>32</v>
      </c>
      <c r="W1015">
        <v>1</v>
      </c>
      <c r="X1015">
        <v>1</v>
      </c>
      <c r="Y1015" s="2">
        <f>Table1[[#This Row],[premium_yearly]]*Table1[[#This Row],[tenure_years]]</f>
        <v>5234.8500000000004</v>
      </c>
      <c r="Z1015" s="2">
        <f>Table1[[#This Row],[total_collected_premiums]]*(1-$AD$2)</f>
        <v>3821.4405000000002</v>
      </c>
      <c r="AA1015" s="2">
        <f>Table1[[#This Row],[retained_premium]]-Table1[[#This Row],[claim_amount_paid]]</f>
        <v>2821.4405000000002</v>
      </c>
    </row>
    <row r="1016" spans="1:27" x14ac:dyDescent="0.35">
      <c r="A1016" t="s">
        <v>3087</v>
      </c>
      <c r="B1016" t="s">
        <v>3088</v>
      </c>
      <c r="C1016" t="s">
        <v>3089</v>
      </c>
      <c r="D1016" s="1">
        <v>42912</v>
      </c>
      <c r="E1016" s="1">
        <v>44220</v>
      </c>
      <c r="F1016" s="1">
        <v>44225</v>
      </c>
      <c r="G1016">
        <v>5</v>
      </c>
      <c r="H1016">
        <v>103.26</v>
      </c>
      <c r="I1016">
        <v>1239.1199999999999</v>
      </c>
      <c r="J1016">
        <v>4000</v>
      </c>
      <c r="K1016" t="s">
        <v>27</v>
      </c>
      <c r="L1016">
        <v>4000</v>
      </c>
      <c r="M1016">
        <v>1.75</v>
      </c>
      <c r="N1016" t="s">
        <v>28</v>
      </c>
      <c r="O1016">
        <v>21</v>
      </c>
      <c r="P1016">
        <v>25</v>
      </c>
      <c r="Q1016">
        <v>0</v>
      </c>
      <c r="R1016">
        <v>7</v>
      </c>
      <c r="S1016" t="s">
        <v>29</v>
      </c>
      <c r="T1016" t="s">
        <v>30</v>
      </c>
      <c r="U1016" t="s">
        <v>66</v>
      </c>
      <c r="V1016" t="s">
        <v>45</v>
      </c>
      <c r="W1016">
        <v>1</v>
      </c>
      <c r="X1016">
        <v>0</v>
      </c>
      <c r="Y1016" s="2">
        <f>Table1[[#This Row],[premium_yearly]]*Table1[[#This Row],[tenure_years]]</f>
        <v>2168.46</v>
      </c>
      <c r="Z1016" s="2">
        <f>Table1[[#This Row],[total_collected_premiums]]*(1-$AD$2)</f>
        <v>1582.9757999999999</v>
      </c>
      <c r="AA1016" s="2">
        <f>Table1[[#This Row],[retained_premium]]-Table1[[#This Row],[claim_amount_paid]]</f>
        <v>-2417.0241999999998</v>
      </c>
    </row>
    <row r="1017" spans="1:27" x14ac:dyDescent="0.35">
      <c r="A1017" t="s">
        <v>3090</v>
      </c>
      <c r="B1017" t="s">
        <v>3091</v>
      </c>
      <c r="C1017" t="s">
        <v>3092</v>
      </c>
      <c r="D1017" s="1">
        <v>40922</v>
      </c>
      <c r="E1017" s="1">
        <v>44228</v>
      </c>
      <c r="F1017" s="1">
        <v>44233</v>
      </c>
      <c r="G1017">
        <v>5</v>
      </c>
      <c r="H1017">
        <v>121.98</v>
      </c>
      <c r="I1017">
        <v>1463.76</v>
      </c>
      <c r="J1017">
        <v>1000</v>
      </c>
      <c r="K1017" t="s">
        <v>27</v>
      </c>
      <c r="L1017">
        <v>1000</v>
      </c>
      <c r="M1017">
        <v>9.42</v>
      </c>
      <c r="N1017" t="s">
        <v>49</v>
      </c>
      <c r="O1017">
        <v>113</v>
      </c>
      <c r="P1017">
        <v>47</v>
      </c>
      <c r="Q1017">
        <v>1</v>
      </c>
      <c r="R1017">
        <v>4</v>
      </c>
      <c r="S1017" t="s">
        <v>65</v>
      </c>
      <c r="T1017" t="s">
        <v>30</v>
      </c>
      <c r="U1017" t="s">
        <v>38</v>
      </c>
      <c r="V1017" t="s">
        <v>32</v>
      </c>
      <c r="W1017">
        <v>0</v>
      </c>
      <c r="X1017">
        <v>1</v>
      </c>
      <c r="Y1017" s="2">
        <f>Table1[[#This Row],[premium_yearly]]*Table1[[#This Row],[tenure_years]]</f>
        <v>13788.619199999999</v>
      </c>
      <c r="Z1017" s="2">
        <f>Table1[[#This Row],[total_collected_premiums]]*(1-$AD$2)</f>
        <v>10065.692015999999</v>
      </c>
      <c r="AA1017" s="2">
        <f>Table1[[#This Row],[retained_premium]]-Table1[[#This Row],[claim_amount_paid]]</f>
        <v>9065.6920159999991</v>
      </c>
    </row>
    <row r="1018" spans="1:27" x14ac:dyDescent="0.35">
      <c r="A1018" t="s">
        <v>3093</v>
      </c>
      <c r="B1018" t="s">
        <v>3094</v>
      </c>
      <c r="C1018" t="s">
        <v>3095</v>
      </c>
      <c r="D1018" s="1">
        <v>41905</v>
      </c>
      <c r="E1018" s="1">
        <v>44235</v>
      </c>
      <c r="F1018" s="1">
        <v>44236</v>
      </c>
      <c r="G1018">
        <v>1</v>
      </c>
      <c r="H1018">
        <v>109.43</v>
      </c>
      <c r="I1018">
        <v>1313.16</v>
      </c>
      <c r="J1018">
        <v>5000</v>
      </c>
      <c r="K1018" t="s">
        <v>27</v>
      </c>
      <c r="L1018">
        <v>5000</v>
      </c>
      <c r="M1018">
        <v>6.67</v>
      </c>
      <c r="N1018" t="s">
        <v>49</v>
      </c>
      <c r="O1018">
        <v>80</v>
      </c>
      <c r="P1018">
        <v>28</v>
      </c>
      <c r="Q1018">
        <v>1</v>
      </c>
      <c r="R1018">
        <v>3</v>
      </c>
      <c r="S1018" t="s">
        <v>65</v>
      </c>
      <c r="T1018" t="s">
        <v>44</v>
      </c>
      <c r="U1018" t="s">
        <v>66</v>
      </c>
      <c r="V1018" t="s">
        <v>32</v>
      </c>
      <c r="W1018">
        <v>0</v>
      </c>
      <c r="X1018">
        <v>1</v>
      </c>
      <c r="Y1018" s="2">
        <f>Table1[[#This Row],[premium_yearly]]*Table1[[#This Row],[tenure_years]]</f>
        <v>8758.7772000000004</v>
      </c>
      <c r="Z1018" s="2">
        <f>Table1[[#This Row],[total_collected_premiums]]*(1-$AD$2)</f>
        <v>6393.9073560000006</v>
      </c>
      <c r="AA1018" s="2">
        <f>Table1[[#This Row],[retained_premium]]-Table1[[#This Row],[claim_amount_paid]]</f>
        <v>1393.9073560000006</v>
      </c>
    </row>
    <row r="1019" spans="1:27" x14ac:dyDescent="0.35">
      <c r="A1019" t="s">
        <v>3096</v>
      </c>
      <c r="B1019" t="s">
        <v>3097</v>
      </c>
      <c r="C1019" t="s">
        <v>3098</v>
      </c>
      <c r="D1019" s="1">
        <v>41213</v>
      </c>
      <c r="E1019" s="1">
        <v>44225</v>
      </c>
      <c r="F1019" s="1">
        <v>44230</v>
      </c>
      <c r="G1019">
        <v>5</v>
      </c>
      <c r="H1019">
        <v>108.38</v>
      </c>
      <c r="I1019">
        <v>1300.56</v>
      </c>
      <c r="J1019">
        <v>4000</v>
      </c>
      <c r="K1019" t="s">
        <v>27</v>
      </c>
      <c r="L1019">
        <v>4000</v>
      </c>
      <c r="M1019">
        <v>4.5</v>
      </c>
      <c r="N1019" t="s">
        <v>49</v>
      </c>
      <c r="O1019">
        <v>54</v>
      </c>
      <c r="P1019">
        <v>31</v>
      </c>
      <c r="Q1019">
        <v>0</v>
      </c>
      <c r="R1019">
        <v>2</v>
      </c>
      <c r="S1019" t="s">
        <v>29</v>
      </c>
      <c r="T1019" t="s">
        <v>30</v>
      </c>
      <c r="U1019" t="s">
        <v>31</v>
      </c>
      <c r="V1019" t="s">
        <v>45</v>
      </c>
      <c r="W1019">
        <v>1</v>
      </c>
      <c r="X1019">
        <v>1</v>
      </c>
      <c r="Y1019" s="2">
        <f>Table1[[#This Row],[premium_yearly]]*Table1[[#This Row],[tenure_years]]</f>
        <v>5852.5199999999995</v>
      </c>
      <c r="Z1019" s="2">
        <f>Table1[[#This Row],[total_collected_premiums]]*(1-$AD$2)</f>
        <v>4272.3395999999993</v>
      </c>
      <c r="AA1019" s="2">
        <f>Table1[[#This Row],[retained_premium]]-Table1[[#This Row],[claim_amount_paid]]</f>
        <v>272.33959999999934</v>
      </c>
    </row>
    <row r="1020" spans="1:27" x14ac:dyDescent="0.35">
      <c r="A1020" t="s">
        <v>3099</v>
      </c>
      <c r="B1020" t="s">
        <v>3100</v>
      </c>
      <c r="C1020" t="s">
        <v>3101</v>
      </c>
      <c r="D1020" s="1">
        <v>41313</v>
      </c>
      <c r="E1020" s="1">
        <v>44224</v>
      </c>
      <c r="F1020" s="1">
        <v>44229</v>
      </c>
      <c r="G1020">
        <v>5</v>
      </c>
      <c r="H1020">
        <v>100.74</v>
      </c>
      <c r="I1020">
        <v>1208.8800000000001</v>
      </c>
      <c r="J1020">
        <v>6000</v>
      </c>
      <c r="K1020" t="s">
        <v>27</v>
      </c>
      <c r="L1020">
        <v>6000</v>
      </c>
      <c r="M1020">
        <v>9.58</v>
      </c>
      <c r="N1020" t="s">
        <v>28</v>
      </c>
      <c r="O1020">
        <v>115</v>
      </c>
      <c r="P1020">
        <v>26</v>
      </c>
      <c r="Q1020">
        <v>1</v>
      </c>
      <c r="R1020">
        <v>6</v>
      </c>
      <c r="S1020" t="s">
        <v>29</v>
      </c>
      <c r="T1020" t="s">
        <v>30</v>
      </c>
      <c r="U1020" t="s">
        <v>31</v>
      </c>
      <c r="V1020" t="s">
        <v>45</v>
      </c>
      <c r="W1020">
        <v>1</v>
      </c>
      <c r="X1020">
        <v>1</v>
      </c>
      <c r="Y1020" s="2">
        <f>Table1[[#This Row],[premium_yearly]]*Table1[[#This Row],[tenure_years]]</f>
        <v>11581.070400000001</v>
      </c>
      <c r="Z1020" s="2">
        <f>Table1[[#This Row],[total_collected_premiums]]*(1-$AD$2)</f>
        <v>8454.1813920000004</v>
      </c>
      <c r="AA1020" s="2">
        <f>Table1[[#This Row],[retained_premium]]-Table1[[#This Row],[claim_amount_paid]]</f>
        <v>2454.1813920000004</v>
      </c>
    </row>
    <row r="1021" spans="1:27" x14ac:dyDescent="0.35">
      <c r="A1021" t="s">
        <v>3102</v>
      </c>
      <c r="B1021" t="s">
        <v>3103</v>
      </c>
      <c r="C1021" t="s">
        <v>3104</v>
      </c>
      <c r="D1021" s="1">
        <v>40568</v>
      </c>
      <c r="E1021" s="1">
        <v>44240</v>
      </c>
      <c r="F1021" s="1">
        <v>44240</v>
      </c>
      <c r="G1021">
        <v>0</v>
      </c>
      <c r="H1021">
        <v>92.15</v>
      </c>
      <c r="I1021">
        <v>1105.8</v>
      </c>
      <c r="J1021">
        <v>3000</v>
      </c>
      <c r="K1021" t="s">
        <v>27</v>
      </c>
      <c r="L1021">
        <v>3000</v>
      </c>
      <c r="M1021">
        <v>1.58</v>
      </c>
      <c r="N1021" t="s">
        <v>28</v>
      </c>
      <c r="O1021">
        <v>19</v>
      </c>
      <c r="P1021">
        <v>32</v>
      </c>
      <c r="Q1021">
        <v>1</v>
      </c>
      <c r="R1021">
        <v>6</v>
      </c>
      <c r="S1021" t="s">
        <v>29</v>
      </c>
      <c r="T1021" t="s">
        <v>44</v>
      </c>
      <c r="U1021" t="s">
        <v>38</v>
      </c>
      <c r="V1021" t="s">
        <v>39</v>
      </c>
      <c r="W1021">
        <v>1</v>
      </c>
      <c r="X1021">
        <v>1</v>
      </c>
      <c r="Y1021" s="2">
        <f>Table1[[#This Row],[premium_yearly]]*Table1[[#This Row],[tenure_years]]</f>
        <v>1747.164</v>
      </c>
      <c r="Z1021" s="2">
        <f>Table1[[#This Row],[total_collected_premiums]]*(1-$AD$2)</f>
        <v>1275.4297199999999</v>
      </c>
      <c r="AA1021" s="2">
        <f>Table1[[#This Row],[retained_premium]]-Table1[[#This Row],[claim_amount_paid]]</f>
        <v>-1724.5702800000001</v>
      </c>
    </row>
    <row r="1022" spans="1:27" x14ac:dyDescent="0.35">
      <c r="A1022" t="s">
        <v>3105</v>
      </c>
      <c r="B1022" t="s">
        <v>3106</v>
      </c>
      <c r="C1022" t="s">
        <v>3107</v>
      </c>
      <c r="D1022" s="1">
        <v>40511</v>
      </c>
      <c r="E1022" s="1">
        <v>44226</v>
      </c>
      <c r="F1022" s="1">
        <v>44231</v>
      </c>
      <c r="G1022">
        <v>5</v>
      </c>
      <c r="H1022">
        <v>82.86</v>
      </c>
      <c r="I1022">
        <v>994.32</v>
      </c>
      <c r="J1022">
        <v>9000</v>
      </c>
      <c r="K1022" t="s">
        <v>27</v>
      </c>
      <c r="L1022">
        <v>9000</v>
      </c>
      <c r="M1022">
        <v>3.58</v>
      </c>
      <c r="N1022" t="s">
        <v>36</v>
      </c>
      <c r="O1022">
        <v>43</v>
      </c>
      <c r="P1022">
        <v>64</v>
      </c>
      <c r="Q1022">
        <v>1</v>
      </c>
      <c r="R1022">
        <v>7</v>
      </c>
      <c r="S1022" t="s">
        <v>65</v>
      </c>
      <c r="T1022" t="s">
        <v>30</v>
      </c>
      <c r="U1022" t="s">
        <v>38</v>
      </c>
      <c r="V1022" t="s">
        <v>32</v>
      </c>
      <c r="W1022">
        <v>1</v>
      </c>
      <c r="X1022">
        <v>1</v>
      </c>
      <c r="Y1022" s="2">
        <f>Table1[[#This Row],[premium_yearly]]*Table1[[#This Row],[tenure_years]]</f>
        <v>3559.6656000000003</v>
      </c>
      <c r="Z1022" s="2">
        <f>Table1[[#This Row],[total_collected_premiums]]*(1-$AD$2)</f>
        <v>2598.5558880000003</v>
      </c>
      <c r="AA1022" s="2">
        <f>Table1[[#This Row],[retained_premium]]-Table1[[#This Row],[claim_amount_paid]]</f>
        <v>-6401.4441119999992</v>
      </c>
    </row>
    <row r="1023" spans="1:27" x14ac:dyDescent="0.35">
      <c r="A1023" t="s">
        <v>3108</v>
      </c>
      <c r="B1023" t="s">
        <v>3109</v>
      </c>
      <c r="C1023" t="s">
        <v>3110</v>
      </c>
      <c r="D1023" s="1">
        <v>42971</v>
      </c>
      <c r="E1023" s="1">
        <v>44234</v>
      </c>
      <c r="F1023" s="1">
        <v>44237</v>
      </c>
      <c r="G1023">
        <v>3</v>
      </c>
      <c r="H1023">
        <v>88.26</v>
      </c>
      <c r="I1023">
        <v>1059.1199999999999</v>
      </c>
      <c r="J1023">
        <v>10000</v>
      </c>
      <c r="K1023" t="s">
        <v>27</v>
      </c>
      <c r="L1023">
        <v>10000</v>
      </c>
      <c r="M1023">
        <v>9.67</v>
      </c>
      <c r="N1023" t="s">
        <v>36</v>
      </c>
      <c r="O1023">
        <v>116</v>
      </c>
      <c r="P1023">
        <v>27</v>
      </c>
      <c r="Q1023">
        <v>0</v>
      </c>
      <c r="R1023">
        <v>6</v>
      </c>
      <c r="S1023" t="s">
        <v>29</v>
      </c>
      <c r="T1023" t="s">
        <v>44</v>
      </c>
      <c r="U1023" t="s">
        <v>88</v>
      </c>
      <c r="V1023" t="s">
        <v>39</v>
      </c>
      <c r="W1023">
        <v>0</v>
      </c>
      <c r="X1023">
        <v>0</v>
      </c>
      <c r="Y1023" s="2">
        <f>Table1[[#This Row],[premium_yearly]]*Table1[[#This Row],[tenure_years]]</f>
        <v>10241.690399999999</v>
      </c>
      <c r="Z1023" s="2">
        <f>Table1[[#This Row],[total_collected_premiums]]*(1-$AD$2)</f>
        <v>7476.4339919999993</v>
      </c>
      <c r="AA1023" s="2">
        <f>Table1[[#This Row],[retained_premium]]-Table1[[#This Row],[claim_amount_paid]]</f>
        <v>-2523.5660080000007</v>
      </c>
    </row>
    <row r="1024" spans="1:27" x14ac:dyDescent="0.35">
      <c r="A1024" t="s">
        <v>3111</v>
      </c>
      <c r="B1024" t="s">
        <v>3112</v>
      </c>
      <c r="C1024" t="s">
        <v>3113</v>
      </c>
      <c r="D1024" s="1">
        <v>42075</v>
      </c>
      <c r="E1024" s="1">
        <v>44229</v>
      </c>
      <c r="F1024" s="1">
        <v>44234</v>
      </c>
      <c r="G1024">
        <v>5</v>
      </c>
      <c r="H1024">
        <v>101.08</v>
      </c>
      <c r="I1024">
        <v>1212.96</v>
      </c>
      <c r="J1024">
        <v>2000</v>
      </c>
      <c r="K1024" t="s">
        <v>27</v>
      </c>
      <c r="L1024">
        <v>2000</v>
      </c>
      <c r="M1024">
        <v>3.92</v>
      </c>
      <c r="N1024" t="s">
        <v>36</v>
      </c>
      <c r="O1024">
        <v>47</v>
      </c>
      <c r="P1024">
        <v>41</v>
      </c>
      <c r="Q1024">
        <v>1</v>
      </c>
      <c r="R1024">
        <v>4</v>
      </c>
      <c r="S1024" t="s">
        <v>65</v>
      </c>
      <c r="T1024" t="s">
        <v>50</v>
      </c>
      <c r="U1024" t="s">
        <v>38</v>
      </c>
      <c r="V1024" t="s">
        <v>39</v>
      </c>
      <c r="W1024">
        <v>0</v>
      </c>
      <c r="X1024">
        <v>1</v>
      </c>
      <c r="Y1024" s="2">
        <f>Table1[[#This Row],[premium_yearly]]*Table1[[#This Row],[tenure_years]]</f>
        <v>4754.8032000000003</v>
      </c>
      <c r="Z1024" s="2">
        <f>Table1[[#This Row],[total_collected_premiums]]*(1-$AD$2)</f>
        <v>3471.0063359999999</v>
      </c>
      <c r="AA1024" s="2">
        <f>Table1[[#This Row],[retained_premium]]-Table1[[#This Row],[claim_amount_paid]]</f>
        <v>1471.0063359999999</v>
      </c>
    </row>
    <row r="1025" spans="1:27" x14ac:dyDescent="0.35">
      <c r="A1025" t="s">
        <v>3114</v>
      </c>
      <c r="B1025" t="s">
        <v>3115</v>
      </c>
      <c r="C1025" t="s">
        <v>3116</v>
      </c>
      <c r="D1025" s="1">
        <v>43811</v>
      </c>
      <c r="E1025" s="1">
        <v>44228</v>
      </c>
      <c r="F1025" s="1">
        <v>44233</v>
      </c>
      <c r="G1025">
        <v>5</v>
      </c>
      <c r="H1025">
        <v>109.23</v>
      </c>
      <c r="I1025">
        <v>1310.76</v>
      </c>
      <c r="J1025">
        <v>4000</v>
      </c>
      <c r="K1025" t="s">
        <v>27</v>
      </c>
      <c r="L1025">
        <v>4000</v>
      </c>
      <c r="M1025">
        <v>2.92</v>
      </c>
      <c r="N1025" t="s">
        <v>36</v>
      </c>
      <c r="O1025">
        <v>35</v>
      </c>
      <c r="P1025">
        <v>58</v>
      </c>
      <c r="Q1025">
        <v>0</v>
      </c>
      <c r="R1025">
        <v>6</v>
      </c>
      <c r="S1025" t="s">
        <v>65</v>
      </c>
      <c r="T1025" t="s">
        <v>30</v>
      </c>
      <c r="U1025" t="s">
        <v>31</v>
      </c>
      <c r="V1025" t="s">
        <v>32</v>
      </c>
      <c r="W1025">
        <v>0</v>
      </c>
      <c r="X1025">
        <v>1</v>
      </c>
      <c r="Y1025" s="2">
        <f>Table1[[#This Row],[premium_yearly]]*Table1[[#This Row],[tenure_years]]</f>
        <v>3827.4191999999998</v>
      </c>
      <c r="Z1025" s="2">
        <f>Table1[[#This Row],[total_collected_premiums]]*(1-$AD$2)</f>
        <v>2794.0160159999996</v>
      </c>
      <c r="AA1025" s="2">
        <f>Table1[[#This Row],[retained_premium]]-Table1[[#This Row],[claim_amount_paid]]</f>
        <v>-1205.9839840000004</v>
      </c>
    </row>
    <row r="1026" spans="1:27" x14ac:dyDescent="0.35">
      <c r="A1026" t="s">
        <v>3117</v>
      </c>
      <c r="B1026" t="s">
        <v>3118</v>
      </c>
      <c r="C1026" t="s">
        <v>3119</v>
      </c>
      <c r="D1026" s="1">
        <v>41269</v>
      </c>
      <c r="E1026" s="1">
        <v>44237</v>
      </c>
      <c r="F1026" s="1">
        <v>44238</v>
      </c>
      <c r="G1026">
        <v>1</v>
      </c>
      <c r="H1026">
        <v>93.91</v>
      </c>
      <c r="I1026">
        <v>1126.92</v>
      </c>
      <c r="J1026">
        <v>9000</v>
      </c>
      <c r="K1026" t="s">
        <v>27</v>
      </c>
      <c r="L1026">
        <v>9000</v>
      </c>
      <c r="M1026">
        <v>3.33</v>
      </c>
      <c r="N1026" t="s">
        <v>28</v>
      </c>
      <c r="O1026">
        <v>40</v>
      </c>
      <c r="P1026">
        <v>34</v>
      </c>
      <c r="Q1026">
        <v>1</v>
      </c>
      <c r="R1026">
        <v>4</v>
      </c>
      <c r="S1026" t="s">
        <v>65</v>
      </c>
      <c r="T1026" t="s">
        <v>30</v>
      </c>
      <c r="U1026" t="s">
        <v>31</v>
      </c>
      <c r="V1026" t="s">
        <v>45</v>
      </c>
      <c r="W1026">
        <v>0</v>
      </c>
      <c r="X1026">
        <v>1</v>
      </c>
      <c r="Y1026" s="2">
        <f>Table1[[#This Row],[premium_yearly]]*Table1[[#This Row],[tenure_years]]</f>
        <v>3752.6436000000003</v>
      </c>
      <c r="Z1026" s="2">
        <f>Table1[[#This Row],[total_collected_premiums]]*(1-$AD$2)</f>
        <v>2739.4298280000003</v>
      </c>
      <c r="AA1026" s="2">
        <f>Table1[[#This Row],[retained_premium]]-Table1[[#This Row],[claim_amount_paid]]</f>
        <v>-6260.5701719999997</v>
      </c>
    </row>
    <row r="1027" spans="1:27" x14ac:dyDescent="0.35">
      <c r="A1027" t="s">
        <v>3120</v>
      </c>
      <c r="B1027" t="s">
        <v>3121</v>
      </c>
      <c r="C1027" t="s">
        <v>3122</v>
      </c>
      <c r="D1027" s="1">
        <v>42546</v>
      </c>
      <c r="E1027" s="1">
        <v>44224</v>
      </c>
      <c r="F1027" s="1">
        <v>44229</v>
      </c>
      <c r="G1027">
        <v>5</v>
      </c>
      <c r="H1027">
        <v>133.12</v>
      </c>
      <c r="I1027">
        <v>1597.44</v>
      </c>
      <c r="J1027">
        <v>8000</v>
      </c>
      <c r="K1027" t="s">
        <v>27</v>
      </c>
      <c r="L1027">
        <v>8000</v>
      </c>
      <c r="M1027">
        <v>5.17</v>
      </c>
      <c r="N1027" t="s">
        <v>49</v>
      </c>
      <c r="O1027">
        <v>62</v>
      </c>
      <c r="P1027">
        <v>43</v>
      </c>
      <c r="Q1027">
        <v>1</v>
      </c>
      <c r="R1027">
        <v>7</v>
      </c>
      <c r="S1027" t="s">
        <v>65</v>
      </c>
      <c r="T1027" t="s">
        <v>30</v>
      </c>
      <c r="U1027" t="s">
        <v>38</v>
      </c>
      <c r="V1027" t="s">
        <v>45</v>
      </c>
      <c r="W1027">
        <v>1</v>
      </c>
      <c r="X1027">
        <v>1</v>
      </c>
      <c r="Y1027" s="2">
        <f>Table1[[#This Row],[premium_yearly]]*Table1[[#This Row],[tenure_years]]</f>
        <v>8258.7648000000008</v>
      </c>
      <c r="Z1027" s="2">
        <f>Table1[[#This Row],[total_collected_premiums]]*(1-$AD$2)</f>
        <v>6028.8983040000003</v>
      </c>
      <c r="AA1027" s="2">
        <f>Table1[[#This Row],[retained_premium]]-Table1[[#This Row],[claim_amount_paid]]</f>
        <v>-1971.1016959999997</v>
      </c>
    </row>
    <row r="1028" spans="1:27" x14ac:dyDescent="0.35">
      <c r="A1028" t="s">
        <v>3123</v>
      </c>
      <c r="B1028" t="s">
        <v>3124</v>
      </c>
      <c r="C1028" t="s">
        <v>3125</v>
      </c>
      <c r="D1028" s="1">
        <v>41008</v>
      </c>
      <c r="E1028" s="1">
        <v>44223</v>
      </c>
      <c r="F1028" s="1">
        <v>44228</v>
      </c>
      <c r="G1028">
        <v>5</v>
      </c>
      <c r="H1028">
        <v>87.6</v>
      </c>
      <c r="I1028">
        <v>1051.2</v>
      </c>
      <c r="J1028">
        <v>1000</v>
      </c>
      <c r="K1028" t="s">
        <v>27</v>
      </c>
      <c r="L1028">
        <v>1000</v>
      </c>
      <c r="M1028">
        <v>8.92</v>
      </c>
      <c r="N1028" t="s">
        <v>49</v>
      </c>
      <c r="O1028">
        <v>107</v>
      </c>
      <c r="P1028">
        <v>64</v>
      </c>
      <c r="Q1028">
        <v>1</v>
      </c>
      <c r="R1028">
        <v>3</v>
      </c>
      <c r="S1028" t="s">
        <v>65</v>
      </c>
      <c r="T1028" t="s">
        <v>30</v>
      </c>
      <c r="U1028" t="s">
        <v>31</v>
      </c>
      <c r="V1028" t="s">
        <v>45</v>
      </c>
      <c r="W1028">
        <v>0</v>
      </c>
      <c r="X1028">
        <v>1</v>
      </c>
      <c r="Y1028" s="2">
        <f>Table1[[#This Row],[premium_yearly]]*Table1[[#This Row],[tenure_years]]</f>
        <v>9376.7039999999997</v>
      </c>
      <c r="Z1028" s="2">
        <f>Table1[[#This Row],[total_collected_premiums]]*(1-$AD$2)</f>
        <v>6844.9939199999999</v>
      </c>
      <c r="AA1028" s="2">
        <f>Table1[[#This Row],[retained_premium]]-Table1[[#This Row],[claim_amount_paid]]</f>
        <v>5844.9939199999999</v>
      </c>
    </row>
    <row r="1029" spans="1:27" x14ac:dyDescent="0.35">
      <c r="A1029" t="s">
        <v>3126</v>
      </c>
      <c r="B1029" t="s">
        <v>3127</v>
      </c>
      <c r="C1029" t="s">
        <v>3128</v>
      </c>
      <c r="D1029" s="1">
        <v>40753</v>
      </c>
      <c r="E1029" s="1">
        <v>44241</v>
      </c>
      <c r="F1029" s="1">
        <v>44241</v>
      </c>
      <c r="G1029">
        <v>0</v>
      </c>
      <c r="H1029">
        <v>96.52</v>
      </c>
      <c r="I1029">
        <v>1158.24</v>
      </c>
      <c r="J1029">
        <v>1000</v>
      </c>
      <c r="K1029" t="s">
        <v>27</v>
      </c>
      <c r="L1029">
        <v>1000</v>
      </c>
      <c r="M1029">
        <v>9.25</v>
      </c>
      <c r="N1029" t="s">
        <v>49</v>
      </c>
      <c r="O1029">
        <v>111</v>
      </c>
      <c r="P1029">
        <v>38</v>
      </c>
      <c r="Q1029">
        <v>1</v>
      </c>
      <c r="R1029">
        <v>6</v>
      </c>
      <c r="S1029" t="s">
        <v>37</v>
      </c>
      <c r="T1029" t="s">
        <v>50</v>
      </c>
      <c r="U1029" t="s">
        <v>38</v>
      </c>
      <c r="V1029" t="s">
        <v>39</v>
      </c>
      <c r="W1029">
        <v>0</v>
      </c>
      <c r="X1029">
        <v>1</v>
      </c>
      <c r="Y1029" s="2">
        <f>Table1[[#This Row],[premium_yearly]]*Table1[[#This Row],[tenure_years]]</f>
        <v>10713.72</v>
      </c>
      <c r="Z1029" s="2">
        <f>Table1[[#This Row],[total_collected_premiums]]*(1-$AD$2)</f>
        <v>7821.0155999999997</v>
      </c>
      <c r="AA1029" s="2">
        <f>Table1[[#This Row],[retained_premium]]-Table1[[#This Row],[claim_amount_paid]]</f>
        <v>6821.0155999999997</v>
      </c>
    </row>
    <row r="1030" spans="1:27" x14ac:dyDescent="0.35">
      <c r="A1030" t="s">
        <v>3129</v>
      </c>
      <c r="B1030" t="s">
        <v>3130</v>
      </c>
      <c r="C1030" t="s">
        <v>3131</v>
      </c>
      <c r="D1030" s="1">
        <v>42361</v>
      </c>
      <c r="E1030" s="1">
        <v>44237</v>
      </c>
      <c r="F1030" s="1">
        <v>44239</v>
      </c>
      <c r="G1030">
        <v>2</v>
      </c>
      <c r="H1030">
        <v>107.56</v>
      </c>
      <c r="I1030">
        <v>1290.72</v>
      </c>
      <c r="J1030">
        <v>2000</v>
      </c>
      <c r="K1030" t="s">
        <v>43</v>
      </c>
      <c r="L1030">
        <v>0</v>
      </c>
      <c r="M1030">
        <v>5.83</v>
      </c>
      <c r="N1030" t="s">
        <v>49</v>
      </c>
      <c r="O1030">
        <v>70</v>
      </c>
      <c r="P1030">
        <v>58</v>
      </c>
      <c r="Q1030">
        <v>1</v>
      </c>
      <c r="R1030">
        <v>3</v>
      </c>
      <c r="S1030" t="s">
        <v>65</v>
      </c>
      <c r="T1030" t="s">
        <v>30</v>
      </c>
      <c r="U1030" t="s">
        <v>31</v>
      </c>
      <c r="V1030" t="s">
        <v>39</v>
      </c>
      <c r="W1030">
        <v>1</v>
      </c>
      <c r="X1030">
        <v>1</v>
      </c>
      <c r="Y1030" s="2">
        <f>Table1[[#This Row],[premium_yearly]]*Table1[[#This Row],[tenure_years]]</f>
        <v>7524.8976000000002</v>
      </c>
      <c r="Z1030" s="2">
        <f>Table1[[#This Row],[total_collected_premiums]]*(1-$AD$2)</f>
        <v>5493.1752480000005</v>
      </c>
      <c r="AA1030" s="2">
        <f>Table1[[#This Row],[retained_premium]]-Table1[[#This Row],[claim_amount_paid]]</f>
        <v>5493.1752480000005</v>
      </c>
    </row>
    <row r="1031" spans="1:27" x14ac:dyDescent="0.35">
      <c r="A1031" t="s">
        <v>3132</v>
      </c>
      <c r="B1031" t="s">
        <v>3133</v>
      </c>
      <c r="C1031" t="s">
        <v>3134</v>
      </c>
      <c r="D1031" s="1">
        <v>40510</v>
      </c>
      <c r="E1031" s="1">
        <v>44233</v>
      </c>
      <c r="F1031" s="1">
        <v>44236</v>
      </c>
      <c r="G1031">
        <v>3</v>
      </c>
      <c r="H1031">
        <v>106.78</v>
      </c>
      <c r="I1031">
        <v>1281.3599999999999</v>
      </c>
      <c r="J1031">
        <v>5000</v>
      </c>
      <c r="K1031" t="s">
        <v>27</v>
      </c>
      <c r="L1031">
        <v>5000</v>
      </c>
      <c r="M1031">
        <v>1.83</v>
      </c>
      <c r="N1031" t="s">
        <v>49</v>
      </c>
      <c r="O1031">
        <v>22</v>
      </c>
      <c r="P1031">
        <v>47</v>
      </c>
      <c r="Q1031">
        <v>1</v>
      </c>
      <c r="R1031">
        <v>2</v>
      </c>
      <c r="S1031" t="s">
        <v>29</v>
      </c>
      <c r="T1031" t="s">
        <v>30</v>
      </c>
      <c r="U1031" t="s">
        <v>31</v>
      </c>
      <c r="V1031" t="s">
        <v>32</v>
      </c>
      <c r="W1031">
        <v>1</v>
      </c>
      <c r="X1031">
        <v>0</v>
      </c>
      <c r="Y1031" s="2">
        <f>Table1[[#This Row],[premium_yearly]]*Table1[[#This Row],[tenure_years]]</f>
        <v>2344.8887999999997</v>
      </c>
      <c r="Z1031" s="2">
        <f>Table1[[#This Row],[total_collected_premiums]]*(1-$AD$2)</f>
        <v>1711.7688239999998</v>
      </c>
      <c r="AA1031" s="2">
        <f>Table1[[#This Row],[retained_premium]]-Table1[[#This Row],[claim_amount_paid]]</f>
        <v>-3288.2311760000002</v>
      </c>
    </row>
    <row r="1032" spans="1:27" x14ac:dyDescent="0.35">
      <c r="A1032" t="s">
        <v>3135</v>
      </c>
      <c r="B1032" t="s">
        <v>3136</v>
      </c>
      <c r="C1032" t="s">
        <v>3137</v>
      </c>
      <c r="D1032" s="1">
        <v>41696</v>
      </c>
      <c r="E1032" s="1">
        <v>44241</v>
      </c>
      <c r="F1032" s="1">
        <v>44241</v>
      </c>
      <c r="G1032">
        <v>0</v>
      </c>
      <c r="H1032">
        <v>73.42</v>
      </c>
      <c r="I1032">
        <v>881.04</v>
      </c>
      <c r="J1032">
        <v>6000</v>
      </c>
      <c r="K1032" t="s">
        <v>27</v>
      </c>
      <c r="L1032">
        <v>6000</v>
      </c>
      <c r="M1032">
        <v>3.58</v>
      </c>
      <c r="N1032" t="s">
        <v>49</v>
      </c>
      <c r="O1032">
        <v>43</v>
      </c>
      <c r="P1032">
        <v>26</v>
      </c>
      <c r="Q1032">
        <v>1</v>
      </c>
      <c r="R1032">
        <v>3</v>
      </c>
      <c r="S1032" t="s">
        <v>65</v>
      </c>
      <c r="T1032" t="s">
        <v>50</v>
      </c>
      <c r="U1032" t="s">
        <v>38</v>
      </c>
      <c r="V1032" t="s">
        <v>39</v>
      </c>
      <c r="W1032">
        <v>1</v>
      </c>
      <c r="X1032">
        <v>0</v>
      </c>
      <c r="Y1032" s="2">
        <f>Table1[[#This Row],[premium_yearly]]*Table1[[#This Row],[tenure_years]]</f>
        <v>3154.1232</v>
      </c>
      <c r="Z1032" s="2">
        <f>Table1[[#This Row],[total_collected_premiums]]*(1-$AD$2)</f>
        <v>2302.5099359999999</v>
      </c>
      <c r="AA1032" s="2">
        <f>Table1[[#This Row],[retained_premium]]-Table1[[#This Row],[claim_amount_paid]]</f>
        <v>-3697.4900640000001</v>
      </c>
    </row>
    <row r="1033" spans="1:27" x14ac:dyDescent="0.35">
      <c r="A1033" t="s">
        <v>3138</v>
      </c>
      <c r="B1033" t="s">
        <v>3139</v>
      </c>
      <c r="C1033" t="s">
        <v>3140</v>
      </c>
      <c r="D1033" s="1">
        <v>42563</v>
      </c>
      <c r="E1033" s="1">
        <v>44231</v>
      </c>
      <c r="F1033" s="1">
        <v>44236</v>
      </c>
      <c r="G1033">
        <v>5</v>
      </c>
      <c r="H1033">
        <v>136.94</v>
      </c>
      <c r="I1033">
        <v>1643.28</v>
      </c>
      <c r="J1033">
        <v>10000</v>
      </c>
      <c r="K1033" t="s">
        <v>27</v>
      </c>
      <c r="L1033">
        <v>10000</v>
      </c>
      <c r="M1033">
        <v>6.67</v>
      </c>
      <c r="N1033" t="s">
        <v>28</v>
      </c>
      <c r="O1033">
        <v>80</v>
      </c>
      <c r="P1033">
        <v>49</v>
      </c>
      <c r="Q1033">
        <v>0</v>
      </c>
      <c r="R1033">
        <v>2</v>
      </c>
      <c r="S1033" t="s">
        <v>29</v>
      </c>
      <c r="T1033" t="s">
        <v>30</v>
      </c>
      <c r="U1033" t="s">
        <v>58</v>
      </c>
      <c r="V1033" t="s">
        <v>32</v>
      </c>
      <c r="W1033">
        <v>1</v>
      </c>
      <c r="X1033">
        <v>1</v>
      </c>
      <c r="Y1033" s="2">
        <f>Table1[[#This Row],[premium_yearly]]*Table1[[#This Row],[tenure_years]]</f>
        <v>10960.677599999999</v>
      </c>
      <c r="Z1033" s="2">
        <f>Table1[[#This Row],[total_collected_premiums]]*(1-$AD$2)</f>
        <v>8001.2946479999991</v>
      </c>
      <c r="AA1033" s="2">
        <f>Table1[[#This Row],[retained_premium]]-Table1[[#This Row],[claim_amount_paid]]</f>
        <v>-1998.7053520000009</v>
      </c>
    </row>
    <row r="1034" spans="1:27" x14ac:dyDescent="0.35">
      <c r="A1034" t="s">
        <v>3141</v>
      </c>
      <c r="B1034" t="s">
        <v>3142</v>
      </c>
      <c r="C1034" t="s">
        <v>3143</v>
      </c>
      <c r="D1034" s="1">
        <v>43516</v>
      </c>
      <c r="E1034" s="1">
        <v>44224</v>
      </c>
      <c r="F1034" s="1">
        <v>44229</v>
      </c>
      <c r="G1034">
        <v>5</v>
      </c>
      <c r="H1034">
        <v>139.72999999999999</v>
      </c>
      <c r="I1034">
        <v>1676.76</v>
      </c>
      <c r="J1034">
        <v>4000</v>
      </c>
      <c r="K1034" t="s">
        <v>27</v>
      </c>
      <c r="L1034">
        <v>4000</v>
      </c>
      <c r="M1034">
        <v>6.33</v>
      </c>
      <c r="N1034" t="s">
        <v>28</v>
      </c>
      <c r="O1034">
        <v>76</v>
      </c>
      <c r="P1034">
        <v>45</v>
      </c>
      <c r="Q1034">
        <v>1</v>
      </c>
      <c r="R1034">
        <v>4</v>
      </c>
      <c r="S1034" t="s">
        <v>29</v>
      </c>
      <c r="T1034" t="s">
        <v>50</v>
      </c>
      <c r="U1034" t="s">
        <v>38</v>
      </c>
      <c r="V1034" t="s">
        <v>32</v>
      </c>
      <c r="W1034">
        <v>0</v>
      </c>
      <c r="X1034">
        <v>1</v>
      </c>
      <c r="Y1034" s="2">
        <f>Table1[[#This Row],[premium_yearly]]*Table1[[#This Row],[tenure_years]]</f>
        <v>10613.890799999999</v>
      </c>
      <c r="Z1034" s="2">
        <f>Table1[[#This Row],[total_collected_premiums]]*(1-$AD$2)</f>
        <v>7748.1402839999992</v>
      </c>
      <c r="AA1034" s="2">
        <f>Table1[[#This Row],[retained_premium]]-Table1[[#This Row],[claim_amount_paid]]</f>
        <v>3748.1402839999992</v>
      </c>
    </row>
    <row r="1035" spans="1:27" x14ac:dyDescent="0.35">
      <c r="A1035" t="s">
        <v>3144</v>
      </c>
      <c r="B1035" t="s">
        <v>3145</v>
      </c>
      <c r="C1035" t="s">
        <v>3146</v>
      </c>
      <c r="D1035" s="1">
        <v>43569</v>
      </c>
      <c r="E1035" s="1">
        <v>44225</v>
      </c>
      <c r="F1035" s="1">
        <v>44230</v>
      </c>
      <c r="G1035">
        <v>5</v>
      </c>
      <c r="H1035">
        <v>73.25</v>
      </c>
      <c r="I1035">
        <v>879</v>
      </c>
      <c r="J1035">
        <v>1000</v>
      </c>
      <c r="K1035" t="s">
        <v>27</v>
      </c>
      <c r="L1035">
        <v>1000</v>
      </c>
      <c r="M1035">
        <v>1.67</v>
      </c>
      <c r="N1035" t="s">
        <v>49</v>
      </c>
      <c r="O1035">
        <v>20</v>
      </c>
      <c r="P1035">
        <v>35</v>
      </c>
      <c r="Q1035">
        <v>1</v>
      </c>
      <c r="R1035">
        <v>3</v>
      </c>
      <c r="S1035" t="s">
        <v>29</v>
      </c>
      <c r="T1035" t="s">
        <v>30</v>
      </c>
      <c r="U1035" t="s">
        <v>31</v>
      </c>
      <c r="V1035" t="s">
        <v>39</v>
      </c>
      <c r="W1035">
        <v>1</v>
      </c>
      <c r="X1035">
        <v>1</v>
      </c>
      <c r="Y1035" s="2">
        <f>Table1[[#This Row],[premium_yearly]]*Table1[[#This Row],[tenure_years]]</f>
        <v>1467.9299999999998</v>
      </c>
      <c r="Z1035" s="2">
        <f>Table1[[#This Row],[total_collected_premiums]]*(1-$AD$2)</f>
        <v>1071.5889</v>
      </c>
      <c r="AA1035" s="2">
        <f>Table1[[#This Row],[retained_premium]]-Table1[[#This Row],[claim_amount_paid]]</f>
        <v>71.588899999999967</v>
      </c>
    </row>
    <row r="1036" spans="1:27" x14ac:dyDescent="0.35">
      <c r="A1036" t="s">
        <v>3147</v>
      </c>
      <c r="B1036" t="s">
        <v>3148</v>
      </c>
      <c r="C1036" t="s">
        <v>3149</v>
      </c>
      <c r="D1036" s="1">
        <v>42550</v>
      </c>
      <c r="E1036" s="1">
        <v>44230</v>
      </c>
      <c r="F1036" s="1">
        <v>44235</v>
      </c>
      <c r="G1036">
        <v>5</v>
      </c>
      <c r="H1036">
        <v>133.87</v>
      </c>
      <c r="I1036">
        <v>1606.44</v>
      </c>
      <c r="J1036">
        <v>2000</v>
      </c>
      <c r="K1036" t="s">
        <v>27</v>
      </c>
      <c r="L1036">
        <v>2000</v>
      </c>
      <c r="M1036">
        <v>9.58</v>
      </c>
      <c r="N1036" t="s">
        <v>28</v>
      </c>
      <c r="O1036">
        <v>115</v>
      </c>
      <c r="P1036">
        <v>30</v>
      </c>
      <c r="Q1036">
        <v>0</v>
      </c>
      <c r="R1036">
        <v>4</v>
      </c>
      <c r="S1036" t="s">
        <v>65</v>
      </c>
      <c r="T1036" t="s">
        <v>30</v>
      </c>
      <c r="U1036" t="s">
        <v>38</v>
      </c>
      <c r="V1036" t="s">
        <v>39</v>
      </c>
      <c r="W1036">
        <v>1</v>
      </c>
      <c r="X1036">
        <v>1</v>
      </c>
      <c r="Y1036" s="2">
        <f>Table1[[#This Row],[premium_yearly]]*Table1[[#This Row],[tenure_years]]</f>
        <v>15389.6952</v>
      </c>
      <c r="Z1036" s="2">
        <f>Table1[[#This Row],[total_collected_premiums]]*(1-$AD$2)</f>
        <v>11234.477496</v>
      </c>
      <c r="AA1036" s="2">
        <f>Table1[[#This Row],[retained_premium]]-Table1[[#This Row],[claim_amount_paid]]</f>
        <v>9234.4774959999995</v>
      </c>
    </row>
    <row r="1037" spans="1:27" x14ac:dyDescent="0.35">
      <c r="A1037" t="s">
        <v>3150</v>
      </c>
      <c r="B1037" t="s">
        <v>3151</v>
      </c>
      <c r="C1037" t="s">
        <v>3152</v>
      </c>
      <c r="D1037" s="1">
        <v>41944</v>
      </c>
      <c r="E1037" s="1">
        <v>44225</v>
      </c>
      <c r="F1037" s="1">
        <v>44230</v>
      </c>
      <c r="G1037">
        <v>5</v>
      </c>
      <c r="H1037">
        <v>119.06</v>
      </c>
      <c r="I1037">
        <v>1428.72</v>
      </c>
      <c r="J1037">
        <v>10000</v>
      </c>
      <c r="K1037" t="s">
        <v>27</v>
      </c>
      <c r="L1037">
        <v>10000</v>
      </c>
      <c r="M1037">
        <v>7.75</v>
      </c>
      <c r="N1037" t="s">
        <v>49</v>
      </c>
      <c r="O1037">
        <v>93</v>
      </c>
      <c r="P1037">
        <v>61</v>
      </c>
      <c r="Q1037">
        <v>1</v>
      </c>
      <c r="R1037">
        <v>5</v>
      </c>
      <c r="S1037" t="s">
        <v>65</v>
      </c>
      <c r="T1037" t="s">
        <v>30</v>
      </c>
      <c r="U1037" t="s">
        <v>38</v>
      </c>
      <c r="V1037" t="s">
        <v>32</v>
      </c>
      <c r="W1037">
        <v>0</v>
      </c>
      <c r="X1037">
        <v>1</v>
      </c>
      <c r="Y1037" s="2">
        <f>Table1[[#This Row],[premium_yearly]]*Table1[[#This Row],[tenure_years]]</f>
        <v>11072.58</v>
      </c>
      <c r="Z1037" s="2">
        <f>Table1[[#This Row],[total_collected_premiums]]*(1-$AD$2)</f>
        <v>8082.9834000000001</v>
      </c>
      <c r="AA1037" s="2">
        <f>Table1[[#This Row],[retained_premium]]-Table1[[#This Row],[claim_amount_paid]]</f>
        <v>-1917.0165999999999</v>
      </c>
    </row>
    <row r="1038" spans="1:27" x14ac:dyDescent="0.35">
      <c r="A1038" t="s">
        <v>3153</v>
      </c>
      <c r="B1038" t="s">
        <v>3154</v>
      </c>
      <c r="C1038" t="s">
        <v>3155</v>
      </c>
      <c r="D1038" s="1">
        <v>41762</v>
      </c>
      <c r="E1038" s="1">
        <v>44231</v>
      </c>
      <c r="F1038" s="1">
        <v>44236</v>
      </c>
      <c r="G1038">
        <v>5</v>
      </c>
      <c r="H1038">
        <v>91.52</v>
      </c>
      <c r="I1038">
        <v>1098.24</v>
      </c>
      <c r="J1038">
        <v>4000</v>
      </c>
      <c r="K1038" t="s">
        <v>27</v>
      </c>
      <c r="L1038">
        <v>4000</v>
      </c>
      <c r="M1038">
        <v>4.92</v>
      </c>
      <c r="N1038" t="s">
        <v>36</v>
      </c>
      <c r="O1038">
        <v>59</v>
      </c>
      <c r="P1038">
        <v>29</v>
      </c>
      <c r="Q1038">
        <v>0</v>
      </c>
      <c r="R1038">
        <v>5</v>
      </c>
      <c r="S1038" t="s">
        <v>65</v>
      </c>
      <c r="T1038" t="s">
        <v>30</v>
      </c>
      <c r="U1038" t="s">
        <v>31</v>
      </c>
      <c r="V1038" t="s">
        <v>39</v>
      </c>
      <c r="W1038">
        <v>1</v>
      </c>
      <c r="X1038">
        <v>1</v>
      </c>
      <c r="Y1038" s="2">
        <f>Table1[[#This Row],[premium_yearly]]*Table1[[#This Row],[tenure_years]]</f>
        <v>5403.3407999999999</v>
      </c>
      <c r="Z1038" s="2">
        <f>Table1[[#This Row],[total_collected_premiums]]*(1-$AD$2)</f>
        <v>3944.4387839999999</v>
      </c>
      <c r="AA1038" s="2">
        <f>Table1[[#This Row],[retained_premium]]-Table1[[#This Row],[claim_amount_paid]]</f>
        <v>-55.561216000000059</v>
      </c>
    </row>
    <row r="1039" spans="1:27" x14ac:dyDescent="0.35">
      <c r="A1039" t="s">
        <v>3156</v>
      </c>
      <c r="B1039" t="s">
        <v>3157</v>
      </c>
      <c r="C1039" t="s">
        <v>3158</v>
      </c>
      <c r="D1039" s="1">
        <v>43274</v>
      </c>
      <c r="E1039" s="1">
        <v>44226</v>
      </c>
      <c r="F1039" s="1">
        <v>44231</v>
      </c>
      <c r="G1039">
        <v>5</v>
      </c>
      <c r="H1039">
        <v>78.22</v>
      </c>
      <c r="I1039">
        <v>938.64</v>
      </c>
      <c r="J1039">
        <v>7000</v>
      </c>
      <c r="K1039" t="s">
        <v>27</v>
      </c>
      <c r="L1039">
        <v>7000</v>
      </c>
      <c r="M1039">
        <v>1.08</v>
      </c>
      <c r="N1039" t="s">
        <v>36</v>
      </c>
      <c r="O1039">
        <v>13</v>
      </c>
      <c r="P1039">
        <v>41</v>
      </c>
      <c r="Q1039">
        <v>1</v>
      </c>
      <c r="R1039">
        <v>6</v>
      </c>
      <c r="S1039" t="s">
        <v>37</v>
      </c>
      <c r="T1039" t="s">
        <v>30</v>
      </c>
      <c r="U1039" t="s">
        <v>38</v>
      </c>
      <c r="V1039" t="s">
        <v>39</v>
      </c>
      <c r="W1039">
        <v>1</v>
      </c>
      <c r="X1039">
        <v>1</v>
      </c>
      <c r="Y1039" s="2">
        <f>Table1[[#This Row],[premium_yearly]]*Table1[[#This Row],[tenure_years]]</f>
        <v>1013.7312000000001</v>
      </c>
      <c r="Z1039" s="2">
        <f>Table1[[#This Row],[total_collected_premiums]]*(1-$AD$2)</f>
        <v>740.023776</v>
      </c>
      <c r="AA1039" s="2">
        <f>Table1[[#This Row],[retained_premium]]-Table1[[#This Row],[claim_amount_paid]]</f>
        <v>-6259.976224</v>
      </c>
    </row>
    <row r="1040" spans="1:27" x14ac:dyDescent="0.35">
      <c r="A1040" t="s">
        <v>3159</v>
      </c>
      <c r="B1040" t="s">
        <v>3160</v>
      </c>
      <c r="C1040" t="s">
        <v>3161</v>
      </c>
      <c r="D1040" s="1">
        <v>43518</v>
      </c>
      <c r="E1040" s="1">
        <v>44229</v>
      </c>
      <c r="F1040" s="1">
        <v>44234</v>
      </c>
      <c r="G1040">
        <v>5</v>
      </c>
      <c r="H1040">
        <v>87.6</v>
      </c>
      <c r="I1040">
        <v>1051.2</v>
      </c>
      <c r="J1040">
        <v>1000</v>
      </c>
      <c r="K1040" t="s">
        <v>27</v>
      </c>
      <c r="L1040">
        <v>1000</v>
      </c>
      <c r="M1040">
        <v>4.42</v>
      </c>
      <c r="N1040" t="s">
        <v>28</v>
      </c>
      <c r="O1040">
        <v>53</v>
      </c>
      <c r="P1040">
        <v>53</v>
      </c>
      <c r="Q1040">
        <v>1</v>
      </c>
      <c r="R1040">
        <v>7</v>
      </c>
      <c r="S1040" t="s">
        <v>65</v>
      </c>
      <c r="T1040" t="s">
        <v>30</v>
      </c>
      <c r="U1040" t="s">
        <v>66</v>
      </c>
      <c r="V1040" t="s">
        <v>39</v>
      </c>
      <c r="W1040">
        <v>1</v>
      </c>
      <c r="X1040">
        <v>1</v>
      </c>
      <c r="Y1040" s="2">
        <f>Table1[[#This Row],[premium_yearly]]*Table1[[#This Row],[tenure_years]]</f>
        <v>4646.3040000000001</v>
      </c>
      <c r="Z1040" s="2">
        <f>Table1[[#This Row],[total_collected_premiums]]*(1-$AD$2)</f>
        <v>3391.8019199999999</v>
      </c>
      <c r="AA1040" s="2">
        <f>Table1[[#This Row],[retained_premium]]-Table1[[#This Row],[claim_amount_paid]]</f>
        <v>2391.8019199999999</v>
      </c>
    </row>
    <row r="1041" spans="1:27" x14ac:dyDescent="0.35">
      <c r="A1041" t="s">
        <v>3162</v>
      </c>
      <c r="B1041" t="s">
        <v>3163</v>
      </c>
      <c r="C1041" t="s">
        <v>3164</v>
      </c>
      <c r="D1041" s="1">
        <v>41464</v>
      </c>
      <c r="E1041" s="1">
        <v>44233</v>
      </c>
      <c r="F1041" s="1">
        <v>44238</v>
      </c>
      <c r="G1041">
        <v>5</v>
      </c>
      <c r="H1041">
        <v>95.43</v>
      </c>
      <c r="I1041">
        <v>1145.1600000000001</v>
      </c>
      <c r="J1041">
        <v>7000</v>
      </c>
      <c r="K1041" t="s">
        <v>27</v>
      </c>
      <c r="L1041">
        <v>7000</v>
      </c>
      <c r="M1041">
        <v>3.92</v>
      </c>
      <c r="N1041" t="s">
        <v>49</v>
      </c>
      <c r="O1041">
        <v>47</v>
      </c>
      <c r="P1041">
        <v>38</v>
      </c>
      <c r="Q1041">
        <v>0</v>
      </c>
      <c r="R1041">
        <v>2</v>
      </c>
      <c r="S1041" t="s">
        <v>65</v>
      </c>
      <c r="T1041" t="s">
        <v>44</v>
      </c>
      <c r="U1041" t="s">
        <v>38</v>
      </c>
      <c r="V1041" t="s">
        <v>45</v>
      </c>
      <c r="W1041">
        <v>1</v>
      </c>
      <c r="X1041">
        <v>1</v>
      </c>
      <c r="Y1041" s="2">
        <f>Table1[[#This Row],[premium_yearly]]*Table1[[#This Row],[tenure_years]]</f>
        <v>4489.0272000000004</v>
      </c>
      <c r="Z1041" s="2">
        <f>Table1[[#This Row],[total_collected_premiums]]*(1-$AD$2)</f>
        <v>3276.9898560000001</v>
      </c>
      <c r="AA1041" s="2">
        <f>Table1[[#This Row],[retained_premium]]-Table1[[#This Row],[claim_amount_paid]]</f>
        <v>-3723.0101439999999</v>
      </c>
    </row>
    <row r="1042" spans="1:27" x14ac:dyDescent="0.35">
      <c r="A1042" t="s">
        <v>3165</v>
      </c>
      <c r="B1042" t="s">
        <v>3166</v>
      </c>
      <c r="C1042" t="s">
        <v>3167</v>
      </c>
      <c r="D1042" s="1">
        <v>42609</v>
      </c>
      <c r="E1042" s="1">
        <v>44243</v>
      </c>
      <c r="F1042" s="1">
        <v>44244</v>
      </c>
      <c r="G1042">
        <v>1</v>
      </c>
      <c r="H1042">
        <v>78.5</v>
      </c>
      <c r="I1042">
        <v>942</v>
      </c>
      <c r="J1042">
        <v>1000</v>
      </c>
      <c r="K1042" t="s">
        <v>27</v>
      </c>
      <c r="L1042">
        <v>1000</v>
      </c>
      <c r="M1042">
        <v>2.25</v>
      </c>
      <c r="N1042" t="s">
        <v>28</v>
      </c>
      <c r="O1042">
        <v>27</v>
      </c>
      <c r="P1042">
        <v>38</v>
      </c>
      <c r="Q1042">
        <v>0</v>
      </c>
      <c r="R1042">
        <v>3</v>
      </c>
      <c r="S1042" t="s">
        <v>29</v>
      </c>
      <c r="T1042" t="s">
        <v>44</v>
      </c>
      <c r="U1042" t="s">
        <v>38</v>
      </c>
      <c r="V1042" t="s">
        <v>45</v>
      </c>
      <c r="W1042">
        <v>0</v>
      </c>
      <c r="X1042">
        <v>0</v>
      </c>
      <c r="Y1042" s="2">
        <f>Table1[[#This Row],[premium_yearly]]*Table1[[#This Row],[tenure_years]]</f>
        <v>2119.5</v>
      </c>
      <c r="Z1042" s="2">
        <f>Table1[[#This Row],[total_collected_premiums]]*(1-$AD$2)</f>
        <v>1547.2349999999999</v>
      </c>
      <c r="AA1042" s="2">
        <f>Table1[[#This Row],[retained_premium]]-Table1[[#This Row],[claim_amount_paid]]</f>
        <v>547.2349999999999</v>
      </c>
    </row>
    <row r="1043" spans="1:27" x14ac:dyDescent="0.35">
      <c r="A1043" t="s">
        <v>3168</v>
      </c>
      <c r="B1043" t="s">
        <v>3169</v>
      </c>
      <c r="C1043" t="s">
        <v>3170</v>
      </c>
      <c r="D1043" s="1">
        <v>40824</v>
      </c>
      <c r="E1043" s="1">
        <v>44234</v>
      </c>
      <c r="F1043" s="1">
        <v>44239</v>
      </c>
      <c r="G1043">
        <v>5</v>
      </c>
      <c r="H1043">
        <v>135.79</v>
      </c>
      <c r="I1043">
        <v>1629.48</v>
      </c>
      <c r="J1043">
        <v>5000</v>
      </c>
      <c r="K1043" t="s">
        <v>27</v>
      </c>
      <c r="L1043">
        <v>5000</v>
      </c>
      <c r="M1043">
        <v>5.75</v>
      </c>
      <c r="N1043" t="s">
        <v>28</v>
      </c>
      <c r="O1043">
        <v>69</v>
      </c>
      <c r="P1043">
        <v>51</v>
      </c>
      <c r="Q1043">
        <v>1</v>
      </c>
      <c r="R1043">
        <v>3</v>
      </c>
      <c r="S1043" t="s">
        <v>65</v>
      </c>
      <c r="T1043" t="s">
        <v>30</v>
      </c>
      <c r="U1043" t="s">
        <v>38</v>
      </c>
      <c r="V1043" t="s">
        <v>45</v>
      </c>
      <c r="W1043">
        <v>0</v>
      </c>
      <c r="X1043">
        <v>1</v>
      </c>
      <c r="Y1043" s="2">
        <f>Table1[[#This Row],[premium_yearly]]*Table1[[#This Row],[tenure_years]]</f>
        <v>9369.51</v>
      </c>
      <c r="Z1043" s="2">
        <f>Table1[[#This Row],[total_collected_premiums]]*(1-$AD$2)</f>
        <v>6839.7422999999999</v>
      </c>
      <c r="AA1043" s="2">
        <f>Table1[[#This Row],[retained_premium]]-Table1[[#This Row],[claim_amount_paid]]</f>
        <v>1839.7422999999999</v>
      </c>
    </row>
    <row r="1044" spans="1:27" x14ac:dyDescent="0.35">
      <c r="A1044" t="s">
        <v>3171</v>
      </c>
      <c r="B1044" t="s">
        <v>3172</v>
      </c>
      <c r="C1044" t="s">
        <v>3173</v>
      </c>
      <c r="D1044" s="1">
        <v>43703</v>
      </c>
      <c r="E1044" s="1">
        <v>44235</v>
      </c>
      <c r="F1044" s="1">
        <v>44240</v>
      </c>
      <c r="G1044">
        <v>5</v>
      </c>
      <c r="H1044">
        <v>119.96</v>
      </c>
      <c r="I1044">
        <v>1439.52</v>
      </c>
      <c r="J1044">
        <v>7000</v>
      </c>
      <c r="K1044" t="s">
        <v>27</v>
      </c>
      <c r="L1044">
        <v>7000</v>
      </c>
      <c r="M1044">
        <v>5</v>
      </c>
      <c r="N1044" t="s">
        <v>28</v>
      </c>
      <c r="O1044">
        <v>60</v>
      </c>
      <c r="P1044">
        <v>58</v>
      </c>
      <c r="Q1044">
        <v>1</v>
      </c>
      <c r="R1044">
        <v>4</v>
      </c>
      <c r="S1044" t="s">
        <v>65</v>
      </c>
      <c r="T1044" t="s">
        <v>30</v>
      </c>
      <c r="U1044" t="s">
        <v>58</v>
      </c>
      <c r="V1044" t="s">
        <v>32</v>
      </c>
      <c r="W1044">
        <v>1</v>
      </c>
      <c r="X1044">
        <v>1</v>
      </c>
      <c r="Y1044" s="2">
        <f>Table1[[#This Row],[premium_yearly]]*Table1[[#This Row],[tenure_years]]</f>
        <v>7197.6</v>
      </c>
      <c r="Z1044" s="2">
        <f>Table1[[#This Row],[total_collected_premiums]]*(1-$AD$2)</f>
        <v>5254.2480000000005</v>
      </c>
      <c r="AA1044" s="2">
        <f>Table1[[#This Row],[retained_premium]]-Table1[[#This Row],[claim_amount_paid]]</f>
        <v>-1745.7519999999995</v>
      </c>
    </row>
    <row r="1045" spans="1:27" x14ac:dyDescent="0.35">
      <c r="A1045" t="s">
        <v>3174</v>
      </c>
      <c r="B1045" t="s">
        <v>3175</v>
      </c>
      <c r="C1045" t="s">
        <v>3176</v>
      </c>
      <c r="D1045" s="1">
        <v>42397</v>
      </c>
      <c r="E1045" s="1">
        <v>44230</v>
      </c>
      <c r="F1045" s="1">
        <v>44235</v>
      </c>
      <c r="G1045">
        <v>5</v>
      </c>
      <c r="H1045">
        <v>88.79</v>
      </c>
      <c r="I1045">
        <v>1065.48</v>
      </c>
      <c r="J1045">
        <v>2000</v>
      </c>
      <c r="K1045" t="s">
        <v>27</v>
      </c>
      <c r="L1045">
        <v>2000</v>
      </c>
      <c r="M1045">
        <v>8.33</v>
      </c>
      <c r="N1045" t="s">
        <v>28</v>
      </c>
      <c r="O1045">
        <v>100</v>
      </c>
      <c r="P1045">
        <v>43</v>
      </c>
      <c r="Q1045">
        <v>1</v>
      </c>
      <c r="R1045">
        <v>3</v>
      </c>
      <c r="S1045" t="s">
        <v>65</v>
      </c>
      <c r="T1045" t="s">
        <v>44</v>
      </c>
      <c r="U1045" t="s">
        <v>107</v>
      </c>
      <c r="V1045" t="s">
        <v>32</v>
      </c>
      <c r="W1045">
        <v>1</v>
      </c>
      <c r="X1045">
        <v>1</v>
      </c>
      <c r="Y1045" s="2">
        <f>Table1[[#This Row],[premium_yearly]]*Table1[[#This Row],[tenure_years]]</f>
        <v>8875.4484000000011</v>
      </c>
      <c r="Z1045" s="2">
        <f>Table1[[#This Row],[total_collected_premiums]]*(1-$AD$2)</f>
        <v>6479.0773320000008</v>
      </c>
      <c r="AA1045" s="2">
        <f>Table1[[#This Row],[retained_premium]]-Table1[[#This Row],[claim_amount_paid]]</f>
        <v>4479.0773320000008</v>
      </c>
    </row>
    <row r="1046" spans="1:27" x14ac:dyDescent="0.35">
      <c r="A1046" t="s">
        <v>3177</v>
      </c>
      <c r="B1046" t="s">
        <v>3178</v>
      </c>
      <c r="C1046" t="s">
        <v>3179</v>
      </c>
      <c r="D1046" s="1">
        <v>41949</v>
      </c>
      <c r="E1046" s="1">
        <v>44235</v>
      </c>
      <c r="F1046" s="1">
        <v>44240</v>
      </c>
      <c r="G1046">
        <v>5</v>
      </c>
      <c r="H1046">
        <v>82.72</v>
      </c>
      <c r="I1046">
        <v>992.64</v>
      </c>
      <c r="J1046">
        <v>3000</v>
      </c>
      <c r="K1046" t="s">
        <v>27</v>
      </c>
      <c r="L1046">
        <v>3000</v>
      </c>
      <c r="M1046">
        <v>7.5</v>
      </c>
      <c r="N1046" t="s">
        <v>36</v>
      </c>
      <c r="O1046">
        <v>90</v>
      </c>
      <c r="P1046">
        <v>54</v>
      </c>
      <c r="Q1046">
        <v>0</v>
      </c>
      <c r="R1046">
        <v>7</v>
      </c>
      <c r="S1046" t="s">
        <v>65</v>
      </c>
      <c r="T1046" t="s">
        <v>30</v>
      </c>
      <c r="U1046" t="s">
        <v>38</v>
      </c>
      <c r="V1046" t="s">
        <v>32</v>
      </c>
      <c r="W1046">
        <v>1</v>
      </c>
      <c r="X1046">
        <v>1</v>
      </c>
      <c r="Y1046" s="2">
        <f>Table1[[#This Row],[premium_yearly]]*Table1[[#This Row],[tenure_years]]</f>
        <v>7444.8</v>
      </c>
      <c r="Z1046" s="2">
        <f>Table1[[#This Row],[total_collected_premiums]]*(1-$AD$2)</f>
        <v>5434.7039999999997</v>
      </c>
      <c r="AA1046" s="2">
        <f>Table1[[#This Row],[retained_premium]]-Table1[[#This Row],[claim_amount_paid]]</f>
        <v>2434.7039999999997</v>
      </c>
    </row>
    <row r="1047" spans="1:27" x14ac:dyDescent="0.35">
      <c r="A1047" t="s">
        <v>3180</v>
      </c>
      <c r="B1047" t="s">
        <v>3181</v>
      </c>
      <c r="C1047" t="s">
        <v>3182</v>
      </c>
      <c r="D1047" s="1">
        <v>43830</v>
      </c>
      <c r="E1047" s="1">
        <v>44246</v>
      </c>
      <c r="F1047" s="1">
        <v>44246</v>
      </c>
      <c r="G1047">
        <v>0</v>
      </c>
      <c r="H1047">
        <v>100.58</v>
      </c>
      <c r="I1047">
        <v>1206.96</v>
      </c>
      <c r="J1047">
        <v>3000</v>
      </c>
      <c r="K1047" t="s">
        <v>27</v>
      </c>
      <c r="L1047">
        <v>3000</v>
      </c>
      <c r="M1047">
        <v>6.58</v>
      </c>
      <c r="N1047" t="s">
        <v>49</v>
      </c>
      <c r="O1047">
        <v>79</v>
      </c>
      <c r="P1047">
        <v>57</v>
      </c>
      <c r="Q1047">
        <v>0</v>
      </c>
      <c r="R1047">
        <v>2</v>
      </c>
      <c r="S1047" t="s">
        <v>65</v>
      </c>
      <c r="T1047" t="s">
        <v>44</v>
      </c>
      <c r="U1047" t="s">
        <v>51</v>
      </c>
      <c r="V1047" t="s">
        <v>32</v>
      </c>
      <c r="W1047">
        <v>0</v>
      </c>
      <c r="X1047">
        <v>0</v>
      </c>
      <c r="Y1047" s="2">
        <f>Table1[[#This Row],[premium_yearly]]*Table1[[#This Row],[tenure_years]]</f>
        <v>7941.7968000000001</v>
      </c>
      <c r="Z1047" s="2">
        <f>Table1[[#This Row],[total_collected_premiums]]*(1-$AD$2)</f>
        <v>5797.5116639999997</v>
      </c>
      <c r="AA1047" s="2">
        <f>Table1[[#This Row],[retained_premium]]-Table1[[#This Row],[claim_amount_paid]]</f>
        <v>2797.5116639999997</v>
      </c>
    </row>
    <row r="1048" spans="1:27" x14ac:dyDescent="0.35">
      <c r="A1048" t="s">
        <v>3183</v>
      </c>
      <c r="B1048" t="s">
        <v>3184</v>
      </c>
      <c r="C1048" t="s">
        <v>3185</v>
      </c>
      <c r="D1048" s="1">
        <v>42930</v>
      </c>
      <c r="E1048" s="1">
        <v>44238</v>
      </c>
      <c r="F1048" s="1">
        <v>44241</v>
      </c>
      <c r="G1048">
        <v>3</v>
      </c>
      <c r="H1048">
        <v>121.64</v>
      </c>
      <c r="I1048">
        <v>1459.68</v>
      </c>
      <c r="J1048">
        <v>3000</v>
      </c>
      <c r="K1048" t="s">
        <v>27</v>
      </c>
      <c r="L1048">
        <v>3000</v>
      </c>
      <c r="M1048">
        <v>2.92</v>
      </c>
      <c r="N1048" t="s">
        <v>49</v>
      </c>
      <c r="O1048">
        <v>35</v>
      </c>
      <c r="P1048">
        <v>50</v>
      </c>
      <c r="Q1048">
        <v>0</v>
      </c>
      <c r="R1048">
        <v>7</v>
      </c>
      <c r="S1048" t="s">
        <v>29</v>
      </c>
      <c r="T1048" t="s">
        <v>50</v>
      </c>
      <c r="U1048" t="s">
        <v>38</v>
      </c>
      <c r="V1048" t="s">
        <v>45</v>
      </c>
      <c r="W1048">
        <v>0</v>
      </c>
      <c r="X1048">
        <v>1</v>
      </c>
      <c r="Y1048" s="2">
        <f>Table1[[#This Row],[premium_yearly]]*Table1[[#This Row],[tenure_years]]</f>
        <v>4262.2655999999997</v>
      </c>
      <c r="Z1048" s="2">
        <f>Table1[[#This Row],[total_collected_premiums]]*(1-$AD$2)</f>
        <v>3111.4538879999996</v>
      </c>
      <c r="AA1048" s="2">
        <f>Table1[[#This Row],[retained_premium]]-Table1[[#This Row],[claim_amount_paid]]</f>
        <v>111.45388799999955</v>
      </c>
    </row>
    <row r="1049" spans="1:27" x14ac:dyDescent="0.35">
      <c r="A1049" t="s">
        <v>3186</v>
      </c>
      <c r="B1049" t="s">
        <v>3187</v>
      </c>
      <c r="C1049" t="s">
        <v>3188</v>
      </c>
      <c r="D1049" s="1">
        <v>43758</v>
      </c>
      <c r="E1049" s="1">
        <v>44244</v>
      </c>
      <c r="F1049" s="1">
        <v>44245</v>
      </c>
      <c r="G1049">
        <v>1</v>
      </c>
      <c r="H1049">
        <v>106.34</v>
      </c>
      <c r="I1049">
        <v>1276.08</v>
      </c>
      <c r="J1049">
        <v>1000</v>
      </c>
      <c r="K1049" t="s">
        <v>27</v>
      </c>
      <c r="L1049">
        <v>1000</v>
      </c>
      <c r="M1049">
        <v>9.83</v>
      </c>
      <c r="N1049" t="s">
        <v>28</v>
      </c>
      <c r="O1049">
        <v>118</v>
      </c>
      <c r="P1049">
        <v>29</v>
      </c>
      <c r="Q1049">
        <v>1</v>
      </c>
      <c r="R1049">
        <v>3</v>
      </c>
      <c r="S1049" t="s">
        <v>29</v>
      </c>
      <c r="T1049" t="s">
        <v>30</v>
      </c>
      <c r="U1049" t="s">
        <v>58</v>
      </c>
      <c r="V1049" t="s">
        <v>39</v>
      </c>
      <c r="W1049">
        <v>0</v>
      </c>
      <c r="X1049">
        <v>1</v>
      </c>
      <c r="Y1049" s="2">
        <f>Table1[[#This Row],[premium_yearly]]*Table1[[#This Row],[tenure_years]]</f>
        <v>12543.866399999999</v>
      </c>
      <c r="Z1049" s="2">
        <f>Table1[[#This Row],[total_collected_premiums]]*(1-$AD$2)</f>
        <v>9157.0224719999987</v>
      </c>
      <c r="AA1049" s="2">
        <f>Table1[[#This Row],[retained_premium]]-Table1[[#This Row],[claim_amount_paid]]</f>
        <v>8157.0224719999987</v>
      </c>
    </row>
    <row r="1050" spans="1:27" x14ac:dyDescent="0.35">
      <c r="A1050" t="s">
        <v>3189</v>
      </c>
      <c r="B1050" t="s">
        <v>3190</v>
      </c>
      <c r="C1050" t="s">
        <v>3191</v>
      </c>
      <c r="D1050" s="1">
        <v>41686</v>
      </c>
      <c r="E1050" s="1">
        <v>44245</v>
      </c>
      <c r="F1050" s="1">
        <v>44245</v>
      </c>
      <c r="G1050">
        <v>0</v>
      </c>
      <c r="H1050">
        <v>124.76</v>
      </c>
      <c r="I1050">
        <v>1497.12</v>
      </c>
      <c r="J1050">
        <v>6000</v>
      </c>
      <c r="K1050" t="s">
        <v>27</v>
      </c>
      <c r="L1050">
        <v>6000</v>
      </c>
      <c r="M1050">
        <v>7</v>
      </c>
      <c r="N1050" t="s">
        <v>49</v>
      </c>
      <c r="O1050">
        <v>84</v>
      </c>
      <c r="P1050">
        <v>47</v>
      </c>
      <c r="Q1050">
        <v>1</v>
      </c>
      <c r="R1050">
        <v>6</v>
      </c>
      <c r="S1050" t="s">
        <v>29</v>
      </c>
      <c r="T1050" t="s">
        <v>50</v>
      </c>
      <c r="U1050" t="s">
        <v>38</v>
      </c>
      <c r="V1050" t="s">
        <v>32</v>
      </c>
      <c r="W1050">
        <v>1</v>
      </c>
      <c r="X1050">
        <v>0</v>
      </c>
      <c r="Y1050" s="2">
        <f>Table1[[#This Row],[premium_yearly]]*Table1[[#This Row],[tenure_years]]</f>
        <v>10479.84</v>
      </c>
      <c r="Z1050" s="2">
        <f>Table1[[#This Row],[total_collected_premiums]]*(1-$AD$2)</f>
        <v>7650.2831999999999</v>
      </c>
      <c r="AA1050" s="2">
        <f>Table1[[#This Row],[retained_premium]]-Table1[[#This Row],[claim_amount_paid]]</f>
        <v>1650.2831999999999</v>
      </c>
    </row>
    <row r="1051" spans="1:27" x14ac:dyDescent="0.35">
      <c r="A1051" t="s">
        <v>3192</v>
      </c>
      <c r="B1051" t="s">
        <v>3193</v>
      </c>
      <c r="C1051" t="s">
        <v>3194</v>
      </c>
      <c r="D1051" s="1">
        <v>40683</v>
      </c>
      <c r="E1051" s="1">
        <v>44247</v>
      </c>
      <c r="F1051" s="1">
        <v>44247</v>
      </c>
      <c r="G1051">
        <v>0</v>
      </c>
      <c r="H1051">
        <v>100.63</v>
      </c>
      <c r="I1051">
        <v>1207.56</v>
      </c>
      <c r="J1051">
        <v>5000</v>
      </c>
      <c r="K1051" t="s">
        <v>27</v>
      </c>
      <c r="L1051">
        <v>5000</v>
      </c>
      <c r="M1051">
        <v>1.42</v>
      </c>
      <c r="N1051" t="s">
        <v>28</v>
      </c>
      <c r="O1051">
        <v>17</v>
      </c>
      <c r="P1051">
        <v>64</v>
      </c>
      <c r="Q1051">
        <v>1</v>
      </c>
      <c r="R1051">
        <v>7</v>
      </c>
      <c r="S1051" t="s">
        <v>29</v>
      </c>
      <c r="T1051" t="s">
        <v>44</v>
      </c>
      <c r="U1051" t="s">
        <v>66</v>
      </c>
      <c r="V1051" t="s">
        <v>32</v>
      </c>
      <c r="W1051">
        <v>1</v>
      </c>
      <c r="X1051">
        <v>1</v>
      </c>
      <c r="Y1051" s="2">
        <f>Table1[[#This Row],[premium_yearly]]*Table1[[#This Row],[tenure_years]]</f>
        <v>1714.7351999999998</v>
      </c>
      <c r="Z1051" s="2">
        <f>Table1[[#This Row],[total_collected_premiums]]*(1-$AD$2)</f>
        <v>1251.7566959999999</v>
      </c>
      <c r="AA1051" s="2">
        <f>Table1[[#This Row],[retained_premium]]-Table1[[#This Row],[claim_amount_paid]]</f>
        <v>-3748.2433040000001</v>
      </c>
    </row>
    <row r="1052" spans="1:27" x14ac:dyDescent="0.35">
      <c r="A1052" t="s">
        <v>3195</v>
      </c>
      <c r="B1052" t="s">
        <v>3196</v>
      </c>
      <c r="C1052" t="s">
        <v>3197</v>
      </c>
      <c r="D1052" s="1">
        <v>41010</v>
      </c>
      <c r="E1052" s="1">
        <v>44235</v>
      </c>
      <c r="F1052" s="1">
        <v>44240</v>
      </c>
      <c r="G1052">
        <v>5</v>
      </c>
      <c r="H1052">
        <v>114.78</v>
      </c>
      <c r="I1052">
        <v>1377.36</v>
      </c>
      <c r="J1052">
        <v>3000</v>
      </c>
      <c r="K1052" t="s">
        <v>27</v>
      </c>
      <c r="L1052">
        <v>3000</v>
      </c>
      <c r="M1052">
        <v>1.67</v>
      </c>
      <c r="N1052" t="s">
        <v>49</v>
      </c>
      <c r="O1052">
        <v>20</v>
      </c>
      <c r="P1052">
        <v>38</v>
      </c>
      <c r="Q1052">
        <v>0</v>
      </c>
      <c r="R1052">
        <v>6</v>
      </c>
      <c r="S1052" t="s">
        <v>29</v>
      </c>
      <c r="T1052" t="s">
        <v>44</v>
      </c>
      <c r="U1052" t="s">
        <v>38</v>
      </c>
      <c r="V1052" t="s">
        <v>32</v>
      </c>
      <c r="W1052">
        <v>0</v>
      </c>
      <c r="X1052">
        <v>0</v>
      </c>
      <c r="Y1052" s="2">
        <f>Table1[[#This Row],[premium_yearly]]*Table1[[#This Row],[tenure_years]]</f>
        <v>2300.1911999999998</v>
      </c>
      <c r="Z1052" s="2">
        <f>Table1[[#This Row],[total_collected_premiums]]*(1-$AD$2)</f>
        <v>1679.1395759999998</v>
      </c>
      <c r="AA1052" s="2">
        <f>Table1[[#This Row],[retained_premium]]-Table1[[#This Row],[claim_amount_paid]]</f>
        <v>-1320.8604240000002</v>
      </c>
    </row>
    <row r="1053" spans="1:27" x14ac:dyDescent="0.35">
      <c r="A1053" t="s">
        <v>3198</v>
      </c>
      <c r="B1053" t="s">
        <v>3199</v>
      </c>
      <c r="C1053" t="s">
        <v>3200</v>
      </c>
      <c r="D1053" s="1">
        <v>40763</v>
      </c>
      <c r="E1053" s="1">
        <v>44230</v>
      </c>
      <c r="F1053" s="1">
        <v>44235</v>
      </c>
      <c r="G1053">
        <v>5</v>
      </c>
      <c r="H1053">
        <v>109.41</v>
      </c>
      <c r="I1053">
        <v>1312.92</v>
      </c>
      <c r="J1053">
        <v>4000</v>
      </c>
      <c r="K1053" t="s">
        <v>27</v>
      </c>
      <c r="L1053">
        <v>4000</v>
      </c>
      <c r="M1053">
        <v>8.92</v>
      </c>
      <c r="N1053" t="s">
        <v>49</v>
      </c>
      <c r="O1053">
        <v>107</v>
      </c>
      <c r="P1053">
        <v>60</v>
      </c>
      <c r="Q1053">
        <v>0</v>
      </c>
      <c r="R1053">
        <v>5</v>
      </c>
      <c r="S1053" t="s">
        <v>65</v>
      </c>
      <c r="T1053" t="s">
        <v>50</v>
      </c>
      <c r="U1053" t="s">
        <v>58</v>
      </c>
      <c r="V1053" t="s">
        <v>39</v>
      </c>
      <c r="W1053">
        <v>1</v>
      </c>
      <c r="X1053">
        <v>1</v>
      </c>
      <c r="Y1053" s="2">
        <f>Table1[[#This Row],[premium_yearly]]*Table1[[#This Row],[tenure_years]]</f>
        <v>11711.2464</v>
      </c>
      <c r="Z1053" s="2">
        <f>Table1[[#This Row],[total_collected_premiums]]*(1-$AD$2)</f>
        <v>8549.2098719999995</v>
      </c>
      <c r="AA1053" s="2">
        <f>Table1[[#This Row],[retained_premium]]-Table1[[#This Row],[claim_amount_paid]]</f>
        <v>4549.2098719999995</v>
      </c>
    </row>
    <row r="1054" spans="1:27" x14ac:dyDescent="0.35">
      <c r="A1054" t="s">
        <v>3201</v>
      </c>
      <c r="B1054" t="s">
        <v>3202</v>
      </c>
      <c r="C1054" t="s">
        <v>3203</v>
      </c>
      <c r="D1054" s="1">
        <v>41476</v>
      </c>
      <c r="E1054" s="1">
        <v>44230</v>
      </c>
      <c r="F1054" s="1">
        <v>44235</v>
      </c>
      <c r="G1054">
        <v>5</v>
      </c>
      <c r="H1054">
        <v>93.17</v>
      </c>
      <c r="I1054">
        <v>1118.04</v>
      </c>
      <c r="J1054">
        <v>9000</v>
      </c>
      <c r="K1054" t="s">
        <v>27</v>
      </c>
      <c r="L1054">
        <v>9000</v>
      </c>
      <c r="M1054">
        <v>0.57999999999999996</v>
      </c>
      <c r="N1054" t="s">
        <v>28</v>
      </c>
      <c r="O1054">
        <v>7</v>
      </c>
      <c r="P1054">
        <v>30</v>
      </c>
      <c r="Q1054">
        <v>1</v>
      </c>
      <c r="R1054">
        <v>7</v>
      </c>
      <c r="S1054" t="s">
        <v>65</v>
      </c>
      <c r="T1054" t="s">
        <v>44</v>
      </c>
      <c r="U1054" t="s">
        <v>38</v>
      </c>
      <c r="V1054" t="s">
        <v>39</v>
      </c>
      <c r="W1054">
        <v>1</v>
      </c>
      <c r="X1054">
        <v>1</v>
      </c>
      <c r="Y1054" s="2">
        <f>Table1[[#This Row],[premium_yearly]]*Table1[[#This Row],[tenure_years]]</f>
        <v>648.46319999999992</v>
      </c>
      <c r="Z1054" s="2">
        <f>Table1[[#This Row],[total_collected_premiums]]*(1-$AD$2)</f>
        <v>473.37813599999993</v>
      </c>
      <c r="AA1054" s="2">
        <f>Table1[[#This Row],[retained_premium]]-Table1[[#This Row],[claim_amount_paid]]</f>
        <v>-8526.6218640000006</v>
      </c>
    </row>
    <row r="1055" spans="1:27" x14ac:dyDescent="0.35">
      <c r="A1055" t="s">
        <v>3204</v>
      </c>
      <c r="B1055" t="s">
        <v>3205</v>
      </c>
      <c r="C1055" t="s">
        <v>3206</v>
      </c>
      <c r="D1055" s="1">
        <v>40360</v>
      </c>
      <c r="E1055" s="1">
        <v>44240</v>
      </c>
      <c r="F1055" s="1">
        <v>44243</v>
      </c>
      <c r="G1055">
        <v>3</v>
      </c>
      <c r="H1055">
        <v>77.83</v>
      </c>
      <c r="I1055">
        <v>933.96</v>
      </c>
      <c r="J1055">
        <v>1000</v>
      </c>
      <c r="K1055" t="s">
        <v>27</v>
      </c>
      <c r="L1055">
        <v>1000</v>
      </c>
      <c r="M1055">
        <v>4.17</v>
      </c>
      <c r="N1055" t="s">
        <v>28</v>
      </c>
      <c r="O1055">
        <v>50</v>
      </c>
      <c r="P1055">
        <v>51</v>
      </c>
      <c r="Q1055">
        <v>1</v>
      </c>
      <c r="R1055">
        <v>2</v>
      </c>
      <c r="S1055" t="s">
        <v>65</v>
      </c>
      <c r="T1055" t="s">
        <v>30</v>
      </c>
      <c r="U1055" t="s">
        <v>31</v>
      </c>
      <c r="V1055" t="s">
        <v>39</v>
      </c>
      <c r="W1055">
        <v>1</v>
      </c>
      <c r="X1055">
        <v>1</v>
      </c>
      <c r="Y1055" s="2">
        <f>Table1[[#This Row],[premium_yearly]]*Table1[[#This Row],[tenure_years]]</f>
        <v>3894.6132000000002</v>
      </c>
      <c r="Z1055" s="2">
        <f>Table1[[#This Row],[total_collected_premiums]]*(1-$AD$2)</f>
        <v>2843.0676360000002</v>
      </c>
      <c r="AA1055" s="2">
        <f>Table1[[#This Row],[retained_premium]]-Table1[[#This Row],[claim_amount_paid]]</f>
        <v>1843.0676360000002</v>
      </c>
    </row>
    <row r="1056" spans="1:27" x14ac:dyDescent="0.35">
      <c r="A1056" t="s">
        <v>3207</v>
      </c>
      <c r="B1056" t="s">
        <v>3208</v>
      </c>
      <c r="C1056" t="s">
        <v>3209</v>
      </c>
      <c r="D1056" s="1">
        <v>42201</v>
      </c>
      <c r="E1056" s="1">
        <v>44236</v>
      </c>
      <c r="F1056" s="1">
        <v>44241</v>
      </c>
      <c r="G1056">
        <v>5</v>
      </c>
      <c r="H1056">
        <v>133.63999999999999</v>
      </c>
      <c r="I1056">
        <v>1603.68</v>
      </c>
      <c r="J1056">
        <v>9000</v>
      </c>
      <c r="K1056" t="s">
        <v>27</v>
      </c>
      <c r="L1056">
        <v>9000</v>
      </c>
      <c r="M1056">
        <v>8.17</v>
      </c>
      <c r="N1056" t="s">
        <v>28</v>
      </c>
      <c r="O1056">
        <v>98</v>
      </c>
      <c r="P1056">
        <v>62</v>
      </c>
      <c r="Q1056">
        <v>1</v>
      </c>
      <c r="R1056">
        <v>4</v>
      </c>
      <c r="S1056" t="s">
        <v>29</v>
      </c>
      <c r="T1056" t="s">
        <v>30</v>
      </c>
      <c r="U1056" t="s">
        <v>38</v>
      </c>
      <c r="V1056" t="s">
        <v>32</v>
      </c>
      <c r="W1056">
        <v>0</v>
      </c>
      <c r="X1056">
        <v>1</v>
      </c>
      <c r="Y1056" s="2">
        <f>Table1[[#This Row],[premium_yearly]]*Table1[[#This Row],[tenure_years]]</f>
        <v>13102.0656</v>
      </c>
      <c r="Z1056" s="2">
        <f>Table1[[#This Row],[total_collected_premiums]]*(1-$AD$2)</f>
        <v>9564.5078880000001</v>
      </c>
      <c r="AA1056" s="2">
        <f>Table1[[#This Row],[retained_premium]]-Table1[[#This Row],[claim_amount_paid]]</f>
        <v>564.50788800000009</v>
      </c>
    </row>
    <row r="1057" spans="1:27" x14ac:dyDescent="0.35">
      <c r="A1057" t="s">
        <v>3210</v>
      </c>
      <c r="B1057" t="s">
        <v>3211</v>
      </c>
      <c r="C1057" t="s">
        <v>3212</v>
      </c>
      <c r="D1057" s="1">
        <v>42601</v>
      </c>
      <c r="E1057" s="1">
        <v>44240</v>
      </c>
      <c r="F1057" s="1">
        <v>44243</v>
      </c>
      <c r="G1057">
        <v>3</v>
      </c>
      <c r="H1057">
        <v>110.22</v>
      </c>
      <c r="I1057">
        <v>1322.64</v>
      </c>
      <c r="J1057">
        <v>8000</v>
      </c>
      <c r="K1057" t="s">
        <v>27</v>
      </c>
      <c r="L1057">
        <v>8000</v>
      </c>
      <c r="M1057">
        <v>8.33</v>
      </c>
      <c r="N1057" t="s">
        <v>49</v>
      </c>
      <c r="O1057">
        <v>100</v>
      </c>
      <c r="P1057">
        <v>56</v>
      </c>
      <c r="Q1057">
        <v>1</v>
      </c>
      <c r="R1057">
        <v>5</v>
      </c>
      <c r="S1057" t="s">
        <v>29</v>
      </c>
      <c r="T1057" t="s">
        <v>30</v>
      </c>
      <c r="U1057" t="s">
        <v>58</v>
      </c>
      <c r="V1057" t="s">
        <v>39</v>
      </c>
      <c r="W1057">
        <v>1</v>
      </c>
      <c r="X1057">
        <v>1</v>
      </c>
      <c r="Y1057" s="2">
        <f>Table1[[#This Row],[premium_yearly]]*Table1[[#This Row],[tenure_years]]</f>
        <v>11017.591200000001</v>
      </c>
      <c r="Z1057" s="2">
        <f>Table1[[#This Row],[total_collected_premiums]]*(1-$AD$2)</f>
        <v>8042.8415760000007</v>
      </c>
      <c r="AA1057" s="2">
        <f>Table1[[#This Row],[retained_premium]]-Table1[[#This Row],[claim_amount_paid]]</f>
        <v>42.841576000000714</v>
      </c>
    </row>
    <row r="1058" spans="1:27" x14ac:dyDescent="0.35">
      <c r="A1058" t="s">
        <v>3213</v>
      </c>
      <c r="B1058" t="s">
        <v>3214</v>
      </c>
      <c r="C1058" t="s">
        <v>3215</v>
      </c>
      <c r="D1058" s="1">
        <v>41426</v>
      </c>
      <c r="E1058" s="1">
        <v>44231</v>
      </c>
      <c r="F1058" s="1">
        <v>44236</v>
      </c>
      <c r="G1058">
        <v>5</v>
      </c>
      <c r="H1058">
        <v>121.05</v>
      </c>
      <c r="I1058">
        <v>1452.6</v>
      </c>
      <c r="J1058">
        <v>6000</v>
      </c>
      <c r="K1058" t="s">
        <v>27</v>
      </c>
      <c r="L1058">
        <v>6000</v>
      </c>
      <c r="M1058">
        <v>6.58</v>
      </c>
      <c r="N1058" t="s">
        <v>28</v>
      </c>
      <c r="O1058">
        <v>79</v>
      </c>
      <c r="P1058">
        <v>28</v>
      </c>
      <c r="Q1058">
        <v>0</v>
      </c>
      <c r="R1058">
        <v>4</v>
      </c>
      <c r="S1058" t="s">
        <v>65</v>
      </c>
      <c r="T1058" t="s">
        <v>44</v>
      </c>
      <c r="U1058" t="s">
        <v>31</v>
      </c>
      <c r="V1058" t="s">
        <v>32</v>
      </c>
      <c r="W1058">
        <v>1</v>
      </c>
      <c r="X1058">
        <v>1</v>
      </c>
      <c r="Y1058" s="2">
        <f>Table1[[#This Row],[premium_yearly]]*Table1[[#This Row],[tenure_years]]</f>
        <v>9558.1080000000002</v>
      </c>
      <c r="Z1058" s="2">
        <f>Table1[[#This Row],[total_collected_premiums]]*(1-$AD$2)</f>
        <v>6977.4188400000003</v>
      </c>
      <c r="AA1058" s="2">
        <f>Table1[[#This Row],[retained_premium]]-Table1[[#This Row],[claim_amount_paid]]</f>
        <v>977.41884000000027</v>
      </c>
    </row>
    <row r="1059" spans="1:27" x14ac:dyDescent="0.35">
      <c r="A1059" t="s">
        <v>3216</v>
      </c>
      <c r="B1059" t="s">
        <v>3217</v>
      </c>
      <c r="C1059" t="s">
        <v>3218</v>
      </c>
      <c r="D1059" s="1">
        <v>41449</v>
      </c>
      <c r="E1059" s="1">
        <v>44242</v>
      </c>
      <c r="F1059" s="1">
        <v>44245</v>
      </c>
      <c r="G1059">
        <v>3</v>
      </c>
      <c r="H1059">
        <v>118.57</v>
      </c>
      <c r="I1059">
        <v>1422.84</v>
      </c>
      <c r="J1059">
        <v>9000</v>
      </c>
      <c r="K1059" t="s">
        <v>27</v>
      </c>
      <c r="L1059">
        <v>9000</v>
      </c>
      <c r="M1059">
        <v>5.83</v>
      </c>
      <c r="N1059" t="s">
        <v>36</v>
      </c>
      <c r="O1059">
        <v>70</v>
      </c>
      <c r="P1059">
        <v>38</v>
      </c>
      <c r="Q1059">
        <v>0</v>
      </c>
      <c r="R1059">
        <v>5</v>
      </c>
      <c r="S1059" t="s">
        <v>29</v>
      </c>
      <c r="T1059" t="s">
        <v>30</v>
      </c>
      <c r="U1059" t="s">
        <v>31</v>
      </c>
      <c r="V1059" t="s">
        <v>32</v>
      </c>
      <c r="W1059">
        <v>0</v>
      </c>
      <c r="X1059">
        <v>1</v>
      </c>
      <c r="Y1059" s="2">
        <f>Table1[[#This Row],[premium_yearly]]*Table1[[#This Row],[tenure_years]]</f>
        <v>8295.1571999999996</v>
      </c>
      <c r="Z1059" s="2">
        <f>Table1[[#This Row],[total_collected_premiums]]*(1-$AD$2)</f>
        <v>6055.4647559999994</v>
      </c>
      <c r="AA1059" s="2">
        <f>Table1[[#This Row],[retained_premium]]-Table1[[#This Row],[claim_amount_paid]]</f>
        <v>-2944.5352440000006</v>
      </c>
    </row>
    <row r="1060" spans="1:27" x14ac:dyDescent="0.35">
      <c r="A1060" t="s">
        <v>3219</v>
      </c>
      <c r="B1060" t="s">
        <v>3220</v>
      </c>
      <c r="C1060" t="s">
        <v>3221</v>
      </c>
      <c r="D1060" s="1">
        <v>41620</v>
      </c>
      <c r="E1060" s="1">
        <v>44243</v>
      </c>
      <c r="F1060" s="1">
        <v>44245</v>
      </c>
      <c r="G1060">
        <v>2</v>
      </c>
      <c r="H1060">
        <v>136.87</v>
      </c>
      <c r="I1060">
        <v>1642.44</v>
      </c>
      <c r="J1060">
        <v>10000</v>
      </c>
      <c r="K1060" t="s">
        <v>27</v>
      </c>
      <c r="L1060">
        <v>10000</v>
      </c>
      <c r="M1060">
        <v>1.17</v>
      </c>
      <c r="N1060" t="s">
        <v>49</v>
      </c>
      <c r="O1060">
        <v>14</v>
      </c>
      <c r="P1060">
        <v>25</v>
      </c>
      <c r="Q1060">
        <v>1</v>
      </c>
      <c r="R1060">
        <v>4</v>
      </c>
      <c r="S1060" t="s">
        <v>29</v>
      </c>
      <c r="T1060" t="s">
        <v>30</v>
      </c>
      <c r="U1060" t="s">
        <v>88</v>
      </c>
      <c r="V1060" t="s">
        <v>45</v>
      </c>
      <c r="W1060">
        <v>1</v>
      </c>
      <c r="X1060">
        <v>1</v>
      </c>
      <c r="Y1060" s="2">
        <f>Table1[[#This Row],[premium_yearly]]*Table1[[#This Row],[tenure_years]]</f>
        <v>1921.6548</v>
      </c>
      <c r="Z1060" s="2">
        <f>Table1[[#This Row],[total_collected_premiums]]*(1-$AD$2)</f>
        <v>1402.808004</v>
      </c>
      <c r="AA1060" s="2">
        <f>Table1[[#This Row],[retained_premium]]-Table1[[#This Row],[claim_amount_paid]]</f>
        <v>-8597.1919959999996</v>
      </c>
    </row>
    <row r="1061" spans="1:27" x14ac:dyDescent="0.35">
      <c r="A1061" t="s">
        <v>3222</v>
      </c>
      <c r="B1061" t="s">
        <v>3223</v>
      </c>
      <c r="C1061" t="s">
        <v>3224</v>
      </c>
      <c r="D1061" s="1">
        <v>43362</v>
      </c>
      <c r="E1061" s="1">
        <v>44247</v>
      </c>
      <c r="F1061" s="1">
        <v>44247</v>
      </c>
      <c r="G1061">
        <v>0</v>
      </c>
      <c r="H1061">
        <v>130.79</v>
      </c>
      <c r="I1061">
        <v>1569.48</v>
      </c>
      <c r="J1061">
        <v>9000</v>
      </c>
      <c r="K1061" t="s">
        <v>27</v>
      </c>
      <c r="L1061">
        <v>9000</v>
      </c>
      <c r="M1061">
        <v>3.58</v>
      </c>
      <c r="N1061" t="s">
        <v>49</v>
      </c>
      <c r="O1061">
        <v>43</v>
      </c>
      <c r="P1061">
        <v>36</v>
      </c>
      <c r="Q1061">
        <v>1</v>
      </c>
      <c r="R1061">
        <v>2</v>
      </c>
      <c r="S1061" t="s">
        <v>29</v>
      </c>
      <c r="T1061" t="s">
        <v>30</v>
      </c>
      <c r="U1061" t="s">
        <v>58</v>
      </c>
      <c r="V1061" t="s">
        <v>32</v>
      </c>
      <c r="W1061">
        <v>0</v>
      </c>
      <c r="X1061">
        <v>1</v>
      </c>
      <c r="Y1061" s="2">
        <f>Table1[[#This Row],[premium_yearly]]*Table1[[#This Row],[tenure_years]]</f>
        <v>5618.7384000000002</v>
      </c>
      <c r="Z1061" s="2">
        <f>Table1[[#This Row],[total_collected_premiums]]*(1-$AD$2)</f>
        <v>4101.679032</v>
      </c>
      <c r="AA1061" s="2">
        <f>Table1[[#This Row],[retained_premium]]-Table1[[#This Row],[claim_amount_paid]]</f>
        <v>-4898.320968</v>
      </c>
    </row>
    <row r="1062" spans="1:27" x14ac:dyDescent="0.35">
      <c r="A1062" t="s">
        <v>3225</v>
      </c>
      <c r="B1062" t="s">
        <v>3226</v>
      </c>
      <c r="C1062" t="s">
        <v>3227</v>
      </c>
      <c r="D1062" s="1">
        <v>42961</v>
      </c>
      <c r="E1062" s="1">
        <v>44249</v>
      </c>
      <c r="F1062" s="1">
        <v>44249</v>
      </c>
      <c r="G1062">
        <v>0</v>
      </c>
      <c r="H1062">
        <v>109.2</v>
      </c>
      <c r="I1062">
        <v>1310.4000000000001</v>
      </c>
      <c r="J1062">
        <v>3000</v>
      </c>
      <c r="K1062" t="s">
        <v>27</v>
      </c>
      <c r="L1062">
        <v>3000</v>
      </c>
      <c r="M1062">
        <v>8.08</v>
      </c>
      <c r="N1062" t="s">
        <v>28</v>
      </c>
      <c r="O1062">
        <v>97</v>
      </c>
      <c r="P1062">
        <v>35</v>
      </c>
      <c r="Q1062">
        <v>1</v>
      </c>
      <c r="R1062">
        <v>5</v>
      </c>
      <c r="S1062" t="s">
        <v>29</v>
      </c>
      <c r="T1062" t="s">
        <v>30</v>
      </c>
      <c r="U1062" t="s">
        <v>31</v>
      </c>
      <c r="V1062" t="s">
        <v>32</v>
      </c>
      <c r="W1062">
        <v>0</v>
      </c>
      <c r="X1062">
        <v>0</v>
      </c>
      <c r="Y1062" s="2">
        <f>Table1[[#This Row],[premium_yearly]]*Table1[[#This Row],[tenure_years]]</f>
        <v>10588.032000000001</v>
      </c>
      <c r="Z1062" s="2">
        <f>Table1[[#This Row],[total_collected_premiums]]*(1-$AD$2)</f>
        <v>7729.2633600000008</v>
      </c>
      <c r="AA1062" s="2">
        <f>Table1[[#This Row],[retained_premium]]-Table1[[#This Row],[claim_amount_paid]]</f>
        <v>4729.2633600000008</v>
      </c>
    </row>
    <row r="1063" spans="1:27" x14ac:dyDescent="0.35">
      <c r="A1063" t="s">
        <v>3228</v>
      </c>
      <c r="B1063" t="s">
        <v>3229</v>
      </c>
      <c r="C1063" t="s">
        <v>3230</v>
      </c>
      <c r="D1063" s="1">
        <v>43297</v>
      </c>
      <c r="E1063" s="1">
        <v>44244</v>
      </c>
      <c r="F1063" s="1">
        <v>44246</v>
      </c>
      <c r="G1063">
        <v>2</v>
      </c>
      <c r="H1063">
        <v>97.96</v>
      </c>
      <c r="I1063">
        <v>1175.52</v>
      </c>
      <c r="J1063">
        <v>1000</v>
      </c>
      <c r="K1063" t="s">
        <v>27</v>
      </c>
      <c r="L1063">
        <v>1000</v>
      </c>
      <c r="M1063">
        <v>0.75</v>
      </c>
      <c r="N1063" t="s">
        <v>28</v>
      </c>
      <c r="O1063">
        <v>9</v>
      </c>
      <c r="P1063">
        <v>60</v>
      </c>
      <c r="Q1063">
        <v>1</v>
      </c>
      <c r="R1063">
        <v>4</v>
      </c>
      <c r="S1063" t="s">
        <v>29</v>
      </c>
      <c r="T1063" t="s">
        <v>30</v>
      </c>
      <c r="U1063" t="s">
        <v>66</v>
      </c>
      <c r="V1063" t="s">
        <v>45</v>
      </c>
      <c r="W1063">
        <v>1</v>
      </c>
      <c r="X1063">
        <v>1</v>
      </c>
      <c r="Y1063" s="2">
        <f>Table1[[#This Row],[premium_yearly]]*Table1[[#This Row],[tenure_years]]</f>
        <v>881.64</v>
      </c>
      <c r="Z1063" s="2">
        <f>Table1[[#This Row],[total_collected_premiums]]*(1-$AD$2)</f>
        <v>643.59719999999993</v>
      </c>
      <c r="AA1063" s="2">
        <f>Table1[[#This Row],[retained_premium]]-Table1[[#This Row],[claim_amount_paid]]</f>
        <v>-356.40280000000007</v>
      </c>
    </row>
    <row r="1064" spans="1:27" x14ac:dyDescent="0.35">
      <c r="A1064" t="s">
        <v>3231</v>
      </c>
      <c r="B1064" t="s">
        <v>3232</v>
      </c>
      <c r="C1064" t="s">
        <v>3233</v>
      </c>
      <c r="D1064" s="1">
        <v>42379</v>
      </c>
      <c r="E1064" s="1">
        <v>44242</v>
      </c>
      <c r="F1064" s="1">
        <v>44245</v>
      </c>
      <c r="G1064">
        <v>3</v>
      </c>
      <c r="H1064">
        <v>97.38</v>
      </c>
      <c r="I1064">
        <v>1168.56</v>
      </c>
      <c r="J1064">
        <v>8000</v>
      </c>
      <c r="K1064" t="s">
        <v>27</v>
      </c>
      <c r="L1064">
        <v>8000</v>
      </c>
      <c r="M1064">
        <v>1.58</v>
      </c>
      <c r="N1064" t="s">
        <v>36</v>
      </c>
      <c r="O1064">
        <v>19</v>
      </c>
      <c r="P1064">
        <v>40</v>
      </c>
      <c r="Q1064">
        <v>1</v>
      </c>
      <c r="R1064">
        <v>5</v>
      </c>
      <c r="S1064" t="s">
        <v>37</v>
      </c>
      <c r="T1064" t="s">
        <v>50</v>
      </c>
      <c r="U1064" t="s">
        <v>38</v>
      </c>
      <c r="V1064" t="s">
        <v>32</v>
      </c>
      <c r="W1064">
        <v>1</v>
      </c>
      <c r="X1064">
        <v>1</v>
      </c>
      <c r="Y1064" s="2">
        <f>Table1[[#This Row],[premium_yearly]]*Table1[[#This Row],[tenure_years]]</f>
        <v>1846.3248000000001</v>
      </c>
      <c r="Z1064" s="2">
        <f>Table1[[#This Row],[total_collected_premiums]]*(1-$AD$2)</f>
        <v>1347.817104</v>
      </c>
      <c r="AA1064" s="2">
        <f>Table1[[#This Row],[retained_premium]]-Table1[[#This Row],[claim_amount_paid]]</f>
        <v>-6652.1828960000003</v>
      </c>
    </row>
    <row r="1065" spans="1:27" x14ac:dyDescent="0.35">
      <c r="A1065" t="s">
        <v>3234</v>
      </c>
      <c r="B1065" t="s">
        <v>3235</v>
      </c>
      <c r="C1065" t="s">
        <v>3236</v>
      </c>
      <c r="D1065" s="1">
        <v>43287</v>
      </c>
      <c r="E1065" s="1">
        <v>44243</v>
      </c>
      <c r="F1065" s="1">
        <v>44246</v>
      </c>
      <c r="G1065">
        <v>3</v>
      </c>
      <c r="H1065">
        <v>115.95</v>
      </c>
      <c r="I1065">
        <v>1391.4</v>
      </c>
      <c r="J1065">
        <v>1000</v>
      </c>
      <c r="K1065" t="s">
        <v>43</v>
      </c>
      <c r="L1065">
        <v>0</v>
      </c>
      <c r="M1065">
        <v>3.75</v>
      </c>
      <c r="N1065" t="s">
        <v>28</v>
      </c>
      <c r="O1065">
        <v>45</v>
      </c>
      <c r="P1065">
        <v>54</v>
      </c>
      <c r="Q1065">
        <v>1</v>
      </c>
      <c r="R1065">
        <v>3</v>
      </c>
      <c r="S1065" t="s">
        <v>29</v>
      </c>
      <c r="T1065" t="s">
        <v>30</v>
      </c>
      <c r="U1065" t="s">
        <v>38</v>
      </c>
      <c r="V1065" t="s">
        <v>32</v>
      </c>
      <c r="W1065">
        <v>1</v>
      </c>
      <c r="X1065">
        <v>1</v>
      </c>
      <c r="Y1065" s="2">
        <f>Table1[[#This Row],[premium_yearly]]*Table1[[#This Row],[tenure_years]]</f>
        <v>5217.75</v>
      </c>
      <c r="Z1065" s="2">
        <f>Table1[[#This Row],[total_collected_premiums]]*(1-$AD$2)</f>
        <v>3808.9575</v>
      </c>
      <c r="AA1065" s="2">
        <f>Table1[[#This Row],[retained_premium]]-Table1[[#This Row],[claim_amount_paid]]</f>
        <v>3808.9575</v>
      </c>
    </row>
    <row r="1066" spans="1:27" x14ac:dyDescent="0.35">
      <c r="A1066" t="s">
        <v>3237</v>
      </c>
      <c r="B1066" t="s">
        <v>3238</v>
      </c>
      <c r="C1066" t="s">
        <v>3239</v>
      </c>
      <c r="D1066" s="1">
        <v>41673</v>
      </c>
      <c r="E1066" s="1">
        <v>44233</v>
      </c>
      <c r="F1066" s="1">
        <v>44238</v>
      </c>
      <c r="G1066">
        <v>5</v>
      </c>
      <c r="H1066">
        <v>138.41</v>
      </c>
      <c r="I1066">
        <v>1660.92</v>
      </c>
      <c r="J1066">
        <v>8000</v>
      </c>
      <c r="K1066" t="s">
        <v>27</v>
      </c>
      <c r="L1066">
        <v>8000</v>
      </c>
      <c r="M1066">
        <v>3.92</v>
      </c>
      <c r="N1066" t="s">
        <v>28</v>
      </c>
      <c r="O1066">
        <v>47</v>
      </c>
      <c r="P1066">
        <v>60</v>
      </c>
      <c r="Q1066">
        <v>0</v>
      </c>
      <c r="R1066">
        <v>2</v>
      </c>
      <c r="S1066" t="s">
        <v>29</v>
      </c>
      <c r="T1066" t="s">
        <v>50</v>
      </c>
      <c r="U1066" t="s">
        <v>38</v>
      </c>
      <c r="V1066" t="s">
        <v>39</v>
      </c>
      <c r="W1066">
        <v>1</v>
      </c>
      <c r="X1066">
        <v>0</v>
      </c>
      <c r="Y1066" s="2">
        <f>Table1[[#This Row],[premium_yearly]]*Table1[[#This Row],[tenure_years]]</f>
        <v>6510.8064000000004</v>
      </c>
      <c r="Z1066" s="2">
        <f>Table1[[#This Row],[total_collected_premiums]]*(1-$AD$2)</f>
        <v>4752.888672</v>
      </c>
      <c r="AA1066" s="2">
        <f>Table1[[#This Row],[retained_premium]]-Table1[[#This Row],[claim_amount_paid]]</f>
        <v>-3247.111328</v>
      </c>
    </row>
    <row r="1067" spans="1:27" x14ac:dyDescent="0.35">
      <c r="A1067" t="s">
        <v>3240</v>
      </c>
      <c r="B1067" t="s">
        <v>3241</v>
      </c>
      <c r="C1067" t="s">
        <v>3242</v>
      </c>
      <c r="D1067" s="1">
        <v>41295</v>
      </c>
      <c r="E1067" s="1">
        <v>44239</v>
      </c>
      <c r="F1067" s="1">
        <v>44244</v>
      </c>
      <c r="G1067">
        <v>5</v>
      </c>
      <c r="H1067">
        <v>76.349999999999994</v>
      </c>
      <c r="I1067">
        <v>916.2</v>
      </c>
      <c r="J1067">
        <v>10000</v>
      </c>
      <c r="K1067" t="s">
        <v>27</v>
      </c>
      <c r="L1067">
        <v>10000</v>
      </c>
      <c r="M1067">
        <v>7.17</v>
      </c>
      <c r="N1067" t="s">
        <v>36</v>
      </c>
      <c r="O1067">
        <v>86</v>
      </c>
      <c r="P1067">
        <v>27</v>
      </c>
      <c r="Q1067">
        <v>0</v>
      </c>
      <c r="R1067">
        <v>4</v>
      </c>
      <c r="S1067" t="s">
        <v>37</v>
      </c>
      <c r="T1067" t="s">
        <v>44</v>
      </c>
      <c r="U1067" t="s">
        <v>88</v>
      </c>
      <c r="V1067" t="s">
        <v>45</v>
      </c>
      <c r="W1067">
        <v>1</v>
      </c>
      <c r="X1067">
        <v>0</v>
      </c>
      <c r="Y1067" s="2">
        <f>Table1[[#This Row],[premium_yearly]]*Table1[[#This Row],[tenure_years]]</f>
        <v>6569.1540000000005</v>
      </c>
      <c r="Z1067" s="2">
        <f>Table1[[#This Row],[total_collected_premiums]]*(1-$AD$2)</f>
        <v>4795.4824200000003</v>
      </c>
      <c r="AA1067" s="2">
        <f>Table1[[#This Row],[retained_premium]]-Table1[[#This Row],[claim_amount_paid]]</f>
        <v>-5204.5175799999997</v>
      </c>
    </row>
    <row r="1068" spans="1:27" x14ac:dyDescent="0.35">
      <c r="A1068" t="s">
        <v>3243</v>
      </c>
      <c r="B1068" t="s">
        <v>3244</v>
      </c>
      <c r="C1068" t="s">
        <v>3245</v>
      </c>
      <c r="D1068" s="1">
        <v>40680</v>
      </c>
      <c r="E1068" s="1">
        <v>44234</v>
      </c>
      <c r="F1068" s="1">
        <v>44239</v>
      </c>
      <c r="G1068">
        <v>5</v>
      </c>
      <c r="H1068">
        <v>133.78</v>
      </c>
      <c r="I1068">
        <v>1605.36</v>
      </c>
      <c r="J1068">
        <v>3000</v>
      </c>
      <c r="K1068" t="s">
        <v>27</v>
      </c>
      <c r="L1068">
        <v>3000</v>
      </c>
      <c r="M1068">
        <v>6.67</v>
      </c>
      <c r="N1068" t="s">
        <v>36</v>
      </c>
      <c r="O1068">
        <v>80</v>
      </c>
      <c r="P1068">
        <v>25</v>
      </c>
      <c r="Q1068">
        <v>1</v>
      </c>
      <c r="R1068">
        <v>3</v>
      </c>
      <c r="S1068" t="s">
        <v>65</v>
      </c>
      <c r="T1068" t="s">
        <v>30</v>
      </c>
      <c r="U1068" t="s">
        <v>88</v>
      </c>
      <c r="V1068" t="s">
        <v>32</v>
      </c>
      <c r="W1068">
        <v>1</v>
      </c>
      <c r="X1068">
        <v>1</v>
      </c>
      <c r="Y1068" s="2">
        <f>Table1[[#This Row],[premium_yearly]]*Table1[[#This Row],[tenure_years]]</f>
        <v>10707.751199999999</v>
      </c>
      <c r="Z1068" s="2">
        <f>Table1[[#This Row],[total_collected_premiums]]*(1-$AD$2)</f>
        <v>7816.6583759999985</v>
      </c>
      <c r="AA1068" s="2">
        <f>Table1[[#This Row],[retained_premium]]-Table1[[#This Row],[claim_amount_paid]]</f>
        <v>4816.6583759999985</v>
      </c>
    </row>
    <row r="1069" spans="1:27" x14ac:dyDescent="0.35">
      <c r="A1069" t="s">
        <v>3246</v>
      </c>
      <c r="B1069" t="s">
        <v>3247</v>
      </c>
      <c r="C1069" t="s">
        <v>3248</v>
      </c>
      <c r="D1069" s="1">
        <v>42731</v>
      </c>
      <c r="E1069" s="1">
        <v>44247</v>
      </c>
      <c r="F1069" s="1">
        <v>44248</v>
      </c>
      <c r="G1069">
        <v>1</v>
      </c>
      <c r="H1069">
        <v>123.06</v>
      </c>
      <c r="I1069">
        <v>1476.72</v>
      </c>
      <c r="J1069">
        <v>1000</v>
      </c>
      <c r="K1069" t="s">
        <v>27</v>
      </c>
      <c r="L1069">
        <v>1000</v>
      </c>
      <c r="M1069">
        <v>9.75</v>
      </c>
      <c r="N1069" t="s">
        <v>28</v>
      </c>
      <c r="O1069">
        <v>117</v>
      </c>
      <c r="P1069">
        <v>47</v>
      </c>
      <c r="Q1069">
        <v>0</v>
      </c>
      <c r="R1069">
        <v>6</v>
      </c>
      <c r="S1069" t="s">
        <v>65</v>
      </c>
      <c r="T1069" t="s">
        <v>30</v>
      </c>
      <c r="U1069" t="s">
        <v>58</v>
      </c>
      <c r="V1069" t="s">
        <v>45</v>
      </c>
      <c r="W1069">
        <v>1</v>
      </c>
      <c r="X1069">
        <v>1</v>
      </c>
      <c r="Y1069" s="2">
        <f>Table1[[#This Row],[premium_yearly]]*Table1[[#This Row],[tenure_years]]</f>
        <v>14398.02</v>
      </c>
      <c r="Z1069" s="2">
        <f>Table1[[#This Row],[total_collected_premiums]]*(1-$AD$2)</f>
        <v>10510.554599999999</v>
      </c>
      <c r="AA1069" s="2">
        <f>Table1[[#This Row],[retained_premium]]-Table1[[#This Row],[claim_amount_paid]]</f>
        <v>9510.5545999999995</v>
      </c>
    </row>
    <row r="1070" spans="1:27" x14ac:dyDescent="0.35">
      <c r="A1070" t="s">
        <v>3249</v>
      </c>
      <c r="B1070" t="s">
        <v>3250</v>
      </c>
      <c r="C1070" t="s">
        <v>3251</v>
      </c>
      <c r="D1070" s="1">
        <v>42257</v>
      </c>
      <c r="E1070" s="1">
        <v>44235</v>
      </c>
      <c r="F1070" s="1">
        <v>44240</v>
      </c>
      <c r="G1070">
        <v>5</v>
      </c>
      <c r="H1070">
        <v>114.35</v>
      </c>
      <c r="I1070">
        <v>1372.2</v>
      </c>
      <c r="J1070">
        <v>9000</v>
      </c>
      <c r="K1070" t="s">
        <v>27</v>
      </c>
      <c r="L1070">
        <v>9000</v>
      </c>
      <c r="M1070">
        <v>0.5</v>
      </c>
      <c r="N1070" t="s">
        <v>49</v>
      </c>
      <c r="O1070">
        <v>6</v>
      </c>
      <c r="P1070">
        <v>32</v>
      </c>
      <c r="Q1070">
        <v>0</v>
      </c>
      <c r="R1070">
        <v>7</v>
      </c>
      <c r="S1070" t="s">
        <v>29</v>
      </c>
      <c r="T1070" t="s">
        <v>44</v>
      </c>
      <c r="U1070" t="s">
        <v>107</v>
      </c>
      <c r="V1070" t="s">
        <v>32</v>
      </c>
      <c r="W1070">
        <v>1</v>
      </c>
      <c r="X1070">
        <v>1</v>
      </c>
      <c r="Y1070" s="2">
        <f>Table1[[#This Row],[premium_yearly]]*Table1[[#This Row],[tenure_years]]</f>
        <v>686.1</v>
      </c>
      <c r="Z1070" s="2">
        <f>Table1[[#This Row],[total_collected_premiums]]*(1-$AD$2)</f>
        <v>500.85300000000001</v>
      </c>
      <c r="AA1070" s="2">
        <f>Table1[[#This Row],[retained_premium]]-Table1[[#This Row],[claim_amount_paid]]</f>
        <v>-8499.1470000000008</v>
      </c>
    </row>
    <row r="1071" spans="1:27" x14ac:dyDescent="0.35">
      <c r="A1071" t="s">
        <v>3252</v>
      </c>
      <c r="B1071" t="s">
        <v>3253</v>
      </c>
      <c r="C1071" t="s">
        <v>3254</v>
      </c>
      <c r="D1071" s="1">
        <v>41490</v>
      </c>
      <c r="E1071" s="1">
        <v>44251</v>
      </c>
      <c r="F1071" s="1">
        <v>44251</v>
      </c>
      <c r="G1071">
        <v>0</v>
      </c>
      <c r="H1071">
        <v>126.03</v>
      </c>
      <c r="I1071">
        <v>1512.36</v>
      </c>
      <c r="J1071">
        <v>6000</v>
      </c>
      <c r="K1071" t="s">
        <v>27</v>
      </c>
      <c r="L1071">
        <v>6000</v>
      </c>
      <c r="M1071">
        <v>6.33</v>
      </c>
      <c r="N1071" t="s">
        <v>36</v>
      </c>
      <c r="O1071">
        <v>76</v>
      </c>
      <c r="P1071">
        <v>49</v>
      </c>
      <c r="Q1071">
        <v>1</v>
      </c>
      <c r="R1071">
        <v>5</v>
      </c>
      <c r="S1071" t="s">
        <v>29</v>
      </c>
      <c r="T1071" t="s">
        <v>44</v>
      </c>
      <c r="U1071" t="s">
        <v>107</v>
      </c>
      <c r="V1071" t="s">
        <v>45</v>
      </c>
      <c r="W1071">
        <v>1</v>
      </c>
      <c r="X1071">
        <v>1</v>
      </c>
      <c r="Y1071" s="2">
        <f>Table1[[#This Row],[premium_yearly]]*Table1[[#This Row],[tenure_years]]</f>
        <v>9573.2387999999992</v>
      </c>
      <c r="Z1071" s="2">
        <f>Table1[[#This Row],[total_collected_premiums]]*(1-$AD$2)</f>
        <v>6988.4643239999996</v>
      </c>
      <c r="AA1071" s="2">
        <f>Table1[[#This Row],[retained_premium]]-Table1[[#This Row],[claim_amount_paid]]</f>
        <v>988.46432399999958</v>
      </c>
    </row>
    <row r="1072" spans="1:27" x14ac:dyDescent="0.35">
      <c r="A1072" t="s">
        <v>3255</v>
      </c>
      <c r="B1072" t="s">
        <v>3256</v>
      </c>
      <c r="C1072" t="s">
        <v>3257</v>
      </c>
      <c r="D1072" s="1">
        <v>40870</v>
      </c>
      <c r="E1072" s="1">
        <v>44244</v>
      </c>
      <c r="F1072" s="1">
        <v>44247</v>
      </c>
      <c r="G1072">
        <v>3</v>
      </c>
      <c r="H1072">
        <v>118.53</v>
      </c>
      <c r="I1072">
        <v>1422.36</v>
      </c>
      <c r="J1072">
        <v>9000</v>
      </c>
      <c r="K1072" t="s">
        <v>27</v>
      </c>
      <c r="L1072">
        <v>9000</v>
      </c>
      <c r="M1072">
        <v>6.42</v>
      </c>
      <c r="N1072" t="s">
        <v>36</v>
      </c>
      <c r="O1072">
        <v>77</v>
      </c>
      <c r="P1072">
        <v>28</v>
      </c>
      <c r="Q1072">
        <v>1</v>
      </c>
      <c r="R1072">
        <v>3</v>
      </c>
      <c r="S1072" t="s">
        <v>29</v>
      </c>
      <c r="T1072" t="s">
        <v>30</v>
      </c>
      <c r="U1072" t="s">
        <v>31</v>
      </c>
      <c r="V1072" t="s">
        <v>32</v>
      </c>
      <c r="W1072">
        <v>1</v>
      </c>
      <c r="X1072">
        <v>1</v>
      </c>
      <c r="Y1072" s="2">
        <f>Table1[[#This Row],[premium_yearly]]*Table1[[#This Row],[tenure_years]]</f>
        <v>9131.5511999999999</v>
      </c>
      <c r="Z1072" s="2">
        <f>Table1[[#This Row],[total_collected_premiums]]*(1-$AD$2)</f>
        <v>6666.0323760000001</v>
      </c>
      <c r="AA1072" s="2">
        <f>Table1[[#This Row],[retained_premium]]-Table1[[#This Row],[claim_amount_paid]]</f>
        <v>-2333.9676239999999</v>
      </c>
    </row>
    <row r="1073" spans="1:27" x14ac:dyDescent="0.35">
      <c r="A1073" t="s">
        <v>3258</v>
      </c>
      <c r="B1073" t="s">
        <v>3259</v>
      </c>
      <c r="C1073" t="s">
        <v>3260</v>
      </c>
      <c r="D1073" s="1">
        <v>41697</v>
      </c>
      <c r="E1073" s="1">
        <v>44251</v>
      </c>
      <c r="F1073" s="1">
        <v>44251</v>
      </c>
      <c r="G1073">
        <v>0</v>
      </c>
      <c r="H1073">
        <v>137.68</v>
      </c>
      <c r="I1073">
        <v>1652.16</v>
      </c>
      <c r="J1073">
        <v>9000</v>
      </c>
      <c r="K1073" t="s">
        <v>27</v>
      </c>
      <c r="L1073">
        <v>9000</v>
      </c>
      <c r="M1073">
        <v>0.75</v>
      </c>
      <c r="N1073" t="s">
        <v>28</v>
      </c>
      <c r="O1073">
        <v>9</v>
      </c>
      <c r="P1073">
        <v>26</v>
      </c>
      <c r="Q1073">
        <v>0</v>
      </c>
      <c r="R1073">
        <v>3</v>
      </c>
      <c r="S1073" t="s">
        <v>29</v>
      </c>
      <c r="T1073" t="s">
        <v>50</v>
      </c>
      <c r="U1073" t="s">
        <v>31</v>
      </c>
      <c r="V1073" t="s">
        <v>32</v>
      </c>
      <c r="W1073">
        <v>1</v>
      </c>
      <c r="X1073">
        <v>1</v>
      </c>
      <c r="Y1073" s="2">
        <f>Table1[[#This Row],[premium_yearly]]*Table1[[#This Row],[tenure_years]]</f>
        <v>1239.1200000000001</v>
      </c>
      <c r="Z1073" s="2">
        <f>Table1[[#This Row],[total_collected_premiums]]*(1-$AD$2)</f>
        <v>904.55760000000009</v>
      </c>
      <c r="AA1073" s="2">
        <f>Table1[[#This Row],[retained_premium]]-Table1[[#This Row],[claim_amount_paid]]</f>
        <v>-8095.4423999999999</v>
      </c>
    </row>
    <row r="1074" spans="1:27" x14ac:dyDescent="0.35">
      <c r="A1074" t="s">
        <v>3261</v>
      </c>
      <c r="B1074" t="s">
        <v>3262</v>
      </c>
      <c r="C1074" t="s">
        <v>3263</v>
      </c>
      <c r="D1074" s="1">
        <v>41154</v>
      </c>
      <c r="E1074" s="1">
        <v>44246</v>
      </c>
      <c r="F1074" s="1">
        <v>44248</v>
      </c>
      <c r="G1074">
        <v>2</v>
      </c>
      <c r="H1074">
        <v>72.37</v>
      </c>
      <c r="I1074">
        <v>868.44</v>
      </c>
      <c r="J1074">
        <v>9000</v>
      </c>
      <c r="K1074" t="s">
        <v>27</v>
      </c>
      <c r="L1074">
        <v>9000</v>
      </c>
      <c r="M1074">
        <v>0.75</v>
      </c>
      <c r="N1074" t="s">
        <v>49</v>
      </c>
      <c r="O1074">
        <v>9</v>
      </c>
      <c r="P1074">
        <v>50</v>
      </c>
      <c r="Q1074">
        <v>1</v>
      </c>
      <c r="R1074">
        <v>7</v>
      </c>
      <c r="S1074" t="s">
        <v>65</v>
      </c>
      <c r="T1074" t="s">
        <v>50</v>
      </c>
      <c r="U1074" t="s">
        <v>38</v>
      </c>
      <c r="V1074" t="s">
        <v>39</v>
      </c>
      <c r="W1074">
        <v>1</v>
      </c>
      <c r="X1074">
        <v>1</v>
      </c>
      <c r="Y1074" s="2">
        <f>Table1[[#This Row],[premium_yearly]]*Table1[[#This Row],[tenure_years]]</f>
        <v>651.33000000000004</v>
      </c>
      <c r="Z1074" s="2">
        <f>Table1[[#This Row],[total_collected_premiums]]*(1-$AD$2)</f>
        <v>475.47090000000003</v>
      </c>
      <c r="AA1074" s="2">
        <f>Table1[[#This Row],[retained_premium]]-Table1[[#This Row],[claim_amount_paid]]</f>
        <v>-8524.5290999999997</v>
      </c>
    </row>
    <row r="1075" spans="1:27" x14ac:dyDescent="0.35">
      <c r="A1075" t="s">
        <v>3264</v>
      </c>
      <c r="B1075" t="s">
        <v>3265</v>
      </c>
      <c r="C1075" t="s">
        <v>3266</v>
      </c>
      <c r="D1075" s="1">
        <v>40947</v>
      </c>
      <c r="E1075" s="1">
        <v>44247</v>
      </c>
      <c r="F1075" s="1">
        <v>44249</v>
      </c>
      <c r="G1075">
        <v>2</v>
      </c>
      <c r="H1075">
        <v>70.760000000000005</v>
      </c>
      <c r="I1075">
        <v>849.12</v>
      </c>
      <c r="J1075">
        <v>6000</v>
      </c>
      <c r="K1075" t="s">
        <v>27</v>
      </c>
      <c r="L1075">
        <v>6000</v>
      </c>
      <c r="M1075">
        <v>3</v>
      </c>
      <c r="N1075" t="s">
        <v>28</v>
      </c>
      <c r="O1075">
        <v>36</v>
      </c>
      <c r="P1075">
        <v>53</v>
      </c>
      <c r="Q1075">
        <v>1</v>
      </c>
      <c r="R1075">
        <v>3</v>
      </c>
      <c r="S1075" t="s">
        <v>65</v>
      </c>
      <c r="T1075" t="s">
        <v>30</v>
      </c>
      <c r="U1075" t="s">
        <v>88</v>
      </c>
      <c r="V1075" t="s">
        <v>32</v>
      </c>
      <c r="W1075">
        <v>1</v>
      </c>
      <c r="X1075">
        <v>0</v>
      </c>
      <c r="Y1075" s="2">
        <f>Table1[[#This Row],[premium_yearly]]*Table1[[#This Row],[tenure_years]]</f>
        <v>2547.36</v>
      </c>
      <c r="Z1075" s="2">
        <f>Table1[[#This Row],[total_collected_premiums]]*(1-$AD$2)</f>
        <v>1859.5728000000001</v>
      </c>
      <c r="AA1075" s="2">
        <f>Table1[[#This Row],[retained_premium]]-Table1[[#This Row],[claim_amount_paid]]</f>
        <v>-4140.4272000000001</v>
      </c>
    </row>
    <row r="1076" spans="1:27" x14ac:dyDescent="0.35">
      <c r="A1076" t="s">
        <v>3267</v>
      </c>
      <c r="B1076" t="s">
        <v>3268</v>
      </c>
      <c r="C1076" t="s">
        <v>3269</v>
      </c>
      <c r="D1076" s="1">
        <v>43061</v>
      </c>
      <c r="E1076" s="1">
        <v>44238</v>
      </c>
      <c r="F1076" s="1">
        <v>44243</v>
      </c>
      <c r="G1076">
        <v>5</v>
      </c>
      <c r="H1076">
        <v>112.45</v>
      </c>
      <c r="I1076">
        <v>1349.4</v>
      </c>
      <c r="J1076">
        <v>4000</v>
      </c>
      <c r="K1076" t="s">
        <v>27</v>
      </c>
      <c r="L1076">
        <v>4000</v>
      </c>
      <c r="M1076">
        <v>3.17</v>
      </c>
      <c r="N1076" t="s">
        <v>36</v>
      </c>
      <c r="O1076">
        <v>38</v>
      </c>
      <c r="P1076">
        <v>62</v>
      </c>
      <c r="Q1076">
        <v>1</v>
      </c>
      <c r="R1076">
        <v>5</v>
      </c>
      <c r="S1076" t="s">
        <v>29</v>
      </c>
      <c r="T1076" t="s">
        <v>30</v>
      </c>
      <c r="U1076" t="s">
        <v>51</v>
      </c>
      <c r="V1076" t="s">
        <v>39</v>
      </c>
      <c r="W1076">
        <v>1</v>
      </c>
      <c r="X1076">
        <v>1</v>
      </c>
      <c r="Y1076" s="2">
        <f>Table1[[#This Row],[premium_yearly]]*Table1[[#This Row],[tenure_years]]</f>
        <v>4277.598</v>
      </c>
      <c r="Z1076" s="2">
        <f>Table1[[#This Row],[total_collected_premiums]]*(1-$AD$2)</f>
        <v>3122.6465399999997</v>
      </c>
      <c r="AA1076" s="2">
        <f>Table1[[#This Row],[retained_premium]]-Table1[[#This Row],[claim_amount_paid]]</f>
        <v>-877.35346000000027</v>
      </c>
    </row>
    <row r="1077" spans="1:27" x14ac:dyDescent="0.35">
      <c r="A1077" t="s">
        <v>3270</v>
      </c>
      <c r="B1077" t="s">
        <v>3271</v>
      </c>
      <c r="C1077" t="s">
        <v>3272</v>
      </c>
      <c r="D1077" s="1">
        <v>42655</v>
      </c>
      <c r="E1077" s="1">
        <v>44240</v>
      </c>
      <c r="F1077" s="1">
        <v>44245</v>
      </c>
      <c r="G1077">
        <v>5</v>
      </c>
      <c r="H1077">
        <v>110.85</v>
      </c>
      <c r="I1077">
        <v>1330.2</v>
      </c>
      <c r="J1077">
        <v>3000</v>
      </c>
      <c r="K1077" t="s">
        <v>27</v>
      </c>
      <c r="L1077">
        <v>3000</v>
      </c>
      <c r="M1077">
        <v>5.5</v>
      </c>
      <c r="N1077" t="s">
        <v>28</v>
      </c>
      <c r="O1077">
        <v>66</v>
      </c>
      <c r="P1077">
        <v>53</v>
      </c>
      <c r="Q1077">
        <v>1</v>
      </c>
      <c r="R1077">
        <v>3</v>
      </c>
      <c r="S1077" t="s">
        <v>29</v>
      </c>
      <c r="T1077" t="s">
        <v>50</v>
      </c>
      <c r="U1077" t="s">
        <v>38</v>
      </c>
      <c r="V1077" t="s">
        <v>39</v>
      </c>
      <c r="W1077">
        <v>1</v>
      </c>
      <c r="X1077">
        <v>0</v>
      </c>
      <c r="Y1077" s="2">
        <f>Table1[[#This Row],[premium_yearly]]*Table1[[#This Row],[tenure_years]]</f>
        <v>7316.1</v>
      </c>
      <c r="Z1077" s="2">
        <f>Table1[[#This Row],[total_collected_premiums]]*(1-$AD$2)</f>
        <v>5340.7529999999997</v>
      </c>
      <c r="AA1077" s="2">
        <f>Table1[[#This Row],[retained_premium]]-Table1[[#This Row],[claim_amount_paid]]</f>
        <v>2340.7529999999997</v>
      </c>
    </row>
    <row r="1078" spans="1:27" x14ac:dyDescent="0.35">
      <c r="A1078" t="s">
        <v>3273</v>
      </c>
      <c r="B1078" t="s">
        <v>3274</v>
      </c>
      <c r="C1078" t="s">
        <v>3275</v>
      </c>
      <c r="D1078" s="1">
        <v>41743</v>
      </c>
      <c r="E1078" s="1">
        <v>44240</v>
      </c>
      <c r="F1078" s="1">
        <v>44245</v>
      </c>
      <c r="G1078">
        <v>5</v>
      </c>
      <c r="H1078">
        <v>128.66</v>
      </c>
      <c r="I1078">
        <v>1543.92</v>
      </c>
      <c r="J1078">
        <v>6000</v>
      </c>
      <c r="K1078" t="s">
        <v>27</v>
      </c>
      <c r="L1078">
        <v>6000</v>
      </c>
      <c r="M1078">
        <v>3.92</v>
      </c>
      <c r="N1078" t="s">
        <v>36</v>
      </c>
      <c r="O1078">
        <v>47</v>
      </c>
      <c r="P1078">
        <v>60</v>
      </c>
      <c r="Q1078">
        <v>1</v>
      </c>
      <c r="R1078">
        <v>3</v>
      </c>
      <c r="S1078" t="s">
        <v>29</v>
      </c>
      <c r="T1078" t="s">
        <v>44</v>
      </c>
      <c r="U1078" t="s">
        <v>38</v>
      </c>
      <c r="V1078" t="s">
        <v>39</v>
      </c>
      <c r="W1078">
        <v>1</v>
      </c>
      <c r="X1078">
        <v>1</v>
      </c>
      <c r="Y1078" s="2">
        <f>Table1[[#This Row],[premium_yearly]]*Table1[[#This Row],[tenure_years]]</f>
        <v>6052.1664000000001</v>
      </c>
      <c r="Z1078" s="2">
        <f>Table1[[#This Row],[total_collected_premiums]]*(1-$AD$2)</f>
        <v>4418.0814719999998</v>
      </c>
      <c r="AA1078" s="2">
        <f>Table1[[#This Row],[retained_premium]]-Table1[[#This Row],[claim_amount_paid]]</f>
        <v>-1581.9185280000002</v>
      </c>
    </row>
    <row r="1079" spans="1:27" x14ac:dyDescent="0.35">
      <c r="A1079" t="s">
        <v>3276</v>
      </c>
      <c r="B1079" t="s">
        <v>3277</v>
      </c>
      <c r="C1079" t="s">
        <v>3278</v>
      </c>
      <c r="D1079" s="1">
        <v>42433</v>
      </c>
      <c r="E1079" s="1">
        <v>44238</v>
      </c>
      <c r="F1079" s="1">
        <v>44243</v>
      </c>
      <c r="G1079">
        <v>5</v>
      </c>
      <c r="H1079">
        <v>126.68</v>
      </c>
      <c r="I1079">
        <v>1520.16</v>
      </c>
      <c r="J1079">
        <v>4000</v>
      </c>
      <c r="K1079" t="s">
        <v>27</v>
      </c>
      <c r="L1079">
        <v>4000</v>
      </c>
      <c r="M1079">
        <v>9.42</v>
      </c>
      <c r="N1079" t="s">
        <v>36</v>
      </c>
      <c r="O1079">
        <v>113</v>
      </c>
      <c r="P1079">
        <v>37</v>
      </c>
      <c r="Q1079">
        <v>0</v>
      </c>
      <c r="R1079">
        <v>7</v>
      </c>
      <c r="S1079" t="s">
        <v>29</v>
      </c>
      <c r="T1079" t="s">
        <v>44</v>
      </c>
      <c r="U1079" t="s">
        <v>31</v>
      </c>
      <c r="V1079" t="s">
        <v>45</v>
      </c>
      <c r="W1079">
        <v>1</v>
      </c>
      <c r="X1079">
        <v>0</v>
      </c>
      <c r="Y1079" s="2">
        <f>Table1[[#This Row],[premium_yearly]]*Table1[[#This Row],[tenure_years]]</f>
        <v>14319.907200000001</v>
      </c>
      <c r="Z1079" s="2">
        <f>Table1[[#This Row],[total_collected_premiums]]*(1-$AD$2)</f>
        <v>10453.532256</v>
      </c>
      <c r="AA1079" s="2">
        <f>Table1[[#This Row],[retained_premium]]-Table1[[#This Row],[claim_amount_paid]]</f>
        <v>6453.5322560000004</v>
      </c>
    </row>
    <row r="1080" spans="1:27" x14ac:dyDescent="0.35">
      <c r="A1080" t="s">
        <v>3279</v>
      </c>
      <c r="B1080" t="s">
        <v>3280</v>
      </c>
      <c r="C1080" t="s">
        <v>3281</v>
      </c>
      <c r="D1080" s="1">
        <v>41570</v>
      </c>
      <c r="E1080" s="1">
        <v>44246</v>
      </c>
      <c r="F1080" s="1">
        <v>44249</v>
      </c>
      <c r="G1080">
        <v>3</v>
      </c>
      <c r="H1080">
        <v>121.1</v>
      </c>
      <c r="I1080">
        <v>1453.2</v>
      </c>
      <c r="J1080">
        <v>7000</v>
      </c>
      <c r="K1080" t="s">
        <v>27</v>
      </c>
      <c r="L1080">
        <v>7000</v>
      </c>
      <c r="M1080">
        <v>4.25</v>
      </c>
      <c r="N1080" t="s">
        <v>36</v>
      </c>
      <c r="O1080">
        <v>51</v>
      </c>
      <c r="P1080">
        <v>33</v>
      </c>
      <c r="Q1080">
        <v>0</v>
      </c>
      <c r="R1080">
        <v>5</v>
      </c>
      <c r="S1080" t="s">
        <v>29</v>
      </c>
      <c r="T1080" t="s">
        <v>50</v>
      </c>
      <c r="U1080" t="s">
        <v>38</v>
      </c>
      <c r="V1080" t="s">
        <v>32</v>
      </c>
      <c r="W1080">
        <v>0</v>
      </c>
      <c r="X1080">
        <v>0</v>
      </c>
      <c r="Y1080" s="2">
        <f>Table1[[#This Row],[premium_yearly]]*Table1[[#This Row],[tenure_years]]</f>
        <v>6176.1</v>
      </c>
      <c r="Z1080" s="2">
        <f>Table1[[#This Row],[total_collected_premiums]]*(1-$AD$2)</f>
        <v>4508.5529999999999</v>
      </c>
      <c r="AA1080" s="2">
        <f>Table1[[#This Row],[retained_premium]]-Table1[[#This Row],[claim_amount_paid]]</f>
        <v>-2491.4470000000001</v>
      </c>
    </row>
    <row r="1081" spans="1:27" x14ac:dyDescent="0.35">
      <c r="A1081" t="s">
        <v>3282</v>
      </c>
      <c r="B1081" t="s">
        <v>3283</v>
      </c>
      <c r="C1081" t="s">
        <v>3284</v>
      </c>
      <c r="D1081" s="1">
        <v>43137</v>
      </c>
      <c r="E1081" s="1">
        <v>44240</v>
      </c>
      <c r="F1081" s="1">
        <v>44245</v>
      </c>
      <c r="G1081">
        <v>5</v>
      </c>
      <c r="H1081">
        <v>119.1</v>
      </c>
      <c r="I1081">
        <v>1429.2</v>
      </c>
      <c r="J1081">
        <v>7000</v>
      </c>
      <c r="K1081" t="s">
        <v>27</v>
      </c>
      <c r="L1081">
        <v>7000</v>
      </c>
      <c r="M1081">
        <v>7.58</v>
      </c>
      <c r="N1081" t="s">
        <v>49</v>
      </c>
      <c r="O1081">
        <v>91</v>
      </c>
      <c r="P1081">
        <v>37</v>
      </c>
      <c r="Q1081">
        <v>1</v>
      </c>
      <c r="R1081">
        <v>4</v>
      </c>
      <c r="S1081" t="s">
        <v>29</v>
      </c>
      <c r="T1081" t="s">
        <v>44</v>
      </c>
      <c r="U1081" t="s">
        <v>66</v>
      </c>
      <c r="V1081" t="s">
        <v>39</v>
      </c>
      <c r="W1081">
        <v>0</v>
      </c>
      <c r="X1081">
        <v>1</v>
      </c>
      <c r="Y1081" s="2">
        <f>Table1[[#This Row],[premium_yearly]]*Table1[[#This Row],[tenure_years]]</f>
        <v>10833.336000000001</v>
      </c>
      <c r="Z1081" s="2">
        <f>Table1[[#This Row],[total_collected_premiums]]*(1-$AD$2)</f>
        <v>7908.3352800000002</v>
      </c>
      <c r="AA1081" s="2">
        <f>Table1[[#This Row],[retained_premium]]-Table1[[#This Row],[claim_amount_paid]]</f>
        <v>908.33528000000024</v>
      </c>
    </row>
    <row r="1082" spans="1:27" x14ac:dyDescent="0.35">
      <c r="A1082" t="s">
        <v>3285</v>
      </c>
      <c r="B1082" t="s">
        <v>3286</v>
      </c>
      <c r="C1082" t="s">
        <v>3287</v>
      </c>
      <c r="D1082" s="1">
        <v>41869</v>
      </c>
      <c r="E1082" s="1">
        <v>44241</v>
      </c>
      <c r="F1082" s="1">
        <v>44246</v>
      </c>
      <c r="G1082">
        <v>5</v>
      </c>
      <c r="H1082">
        <v>82.33</v>
      </c>
      <c r="I1082">
        <v>987.96</v>
      </c>
      <c r="J1082">
        <v>10000</v>
      </c>
      <c r="K1082" t="s">
        <v>27</v>
      </c>
      <c r="L1082">
        <v>10000</v>
      </c>
      <c r="M1082">
        <v>0.67</v>
      </c>
      <c r="N1082" t="s">
        <v>49</v>
      </c>
      <c r="O1082">
        <v>8</v>
      </c>
      <c r="P1082">
        <v>53</v>
      </c>
      <c r="Q1082">
        <v>1</v>
      </c>
      <c r="R1082">
        <v>3</v>
      </c>
      <c r="S1082" t="s">
        <v>65</v>
      </c>
      <c r="T1082" t="s">
        <v>30</v>
      </c>
      <c r="U1082" t="s">
        <v>58</v>
      </c>
      <c r="V1082" t="s">
        <v>39</v>
      </c>
      <c r="W1082">
        <v>1</v>
      </c>
      <c r="X1082">
        <v>1</v>
      </c>
      <c r="Y1082" s="2">
        <f>Table1[[#This Row],[premium_yearly]]*Table1[[#This Row],[tenure_years]]</f>
        <v>661.93320000000006</v>
      </c>
      <c r="Z1082" s="2">
        <f>Table1[[#This Row],[total_collected_premiums]]*(1-$AD$2)</f>
        <v>483.21123600000004</v>
      </c>
      <c r="AA1082" s="2">
        <f>Table1[[#This Row],[retained_premium]]-Table1[[#This Row],[claim_amount_paid]]</f>
        <v>-9516.7887640000008</v>
      </c>
    </row>
    <row r="1083" spans="1:27" x14ac:dyDescent="0.35">
      <c r="A1083" t="s">
        <v>3288</v>
      </c>
      <c r="B1083" t="s">
        <v>3289</v>
      </c>
      <c r="C1083" t="s">
        <v>3290</v>
      </c>
      <c r="D1083" s="1">
        <v>43083</v>
      </c>
      <c r="E1083" s="1">
        <v>44252</v>
      </c>
      <c r="F1083" s="1">
        <v>44253</v>
      </c>
      <c r="G1083">
        <v>1</v>
      </c>
      <c r="H1083">
        <v>120.94</v>
      </c>
      <c r="I1083">
        <v>1451.28</v>
      </c>
      <c r="J1083">
        <v>9000</v>
      </c>
      <c r="K1083" t="s">
        <v>27</v>
      </c>
      <c r="L1083">
        <v>9000</v>
      </c>
      <c r="M1083">
        <v>8.33</v>
      </c>
      <c r="N1083" t="s">
        <v>28</v>
      </c>
      <c r="O1083">
        <v>100</v>
      </c>
      <c r="P1083">
        <v>55</v>
      </c>
      <c r="Q1083">
        <v>1</v>
      </c>
      <c r="R1083">
        <v>5</v>
      </c>
      <c r="S1083" t="s">
        <v>65</v>
      </c>
      <c r="T1083" t="s">
        <v>50</v>
      </c>
      <c r="U1083" t="s">
        <v>66</v>
      </c>
      <c r="V1083" t="s">
        <v>32</v>
      </c>
      <c r="W1083">
        <v>1</v>
      </c>
      <c r="X1083">
        <v>0</v>
      </c>
      <c r="Y1083" s="2">
        <f>Table1[[#This Row],[premium_yearly]]*Table1[[#This Row],[tenure_years]]</f>
        <v>12089.162399999999</v>
      </c>
      <c r="Z1083" s="2">
        <f>Table1[[#This Row],[total_collected_premiums]]*(1-$AD$2)</f>
        <v>8825.0885519999993</v>
      </c>
      <c r="AA1083" s="2">
        <f>Table1[[#This Row],[retained_premium]]-Table1[[#This Row],[claim_amount_paid]]</f>
        <v>-174.91144800000075</v>
      </c>
    </row>
    <row r="1084" spans="1:27" x14ac:dyDescent="0.35">
      <c r="A1084" t="s">
        <v>3291</v>
      </c>
      <c r="B1084" t="s">
        <v>3292</v>
      </c>
      <c r="C1084" t="s">
        <v>3293</v>
      </c>
      <c r="D1084" s="1">
        <v>42082</v>
      </c>
      <c r="E1084" s="1">
        <v>44256</v>
      </c>
      <c r="F1084" s="1">
        <v>44256</v>
      </c>
      <c r="G1084">
        <v>0</v>
      </c>
      <c r="H1084">
        <v>124.74</v>
      </c>
      <c r="I1084">
        <v>1496.88</v>
      </c>
      <c r="J1084">
        <v>5000</v>
      </c>
      <c r="K1084" t="s">
        <v>27</v>
      </c>
      <c r="L1084">
        <v>5000</v>
      </c>
      <c r="M1084">
        <v>1.58</v>
      </c>
      <c r="N1084" t="s">
        <v>36</v>
      </c>
      <c r="O1084">
        <v>19</v>
      </c>
      <c r="P1084">
        <v>45</v>
      </c>
      <c r="Q1084">
        <v>1</v>
      </c>
      <c r="R1084">
        <v>3</v>
      </c>
      <c r="S1084" t="s">
        <v>29</v>
      </c>
      <c r="T1084" t="s">
        <v>44</v>
      </c>
      <c r="U1084" t="s">
        <v>31</v>
      </c>
      <c r="V1084" t="s">
        <v>39</v>
      </c>
      <c r="W1084">
        <v>0</v>
      </c>
      <c r="X1084">
        <v>1</v>
      </c>
      <c r="Y1084" s="2">
        <f>Table1[[#This Row],[premium_yearly]]*Table1[[#This Row],[tenure_years]]</f>
        <v>2365.0704000000001</v>
      </c>
      <c r="Z1084" s="2">
        <f>Table1[[#This Row],[total_collected_premiums]]*(1-$AD$2)</f>
        <v>1726.5013919999999</v>
      </c>
      <c r="AA1084" s="2">
        <f>Table1[[#This Row],[retained_premium]]-Table1[[#This Row],[claim_amount_paid]]</f>
        <v>-3273.4986079999999</v>
      </c>
    </row>
    <row r="1085" spans="1:27" x14ac:dyDescent="0.35">
      <c r="A1085" t="s">
        <v>3294</v>
      </c>
      <c r="B1085" t="s">
        <v>3295</v>
      </c>
      <c r="C1085" t="s">
        <v>3296</v>
      </c>
      <c r="D1085" s="1">
        <v>42350</v>
      </c>
      <c r="E1085" s="1">
        <v>44239</v>
      </c>
      <c r="F1085" s="1">
        <v>44244</v>
      </c>
      <c r="G1085">
        <v>5</v>
      </c>
      <c r="H1085">
        <v>100.27</v>
      </c>
      <c r="I1085">
        <v>1203.24</v>
      </c>
      <c r="J1085">
        <v>8000</v>
      </c>
      <c r="K1085" t="s">
        <v>27</v>
      </c>
      <c r="L1085">
        <v>8000</v>
      </c>
      <c r="M1085">
        <v>4</v>
      </c>
      <c r="N1085" t="s">
        <v>49</v>
      </c>
      <c r="O1085">
        <v>48</v>
      </c>
      <c r="P1085">
        <v>41</v>
      </c>
      <c r="Q1085">
        <v>1</v>
      </c>
      <c r="R1085">
        <v>2</v>
      </c>
      <c r="S1085" t="s">
        <v>29</v>
      </c>
      <c r="T1085" t="s">
        <v>44</v>
      </c>
      <c r="U1085" t="s">
        <v>31</v>
      </c>
      <c r="V1085" t="s">
        <v>45</v>
      </c>
      <c r="W1085">
        <v>1</v>
      </c>
      <c r="X1085">
        <v>1</v>
      </c>
      <c r="Y1085" s="2">
        <f>Table1[[#This Row],[premium_yearly]]*Table1[[#This Row],[tenure_years]]</f>
        <v>4812.96</v>
      </c>
      <c r="Z1085" s="2">
        <f>Table1[[#This Row],[total_collected_premiums]]*(1-$AD$2)</f>
        <v>3513.4607999999998</v>
      </c>
      <c r="AA1085" s="2">
        <f>Table1[[#This Row],[retained_premium]]-Table1[[#This Row],[claim_amount_paid]]</f>
        <v>-4486.5392000000002</v>
      </c>
    </row>
    <row r="1086" spans="1:27" x14ac:dyDescent="0.35">
      <c r="A1086" t="s">
        <v>3297</v>
      </c>
      <c r="B1086" t="s">
        <v>3298</v>
      </c>
      <c r="C1086" t="s">
        <v>3299</v>
      </c>
      <c r="D1086" s="1">
        <v>43002</v>
      </c>
      <c r="E1086" s="1">
        <v>44249</v>
      </c>
      <c r="F1086" s="1">
        <v>44252</v>
      </c>
      <c r="G1086">
        <v>3</v>
      </c>
      <c r="H1086">
        <v>84.32</v>
      </c>
      <c r="I1086">
        <v>1011.84</v>
      </c>
      <c r="J1086">
        <v>9000</v>
      </c>
      <c r="K1086" t="s">
        <v>27</v>
      </c>
      <c r="L1086">
        <v>9000</v>
      </c>
      <c r="M1086">
        <v>8.33</v>
      </c>
      <c r="N1086" t="s">
        <v>49</v>
      </c>
      <c r="O1086">
        <v>100</v>
      </c>
      <c r="P1086">
        <v>56</v>
      </c>
      <c r="Q1086">
        <v>0</v>
      </c>
      <c r="R1086">
        <v>5</v>
      </c>
      <c r="S1086" t="s">
        <v>65</v>
      </c>
      <c r="T1086" t="s">
        <v>30</v>
      </c>
      <c r="U1086" t="s">
        <v>31</v>
      </c>
      <c r="V1086" t="s">
        <v>32</v>
      </c>
      <c r="W1086">
        <v>1</v>
      </c>
      <c r="X1086">
        <v>1</v>
      </c>
      <c r="Y1086" s="2">
        <f>Table1[[#This Row],[premium_yearly]]*Table1[[#This Row],[tenure_years]]</f>
        <v>8428.6272000000008</v>
      </c>
      <c r="Z1086" s="2">
        <f>Table1[[#This Row],[total_collected_premiums]]*(1-$AD$2)</f>
        <v>6152.8978560000005</v>
      </c>
      <c r="AA1086" s="2">
        <f>Table1[[#This Row],[retained_premium]]-Table1[[#This Row],[claim_amount_paid]]</f>
        <v>-2847.1021439999995</v>
      </c>
    </row>
    <row r="1087" spans="1:27" x14ac:dyDescent="0.35">
      <c r="A1087" t="s">
        <v>3300</v>
      </c>
      <c r="B1087" t="s">
        <v>3301</v>
      </c>
      <c r="C1087" t="s">
        <v>3302</v>
      </c>
      <c r="D1087" s="1">
        <v>42999</v>
      </c>
      <c r="E1087" s="1">
        <v>44244</v>
      </c>
      <c r="F1087" s="1">
        <v>44249</v>
      </c>
      <c r="G1087">
        <v>5</v>
      </c>
      <c r="H1087">
        <v>113.2</v>
      </c>
      <c r="I1087">
        <v>1358.4</v>
      </c>
      <c r="J1087">
        <v>5000</v>
      </c>
      <c r="K1087" t="s">
        <v>27</v>
      </c>
      <c r="L1087">
        <v>5000</v>
      </c>
      <c r="M1087">
        <v>8.83</v>
      </c>
      <c r="N1087" t="s">
        <v>28</v>
      </c>
      <c r="O1087">
        <v>106</v>
      </c>
      <c r="P1087">
        <v>44</v>
      </c>
      <c r="Q1087">
        <v>0</v>
      </c>
      <c r="R1087">
        <v>2</v>
      </c>
      <c r="S1087" t="s">
        <v>65</v>
      </c>
      <c r="T1087" t="s">
        <v>50</v>
      </c>
      <c r="U1087" t="s">
        <v>58</v>
      </c>
      <c r="V1087" t="s">
        <v>32</v>
      </c>
      <c r="W1087">
        <v>0</v>
      </c>
      <c r="X1087">
        <v>1</v>
      </c>
      <c r="Y1087" s="2">
        <f>Table1[[#This Row],[premium_yearly]]*Table1[[#This Row],[tenure_years]]</f>
        <v>11994.672</v>
      </c>
      <c r="Z1087" s="2">
        <f>Table1[[#This Row],[total_collected_premiums]]*(1-$AD$2)</f>
        <v>8756.110560000001</v>
      </c>
      <c r="AA1087" s="2">
        <f>Table1[[#This Row],[retained_premium]]-Table1[[#This Row],[claim_amount_paid]]</f>
        <v>3756.110560000001</v>
      </c>
    </row>
    <row r="1088" spans="1:27" x14ac:dyDescent="0.35">
      <c r="A1088" t="s">
        <v>3303</v>
      </c>
      <c r="B1088" t="s">
        <v>3304</v>
      </c>
      <c r="C1088" t="s">
        <v>3305</v>
      </c>
      <c r="D1088" s="1">
        <v>42691</v>
      </c>
      <c r="E1088" s="1">
        <v>44256</v>
      </c>
      <c r="F1088" s="1">
        <v>44256</v>
      </c>
      <c r="G1088">
        <v>0</v>
      </c>
      <c r="H1088">
        <v>106.69</v>
      </c>
      <c r="I1088">
        <v>1280.28</v>
      </c>
      <c r="J1088">
        <v>1000</v>
      </c>
      <c r="K1088" t="s">
        <v>27</v>
      </c>
      <c r="L1088">
        <v>1000</v>
      </c>
      <c r="M1088">
        <v>2.67</v>
      </c>
      <c r="N1088" t="s">
        <v>28</v>
      </c>
      <c r="O1088">
        <v>32</v>
      </c>
      <c r="P1088">
        <v>43</v>
      </c>
      <c r="Q1088">
        <v>0</v>
      </c>
      <c r="R1088">
        <v>4</v>
      </c>
      <c r="S1088" t="s">
        <v>65</v>
      </c>
      <c r="T1088" t="s">
        <v>44</v>
      </c>
      <c r="U1088" t="s">
        <v>31</v>
      </c>
      <c r="V1088" t="s">
        <v>32</v>
      </c>
      <c r="W1088">
        <v>1</v>
      </c>
      <c r="X1088">
        <v>1</v>
      </c>
      <c r="Y1088" s="2">
        <f>Table1[[#This Row],[premium_yearly]]*Table1[[#This Row],[tenure_years]]</f>
        <v>3418.3476000000001</v>
      </c>
      <c r="Z1088" s="2">
        <f>Table1[[#This Row],[total_collected_premiums]]*(1-$AD$2)</f>
        <v>2495.393748</v>
      </c>
      <c r="AA1088" s="2">
        <f>Table1[[#This Row],[retained_premium]]-Table1[[#This Row],[claim_amount_paid]]</f>
        <v>1495.393748</v>
      </c>
    </row>
    <row r="1089" spans="1:27" x14ac:dyDescent="0.35">
      <c r="A1089" t="s">
        <v>3306</v>
      </c>
      <c r="B1089" t="s">
        <v>3307</v>
      </c>
      <c r="C1089" t="s">
        <v>3308</v>
      </c>
      <c r="D1089" s="1">
        <v>41677</v>
      </c>
      <c r="E1089" s="1">
        <v>44253</v>
      </c>
      <c r="F1089" s="1">
        <v>44255</v>
      </c>
      <c r="G1089">
        <v>2</v>
      </c>
      <c r="H1089">
        <v>114.54</v>
      </c>
      <c r="I1089">
        <v>1374.48</v>
      </c>
      <c r="J1089">
        <v>2000</v>
      </c>
      <c r="K1089" t="s">
        <v>27</v>
      </c>
      <c r="L1089">
        <v>2000</v>
      </c>
      <c r="M1089">
        <v>1.92</v>
      </c>
      <c r="N1089" t="s">
        <v>36</v>
      </c>
      <c r="O1089">
        <v>23</v>
      </c>
      <c r="P1089">
        <v>30</v>
      </c>
      <c r="Q1089">
        <v>0</v>
      </c>
      <c r="R1089">
        <v>3</v>
      </c>
      <c r="S1089" t="s">
        <v>65</v>
      </c>
      <c r="T1089" t="s">
        <v>44</v>
      </c>
      <c r="U1089" t="s">
        <v>58</v>
      </c>
      <c r="V1089" t="s">
        <v>32</v>
      </c>
      <c r="W1089">
        <v>0</v>
      </c>
      <c r="X1089">
        <v>1</v>
      </c>
      <c r="Y1089" s="2">
        <f>Table1[[#This Row],[premium_yearly]]*Table1[[#This Row],[tenure_years]]</f>
        <v>2639.0016000000001</v>
      </c>
      <c r="Z1089" s="2">
        <f>Table1[[#This Row],[total_collected_premiums]]*(1-$AD$2)</f>
        <v>1926.471168</v>
      </c>
      <c r="AA1089" s="2">
        <f>Table1[[#This Row],[retained_premium]]-Table1[[#This Row],[claim_amount_paid]]</f>
        <v>-73.528831999999966</v>
      </c>
    </row>
    <row r="1090" spans="1:27" x14ac:dyDescent="0.35">
      <c r="A1090" t="s">
        <v>3309</v>
      </c>
      <c r="B1090" t="s">
        <v>3310</v>
      </c>
      <c r="C1090" t="s">
        <v>3311</v>
      </c>
      <c r="D1090" s="1">
        <v>40951</v>
      </c>
      <c r="E1090" s="1">
        <v>44257</v>
      </c>
      <c r="F1090" s="1">
        <v>44257</v>
      </c>
      <c r="G1090">
        <v>0</v>
      </c>
      <c r="H1090">
        <v>72.61</v>
      </c>
      <c r="I1090">
        <v>871.32</v>
      </c>
      <c r="J1090">
        <v>6000</v>
      </c>
      <c r="K1090" t="s">
        <v>27</v>
      </c>
      <c r="L1090">
        <v>6000</v>
      </c>
      <c r="M1090">
        <v>1.5</v>
      </c>
      <c r="N1090" t="s">
        <v>28</v>
      </c>
      <c r="O1090">
        <v>18</v>
      </c>
      <c r="P1090">
        <v>25</v>
      </c>
      <c r="Q1090">
        <v>1</v>
      </c>
      <c r="R1090">
        <v>3</v>
      </c>
      <c r="S1090" t="s">
        <v>29</v>
      </c>
      <c r="T1090" t="s">
        <v>30</v>
      </c>
      <c r="U1090" t="s">
        <v>38</v>
      </c>
      <c r="V1090" t="s">
        <v>39</v>
      </c>
      <c r="W1090">
        <v>1</v>
      </c>
      <c r="X1090">
        <v>1</v>
      </c>
      <c r="Y1090" s="2">
        <f>Table1[[#This Row],[premium_yearly]]*Table1[[#This Row],[tenure_years]]</f>
        <v>1306.98</v>
      </c>
      <c r="Z1090" s="2">
        <f>Table1[[#This Row],[total_collected_premiums]]*(1-$AD$2)</f>
        <v>954.09540000000004</v>
      </c>
      <c r="AA1090" s="2">
        <f>Table1[[#This Row],[retained_premium]]-Table1[[#This Row],[claim_amount_paid]]</f>
        <v>-5045.9045999999998</v>
      </c>
    </row>
    <row r="1091" spans="1:27" x14ac:dyDescent="0.35">
      <c r="A1091" t="s">
        <v>3312</v>
      </c>
      <c r="B1091" t="s">
        <v>3313</v>
      </c>
      <c r="C1091" t="s">
        <v>3314</v>
      </c>
      <c r="D1091" s="1">
        <v>41987</v>
      </c>
      <c r="E1091" s="1">
        <v>44245</v>
      </c>
      <c r="F1091" s="1">
        <v>44250</v>
      </c>
      <c r="G1091">
        <v>5</v>
      </c>
      <c r="H1091">
        <v>78.11</v>
      </c>
      <c r="I1091">
        <v>937.32</v>
      </c>
      <c r="J1091">
        <v>2000</v>
      </c>
      <c r="K1091" t="s">
        <v>43</v>
      </c>
      <c r="L1091">
        <v>0</v>
      </c>
      <c r="M1091">
        <v>2.5</v>
      </c>
      <c r="N1091" t="s">
        <v>49</v>
      </c>
      <c r="O1091">
        <v>30</v>
      </c>
      <c r="P1091">
        <v>50</v>
      </c>
      <c r="Q1091">
        <v>1</v>
      </c>
      <c r="R1091">
        <v>7</v>
      </c>
      <c r="S1091" t="s">
        <v>37</v>
      </c>
      <c r="T1091" t="s">
        <v>44</v>
      </c>
      <c r="U1091" t="s">
        <v>107</v>
      </c>
      <c r="V1091" t="s">
        <v>45</v>
      </c>
      <c r="W1091">
        <v>1</v>
      </c>
      <c r="X1091">
        <v>1</v>
      </c>
      <c r="Y1091" s="2">
        <f>Table1[[#This Row],[premium_yearly]]*Table1[[#This Row],[tenure_years]]</f>
        <v>2343.3000000000002</v>
      </c>
      <c r="Z1091" s="2">
        <f>Table1[[#This Row],[total_collected_premiums]]*(1-$AD$2)</f>
        <v>1710.6090000000002</v>
      </c>
      <c r="AA1091" s="2">
        <f>Table1[[#This Row],[retained_premium]]-Table1[[#This Row],[claim_amount_paid]]</f>
        <v>1710.6090000000002</v>
      </c>
    </row>
    <row r="1092" spans="1:27" x14ac:dyDescent="0.35">
      <c r="A1092" t="s">
        <v>3315</v>
      </c>
      <c r="B1092" t="s">
        <v>3316</v>
      </c>
      <c r="C1092" t="s">
        <v>3317</v>
      </c>
      <c r="D1092" s="1">
        <v>40527</v>
      </c>
      <c r="E1092" s="1">
        <v>44257</v>
      </c>
      <c r="F1092" s="1">
        <v>44257</v>
      </c>
      <c r="G1092">
        <v>0</v>
      </c>
      <c r="H1092">
        <v>113.96</v>
      </c>
      <c r="I1092">
        <v>1367.52</v>
      </c>
      <c r="J1092">
        <v>8000</v>
      </c>
      <c r="K1092" t="s">
        <v>27</v>
      </c>
      <c r="L1092">
        <v>8000</v>
      </c>
      <c r="M1092">
        <v>0.57999999999999996</v>
      </c>
      <c r="N1092" t="s">
        <v>49</v>
      </c>
      <c r="O1092">
        <v>7</v>
      </c>
      <c r="P1092">
        <v>50</v>
      </c>
      <c r="Q1092">
        <v>0</v>
      </c>
      <c r="R1092">
        <v>3</v>
      </c>
      <c r="S1092" t="s">
        <v>29</v>
      </c>
      <c r="T1092" t="s">
        <v>50</v>
      </c>
      <c r="U1092" t="s">
        <v>31</v>
      </c>
      <c r="V1092" t="s">
        <v>32</v>
      </c>
      <c r="W1092">
        <v>1</v>
      </c>
      <c r="X1092">
        <v>1</v>
      </c>
      <c r="Y1092" s="2">
        <f>Table1[[#This Row],[premium_yearly]]*Table1[[#This Row],[tenure_years]]</f>
        <v>793.16159999999991</v>
      </c>
      <c r="Z1092" s="2">
        <f>Table1[[#This Row],[total_collected_premiums]]*(1-$AD$2)</f>
        <v>579.00796799999989</v>
      </c>
      <c r="AA1092" s="2">
        <f>Table1[[#This Row],[retained_premium]]-Table1[[#This Row],[claim_amount_paid]]</f>
        <v>-7420.9920320000001</v>
      </c>
    </row>
    <row r="1093" spans="1:27" x14ac:dyDescent="0.35">
      <c r="A1093" t="s">
        <v>3318</v>
      </c>
      <c r="B1093" t="s">
        <v>3319</v>
      </c>
      <c r="C1093" t="s">
        <v>3320</v>
      </c>
      <c r="D1093" s="1">
        <v>40683</v>
      </c>
      <c r="E1093" s="1">
        <v>44252</v>
      </c>
      <c r="F1093" s="1">
        <v>44255</v>
      </c>
      <c r="G1093">
        <v>3</v>
      </c>
      <c r="H1093">
        <v>102.79</v>
      </c>
      <c r="I1093">
        <v>1233.48</v>
      </c>
      <c r="J1093">
        <v>2000</v>
      </c>
      <c r="K1093" t="s">
        <v>27</v>
      </c>
      <c r="L1093">
        <v>2000</v>
      </c>
      <c r="M1093">
        <v>6.25</v>
      </c>
      <c r="N1093" t="s">
        <v>28</v>
      </c>
      <c r="O1093">
        <v>75</v>
      </c>
      <c r="P1093">
        <v>27</v>
      </c>
      <c r="Q1093">
        <v>1</v>
      </c>
      <c r="R1093">
        <v>2</v>
      </c>
      <c r="S1093" t="s">
        <v>37</v>
      </c>
      <c r="T1093" t="s">
        <v>30</v>
      </c>
      <c r="U1093" t="s">
        <v>51</v>
      </c>
      <c r="V1093" t="s">
        <v>39</v>
      </c>
      <c r="W1093">
        <v>0</v>
      </c>
      <c r="X1093">
        <v>1</v>
      </c>
      <c r="Y1093" s="2">
        <f>Table1[[#This Row],[premium_yearly]]*Table1[[#This Row],[tenure_years]]</f>
        <v>7709.25</v>
      </c>
      <c r="Z1093" s="2">
        <f>Table1[[#This Row],[total_collected_premiums]]*(1-$AD$2)</f>
        <v>5627.7524999999996</v>
      </c>
      <c r="AA1093" s="2">
        <f>Table1[[#This Row],[retained_premium]]-Table1[[#This Row],[claim_amount_paid]]</f>
        <v>3627.7524999999996</v>
      </c>
    </row>
    <row r="1094" spans="1:27" x14ac:dyDescent="0.35">
      <c r="A1094" t="s">
        <v>3321</v>
      </c>
      <c r="B1094" t="s">
        <v>3322</v>
      </c>
      <c r="C1094" t="s">
        <v>3323</v>
      </c>
      <c r="D1094" s="1">
        <v>42766</v>
      </c>
      <c r="E1094" s="1">
        <v>44253</v>
      </c>
      <c r="F1094" s="1">
        <v>44255</v>
      </c>
      <c r="G1094">
        <v>2</v>
      </c>
      <c r="H1094">
        <v>132.72999999999999</v>
      </c>
      <c r="I1094">
        <v>1592.76</v>
      </c>
      <c r="J1094">
        <v>10000</v>
      </c>
      <c r="K1094" t="s">
        <v>27</v>
      </c>
      <c r="L1094">
        <v>10000</v>
      </c>
      <c r="M1094">
        <v>8.08</v>
      </c>
      <c r="N1094" t="s">
        <v>28</v>
      </c>
      <c r="O1094">
        <v>97</v>
      </c>
      <c r="P1094">
        <v>36</v>
      </c>
      <c r="Q1094">
        <v>1</v>
      </c>
      <c r="R1094">
        <v>2</v>
      </c>
      <c r="S1094" t="s">
        <v>65</v>
      </c>
      <c r="T1094" t="s">
        <v>30</v>
      </c>
      <c r="U1094" t="s">
        <v>38</v>
      </c>
      <c r="V1094" t="s">
        <v>39</v>
      </c>
      <c r="W1094">
        <v>1</v>
      </c>
      <c r="X1094">
        <v>1</v>
      </c>
      <c r="Y1094" s="2">
        <f>Table1[[#This Row],[premium_yearly]]*Table1[[#This Row],[tenure_years]]</f>
        <v>12869.5008</v>
      </c>
      <c r="Z1094" s="2">
        <f>Table1[[#This Row],[total_collected_premiums]]*(1-$AD$2)</f>
        <v>9394.735584</v>
      </c>
      <c r="AA1094" s="2">
        <f>Table1[[#This Row],[retained_premium]]-Table1[[#This Row],[claim_amount_paid]]</f>
        <v>-605.26441599999998</v>
      </c>
    </row>
    <row r="1095" spans="1:27" x14ac:dyDescent="0.35">
      <c r="A1095" t="s">
        <v>3324</v>
      </c>
      <c r="B1095" t="s">
        <v>3325</v>
      </c>
      <c r="C1095" t="s">
        <v>3326</v>
      </c>
      <c r="D1095" s="1">
        <v>42915</v>
      </c>
      <c r="E1095" s="1">
        <v>44255</v>
      </c>
      <c r="F1095" s="1">
        <v>44256</v>
      </c>
      <c r="G1095">
        <v>1</v>
      </c>
      <c r="H1095">
        <v>103.95</v>
      </c>
      <c r="I1095">
        <v>1247.4000000000001</v>
      </c>
      <c r="J1095">
        <v>1000</v>
      </c>
      <c r="K1095" t="s">
        <v>27</v>
      </c>
      <c r="L1095">
        <v>1000</v>
      </c>
      <c r="M1095">
        <v>4.33</v>
      </c>
      <c r="N1095" t="s">
        <v>36</v>
      </c>
      <c r="O1095">
        <v>52</v>
      </c>
      <c r="P1095">
        <v>60</v>
      </c>
      <c r="Q1095">
        <v>1</v>
      </c>
      <c r="R1095">
        <v>3</v>
      </c>
      <c r="S1095" t="s">
        <v>37</v>
      </c>
      <c r="T1095" t="s">
        <v>50</v>
      </c>
      <c r="U1095" t="s">
        <v>66</v>
      </c>
      <c r="V1095" t="s">
        <v>32</v>
      </c>
      <c r="W1095">
        <v>1</v>
      </c>
      <c r="X1095">
        <v>0</v>
      </c>
      <c r="Y1095" s="2">
        <f>Table1[[#This Row],[premium_yearly]]*Table1[[#This Row],[tenure_years]]</f>
        <v>5401.2420000000002</v>
      </c>
      <c r="Z1095" s="2">
        <f>Table1[[#This Row],[total_collected_premiums]]*(1-$AD$2)</f>
        <v>3942.9066600000001</v>
      </c>
      <c r="AA1095" s="2">
        <f>Table1[[#This Row],[retained_premium]]-Table1[[#This Row],[claim_amount_paid]]</f>
        <v>2942.9066600000001</v>
      </c>
    </row>
    <row r="1096" spans="1:27" x14ac:dyDescent="0.35">
      <c r="A1096" t="s">
        <v>3327</v>
      </c>
      <c r="B1096" t="s">
        <v>3328</v>
      </c>
      <c r="C1096" t="s">
        <v>3329</v>
      </c>
      <c r="D1096" s="1">
        <v>43251</v>
      </c>
      <c r="E1096" s="1">
        <v>44244</v>
      </c>
      <c r="F1096" s="1">
        <v>44249</v>
      </c>
      <c r="G1096">
        <v>5</v>
      </c>
      <c r="H1096">
        <v>123.17</v>
      </c>
      <c r="I1096">
        <v>1478.04</v>
      </c>
      <c r="J1096">
        <v>3000</v>
      </c>
      <c r="K1096" t="s">
        <v>27</v>
      </c>
      <c r="L1096">
        <v>3000</v>
      </c>
      <c r="M1096">
        <v>4.42</v>
      </c>
      <c r="N1096" t="s">
        <v>49</v>
      </c>
      <c r="O1096">
        <v>53</v>
      </c>
      <c r="P1096">
        <v>52</v>
      </c>
      <c r="Q1096">
        <v>1</v>
      </c>
      <c r="R1096">
        <v>4</v>
      </c>
      <c r="S1096" t="s">
        <v>65</v>
      </c>
      <c r="T1096" t="s">
        <v>44</v>
      </c>
      <c r="U1096" t="s">
        <v>58</v>
      </c>
      <c r="V1096" t="s">
        <v>39</v>
      </c>
      <c r="W1096">
        <v>1</v>
      </c>
      <c r="X1096">
        <v>1</v>
      </c>
      <c r="Y1096" s="2">
        <f>Table1[[#This Row],[premium_yearly]]*Table1[[#This Row],[tenure_years]]</f>
        <v>6532.9367999999995</v>
      </c>
      <c r="Z1096" s="2">
        <f>Table1[[#This Row],[total_collected_premiums]]*(1-$AD$2)</f>
        <v>4769.0438639999993</v>
      </c>
      <c r="AA1096" s="2">
        <f>Table1[[#This Row],[retained_premium]]-Table1[[#This Row],[claim_amount_paid]]</f>
        <v>1769.0438639999993</v>
      </c>
    </row>
    <row r="1097" spans="1:27" x14ac:dyDescent="0.35">
      <c r="A1097" t="s">
        <v>3330</v>
      </c>
      <c r="B1097" t="s">
        <v>3331</v>
      </c>
      <c r="C1097" t="s">
        <v>3332</v>
      </c>
      <c r="D1097" s="1">
        <v>41949</v>
      </c>
      <c r="E1097" s="1">
        <v>44251</v>
      </c>
      <c r="F1097" s="1">
        <v>44254</v>
      </c>
      <c r="G1097">
        <v>3</v>
      </c>
      <c r="H1097">
        <v>100.4</v>
      </c>
      <c r="I1097">
        <v>1204.8</v>
      </c>
      <c r="J1097">
        <v>6000</v>
      </c>
      <c r="K1097" t="s">
        <v>27</v>
      </c>
      <c r="L1097">
        <v>6000</v>
      </c>
      <c r="M1097">
        <v>2.17</v>
      </c>
      <c r="N1097" t="s">
        <v>49</v>
      </c>
      <c r="O1097">
        <v>26</v>
      </c>
      <c r="P1097">
        <v>27</v>
      </c>
      <c r="Q1097">
        <v>0</v>
      </c>
      <c r="R1097">
        <v>2</v>
      </c>
      <c r="S1097" t="s">
        <v>37</v>
      </c>
      <c r="T1097" t="s">
        <v>30</v>
      </c>
      <c r="U1097" t="s">
        <v>31</v>
      </c>
      <c r="V1097" t="s">
        <v>32</v>
      </c>
      <c r="W1097">
        <v>1</v>
      </c>
      <c r="X1097">
        <v>0</v>
      </c>
      <c r="Y1097" s="2">
        <f>Table1[[#This Row],[premium_yearly]]*Table1[[#This Row],[tenure_years]]</f>
        <v>2614.4159999999997</v>
      </c>
      <c r="Z1097" s="2">
        <f>Table1[[#This Row],[total_collected_premiums]]*(1-$AD$2)</f>
        <v>1908.5236799999998</v>
      </c>
      <c r="AA1097" s="2">
        <f>Table1[[#This Row],[retained_premium]]-Table1[[#This Row],[claim_amount_paid]]</f>
        <v>-4091.4763200000002</v>
      </c>
    </row>
    <row r="1098" spans="1:27" x14ac:dyDescent="0.35">
      <c r="A1098" t="s">
        <v>3333</v>
      </c>
      <c r="B1098" t="s">
        <v>3334</v>
      </c>
      <c r="C1098" t="s">
        <v>3335</v>
      </c>
      <c r="D1098" s="1">
        <v>42590</v>
      </c>
      <c r="E1098" s="1">
        <v>44260</v>
      </c>
      <c r="F1098" s="1">
        <v>44260</v>
      </c>
      <c r="G1098">
        <v>0</v>
      </c>
      <c r="H1098">
        <v>113.24</v>
      </c>
      <c r="I1098">
        <v>1358.88</v>
      </c>
      <c r="J1098">
        <v>7000</v>
      </c>
      <c r="K1098" t="s">
        <v>27</v>
      </c>
      <c r="L1098">
        <v>7000</v>
      </c>
      <c r="M1098">
        <v>4.08</v>
      </c>
      <c r="N1098" t="s">
        <v>49</v>
      </c>
      <c r="O1098">
        <v>49</v>
      </c>
      <c r="P1098">
        <v>46</v>
      </c>
      <c r="Q1098">
        <v>1</v>
      </c>
      <c r="R1098">
        <v>6</v>
      </c>
      <c r="S1098" t="s">
        <v>65</v>
      </c>
      <c r="T1098" t="s">
        <v>30</v>
      </c>
      <c r="U1098" t="s">
        <v>31</v>
      </c>
      <c r="V1098" t="s">
        <v>45</v>
      </c>
      <c r="W1098">
        <v>1</v>
      </c>
      <c r="X1098">
        <v>1</v>
      </c>
      <c r="Y1098" s="2">
        <f>Table1[[#This Row],[premium_yearly]]*Table1[[#This Row],[tenure_years]]</f>
        <v>5544.2304000000004</v>
      </c>
      <c r="Z1098" s="2">
        <f>Table1[[#This Row],[total_collected_premiums]]*(1-$AD$2)</f>
        <v>4047.288192</v>
      </c>
      <c r="AA1098" s="2">
        <f>Table1[[#This Row],[retained_premium]]-Table1[[#This Row],[claim_amount_paid]]</f>
        <v>-2952.711808</v>
      </c>
    </row>
    <row r="1099" spans="1:27" x14ac:dyDescent="0.35">
      <c r="A1099" t="s">
        <v>3336</v>
      </c>
      <c r="B1099" t="s">
        <v>3337</v>
      </c>
      <c r="C1099" t="s">
        <v>3338</v>
      </c>
      <c r="D1099" s="1">
        <v>43300</v>
      </c>
      <c r="E1099" s="1">
        <v>44241</v>
      </c>
      <c r="F1099" s="1">
        <v>44246</v>
      </c>
      <c r="G1099">
        <v>5</v>
      </c>
      <c r="H1099">
        <v>73.92</v>
      </c>
      <c r="I1099">
        <v>887.04</v>
      </c>
      <c r="J1099">
        <v>1000</v>
      </c>
      <c r="K1099" t="s">
        <v>27</v>
      </c>
      <c r="L1099">
        <v>1000</v>
      </c>
      <c r="M1099">
        <v>8.67</v>
      </c>
      <c r="N1099" t="s">
        <v>28</v>
      </c>
      <c r="O1099">
        <v>104</v>
      </c>
      <c r="P1099">
        <v>44</v>
      </c>
      <c r="Q1099">
        <v>1</v>
      </c>
      <c r="R1099">
        <v>4</v>
      </c>
      <c r="S1099" t="s">
        <v>29</v>
      </c>
      <c r="T1099" t="s">
        <v>50</v>
      </c>
      <c r="U1099" t="s">
        <v>38</v>
      </c>
      <c r="V1099" t="s">
        <v>45</v>
      </c>
      <c r="W1099">
        <v>1</v>
      </c>
      <c r="X1099">
        <v>1</v>
      </c>
      <c r="Y1099" s="2">
        <f>Table1[[#This Row],[premium_yearly]]*Table1[[#This Row],[tenure_years]]</f>
        <v>7690.6367999999993</v>
      </c>
      <c r="Z1099" s="2">
        <f>Table1[[#This Row],[total_collected_premiums]]*(1-$AD$2)</f>
        <v>5614.1648639999994</v>
      </c>
      <c r="AA1099" s="2">
        <f>Table1[[#This Row],[retained_premium]]-Table1[[#This Row],[claim_amount_paid]]</f>
        <v>4614.1648639999994</v>
      </c>
    </row>
    <row r="1100" spans="1:27" x14ac:dyDescent="0.35">
      <c r="A1100" t="s">
        <v>3339</v>
      </c>
      <c r="B1100" t="s">
        <v>3340</v>
      </c>
      <c r="C1100" t="s">
        <v>3341</v>
      </c>
      <c r="D1100" s="1">
        <v>42308</v>
      </c>
      <c r="E1100" s="1">
        <v>44255</v>
      </c>
      <c r="F1100" s="1">
        <v>44257</v>
      </c>
      <c r="G1100">
        <v>2</v>
      </c>
      <c r="H1100">
        <v>94.31</v>
      </c>
      <c r="I1100">
        <v>1131.72</v>
      </c>
      <c r="J1100">
        <v>6000</v>
      </c>
      <c r="K1100" t="s">
        <v>27</v>
      </c>
      <c r="L1100">
        <v>6000</v>
      </c>
      <c r="M1100">
        <v>5.92</v>
      </c>
      <c r="N1100" t="s">
        <v>36</v>
      </c>
      <c r="O1100">
        <v>71</v>
      </c>
      <c r="P1100">
        <v>55</v>
      </c>
      <c r="Q1100">
        <v>1</v>
      </c>
      <c r="R1100">
        <v>5</v>
      </c>
      <c r="S1100" t="s">
        <v>29</v>
      </c>
      <c r="T1100" t="s">
        <v>44</v>
      </c>
      <c r="U1100" t="s">
        <v>38</v>
      </c>
      <c r="V1100" t="s">
        <v>32</v>
      </c>
      <c r="W1100">
        <v>1</v>
      </c>
      <c r="X1100">
        <v>1</v>
      </c>
      <c r="Y1100" s="2">
        <f>Table1[[#This Row],[premium_yearly]]*Table1[[#This Row],[tenure_years]]</f>
        <v>6699.7824000000001</v>
      </c>
      <c r="Z1100" s="2">
        <f>Table1[[#This Row],[total_collected_premiums]]*(1-$AD$2)</f>
        <v>4890.841152</v>
      </c>
      <c r="AA1100" s="2">
        <f>Table1[[#This Row],[retained_premium]]-Table1[[#This Row],[claim_amount_paid]]</f>
        <v>-1109.158848</v>
      </c>
    </row>
    <row r="1101" spans="1:27" x14ac:dyDescent="0.35">
      <c r="A1101" t="s">
        <v>3342</v>
      </c>
      <c r="B1101" t="s">
        <v>3343</v>
      </c>
      <c r="C1101" t="s">
        <v>3344</v>
      </c>
      <c r="D1101" s="1">
        <v>40855</v>
      </c>
      <c r="E1101" s="1">
        <v>44256</v>
      </c>
      <c r="F1101" s="1">
        <v>44257</v>
      </c>
      <c r="G1101">
        <v>1</v>
      </c>
      <c r="H1101">
        <v>127.41</v>
      </c>
      <c r="I1101">
        <v>1528.92</v>
      </c>
      <c r="J1101">
        <v>5000</v>
      </c>
      <c r="K1101" t="s">
        <v>27</v>
      </c>
      <c r="L1101">
        <v>5000</v>
      </c>
      <c r="M1101">
        <v>0.83</v>
      </c>
      <c r="N1101" t="s">
        <v>49</v>
      </c>
      <c r="O1101">
        <v>10</v>
      </c>
      <c r="P1101">
        <v>62</v>
      </c>
      <c r="Q1101">
        <v>1</v>
      </c>
      <c r="R1101">
        <v>6</v>
      </c>
      <c r="S1101" t="s">
        <v>29</v>
      </c>
      <c r="T1101" t="s">
        <v>30</v>
      </c>
      <c r="U1101" t="s">
        <v>51</v>
      </c>
      <c r="V1101" t="s">
        <v>39</v>
      </c>
      <c r="W1101">
        <v>1</v>
      </c>
      <c r="X1101">
        <v>0</v>
      </c>
      <c r="Y1101" s="2">
        <f>Table1[[#This Row],[premium_yearly]]*Table1[[#This Row],[tenure_years]]</f>
        <v>1269.0036</v>
      </c>
      <c r="Z1101" s="2">
        <f>Table1[[#This Row],[total_collected_premiums]]*(1-$AD$2)</f>
        <v>926.37262799999996</v>
      </c>
      <c r="AA1101" s="2">
        <f>Table1[[#This Row],[retained_premium]]-Table1[[#This Row],[claim_amount_paid]]</f>
        <v>-4073.6273719999999</v>
      </c>
    </row>
    <row r="1102" spans="1:27" x14ac:dyDescent="0.35">
      <c r="A1102" t="s">
        <v>3345</v>
      </c>
      <c r="B1102" t="s">
        <v>3346</v>
      </c>
      <c r="C1102" t="s">
        <v>3347</v>
      </c>
      <c r="D1102" s="1">
        <v>40780</v>
      </c>
      <c r="E1102" s="1">
        <v>44242</v>
      </c>
      <c r="F1102" s="1">
        <v>44247</v>
      </c>
      <c r="G1102">
        <v>5</v>
      </c>
      <c r="H1102">
        <v>122.09</v>
      </c>
      <c r="I1102">
        <v>1465.08</v>
      </c>
      <c r="J1102">
        <v>4000</v>
      </c>
      <c r="K1102" t="s">
        <v>27</v>
      </c>
      <c r="L1102">
        <v>4000</v>
      </c>
      <c r="M1102">
        <v>3.5</v>
      </c>
      <c r="N1102" t="s">
        <v>28</v>
      </c>
      <c r="O1102">
        <v>42</v>
      </c>
      <c r="P1102">
        <v>32</v>
      </c>
      <c r="Q1102">
        <v>1</v>
      </c>
      <c r="R1102">
        <v>7</v>
      </c>
      <c r="S1102" t="s">
        <v>65</v>
      </c>
      <c r="T1102" t="s">
        <v>30</v>
      </c>
      <c r="U1102" t="s">
        <v>38</v>
      </c>
      <c r="V1102" t="s">
        <v>45</v>
      </c>
      <c r="W1102">
        <v>0</v>
      </c>
      <c r="X1102">
        <v>1</v>
      </c>
      <c r="Y1102" s="2">
        <f>Table1[[#This Row],[premium_yearly]]*Table1[[#This Row],[tenure_years]]</f>
        <v>5127.78</v>
      </c>
      <c r="Z1102" s="2">
        <f>Table1[[#This Row],[total_collected_premiums]]*(1-$AD$2)</f>
        <v>3743.2793999999999</v>
      </c>
      <c r="AA1102" s="2">
        <f>Table1[[#This Row],[retained_premium]]-Table1[[#This Row],[claim_amount_paid]]</f>
        <v>-256.7206000000001</v>
      </c>
    </row>
    <row r="1103" spans="1:27" x14ac:dyDescent="0.35">
      <c r="A1103" t="s">
        <v>3348</v>
      </c>
      <c r="B1103" t="s">
        <v>3349</v>
      </c>
      <c r="C1103" t="s">
        <v>3350</v>
      </c>
      <c r="D1103" s="1">
        <v>43834</v>
      </c>
      <c r="E1103" s="1">
        <v>44250</v>
      </c>
      <c r="F1103" s="1">
        <v>44255</v>
      </c>
      <c r="G1103">
        <v>5</v>
      </c>
      <c r="H1103">
        <v>95.86</v>
      </c>
      <c r="I1103">
        <v>1150.32</v>
      </c>
      <c r="J1103">
        <v>7000</v>
      </c>
      <c r="K1103" t="s">
        <v>27</v>
      </c>
      <c r="L1103">
        <v>7000</v>
      </c>
      <c r="M1103">
        <v>1.83</v>
      </c>
      <c r="N1103" t="s">
        <v>28</v>
      </c>
      <c r="O1103">
        <v>22</v>
      </c>
      <c r="P1103">
        <v>42</v>
      </c>
      <c r="Q1103">
        <v>1</v>
      </c>
      <c r="R1103">
        <v>3</v>
      </c>
      <c r="S1103" t="s">
        <v>29</v>
      </c>
      <c r="T1103" t="s">
        <v>44</v>
      </c>
      <c r="U1103" t="s">
        <v>38</v>
      </c>
      <c r="V1103" t="s">
        <v>45</v>
      </c>
      <c r="W1103">
        <v>1</v>
      </c>
      <c r="X1103">
        <v>1</v>
      </c>
      <c r="Y1103" s="2">
        <f>Table1[[#This Row],[premium_yearly]]*Table1[[#This Row],[tenure_years]]</f>
        <v>2105.0855999999999</v>
      </c>
      <c r="Z1103" s="2">
        <f>Table1[[#This Row],[total_collected_premiums]]*(1-$AD$2)</f>
        <v>1536.7124879999999</v>
      </c>
      <c r="AA1103" s="2">
        <f>Table1[[#This Row],[retained_premium]]-Table1[[#This Row],[claim_amount_paid]]</f>
        <v>-5463.2875119999999</v>
      </c>
    </row>
    <row r="1104" spans="1:27" x14ac:dyDescent="0.35">
      <c r="A1104" t="s">
        <v>3351</v>
      </c>
      <c r="B1104" t="s">
        <v>3352</v>
      </c>
      <c r="C1104" t="s">
        <v>3353</v>
      </c>
      <c r="D1104" s="1">
        <v>41160</v>
      </c>
      <c r="E1104" s="1">
        <v>44243</v>
      </c>
      <c r="F1104" s="1">
        <v>44248</v>
      </c>
      <c r="G1104">
        <v>5</v>
      </c>
      <c r="H1104">
        <v>100.66</v>
      </c>
      <c r="I1104">
        <v>1207.92</v>
      </c>
      <c r="J1104">
        <v>3000</v>
      </c>
      <c r="K1104" t="s">
        <v>27</v>
      </c>
      <c r="L1104">
        <v>3000</v>
      </c>
      <c r="M1104">
        <v>3.67</v>
      </c>
      <c r="N1104" t="s">
        <v>36</v>
      </c>
      <c r="O1104">
        <v>44</v>
      </c>
      <c r="P1104">
        <v>42</v>
      </c>
      <c r="Q1104">
        <v>1</v>
      </c>
      <c r="R1104">
        <v>6</v>
      </c>
      <c r="S1104" t="s">
        <v>65</v>
      </c>
      <c r="T1104" t="s">
        <v>30</v>
      </c>
      <c r="U1104" t="s">
        <v>31</v>
      </c>
      <c r="V1104" t="s">
        <v>39</v>
      </c>
      <c r="W1104">
        <v>0</v>
      </c>
      <c r="X1104">
        <v>1</v>
      </c>
      <c r="Y1104" s="2">
        <f>Table1[[#This Row],[premium_yearly]]*Table1[[#This Row],[tenure_years]]</f>
        <v>4433.0664000000006</v>
      </c>
      <c r="Z1104" s="2">
        <f>Table1[[#This Row],[total_collected_premiums]]*(1-$AD$2)</f>
        <v>3236.1384720000005</v>
      </c>
      <c r="AA1104" s="2">
        <f>Table1[[#This Row],[retained_premium]]-Table1[[#This Row],[claim_amount_paid]]</f>
        <v>236.13847200000055</v>
      </c>
    </row>
    <row r="1105" spans="1:27" x14ac:dyDescent="0.35">
      <c r="A1105" t="s">
        <v>3354</v>
      </c>
      <c r="B1105" t="s">
        <v>3355</v>
      </c>
      <c r="C1105" t="s">
        <v>3356</v>
      </c>
      <c r="D1105" s="1">
        <v>41150</v>
      </c>
      <c r="E1105" s="1">
        <v>44254</v>
      </c>
      <c r="F1105" s="1">
        <v>44257</v>
      </c>
      <c r="G1105">
        <v>3</v>
      </c>
      <c r="H1105">
        <v>101.84</v>
      </c>
      <c r="I1105">
        <v>1222.08</v>
      </c>
      <c r="J1105">
        <v>3000</v>
      </c>
      <c r="K1105" t="s">
        <v>27</v>
      </c>
      <c r="L1105">
        <v>3000</v>
      </c>
      <c r="M1105">
        <v>6.58</v>
      </c>
      <c r="N1105" t="s">
        <v>49</v>
      </c>
      <c r="O1105">
        <v>79</v>
      </c>
      <c r="P1105">
        <v>30</v>
      </c>
      <c r="Q1105">
        <v>0</v>
      </c>
      <c r="R1105">
        <v>3</v>
      </c>
      <c r="S1105" t="s">
        <v>65</v>
      </c>
      <c r="T1105" t="s">
        <v>44</v>
      </c>
      <c r="U1105" t="s">
        <v>31</v>
      </c>
      <c r="V1105" t="s">
        <v>39</v>
      </c>
      <c r="W1105">
        <v>0</v>
      </c>
      <c r="X1105">
        <v>1</v>
      </c>
      <c r="Y1105" s="2">
        <f>Table1[[#This Row],[premium_yearly]]*Table1[[#This Row],[tenure_years]]</f>
        <v>8041.2864</v>
      </c>
      <c r="Z1105" s="2">
        <f>Table1[[#This Row],[total_collected_premiums]]*(1-$AD$2)</f>
        <v>5870.1390719999999</v>
      </c>
      <c r="AA1105" s="2">
        <f>Table1[[#This Row],[retained_premium]]-Table1[[#This Row],[claim_amount_paid]]</f>
        <v>2870.1390719999999</v>
      </c>
    </row>
    <row r="1106" spans="1:27" x14ac:dyDescent="0.35">
      <c r="A1106" t="s">
        <v>3357</v>
      </c>
      <c r="B1106" t="s">
        <v>3358</v>
      </c>
      <c r="C1106" t="s">
        <v>3359</v>
      </c>
      <c r="D1106" s="1">
        <v>42896</v>
      </c>
      <c r="E1106" s="1">
        <v>44258</v>
      </c>
      <c r="F1106" s="1">
        <v>44259</v>
      </c>
      <c r="G1106">
        <v>1</v>
      </c>
      <c r="H1106">
        <v>72.239999999999995</v>
      </c>
      <c r="I1106">
        <v>866.88</v>
      </c>
      <c r="J1106">
        <v>10000</v>
      </c>
      <c r="K1106" t="s">
        <v>27</v>
      </c>
      <c r="L1106">
        <v>10000</v>
      </c>
      <c r="M1106">
        <v>3.42</v>
      </c>
      <c r="N1106" t="s">
        <v>49</v>
      </c>
      <c r="O1106">
        <v>41</v>
      </c>
      <c r="P1106">
        <v>54</v>
      </c>
      <c r="Q1106">
        <v>1</v>
      </c>
      <c r="R1106">
        <v>4</v>
      </c>
      <c r="S1106" t="s">
        <v>37</v>
      </c>
      <c r="T1106" t="s">
        <v>44</v>
      </c>
      <c r="U1106" t="s">
        <v>31</v>
      </c>
      <c r="V1106" t="s">
        <v>32</v>
      </c>
      <c r="W1106">
        <v>0</v>
      </c>
      <c r="X1106">
        <v>0</v>
      </c>
      <c r="Y1106" s="2">
        <f>Table1[[#This Row],[premium_yearly]]*Table1[[#This Row],[tenure_years]]</f>
        <v>2964.7296000000001</v>
      </c>
      <c r="Z1106" s="2">
        <f>Table1[[#This Row],[total_collected_premiums]]*(1-$AD$2)</f>
        <v>2164.2526080000002</v>
      </c>
      <c r="AA1106" s="2">
        <f>Table1[[#This Row],[retained_premium]]-Table1[[#This Row],[claim_amount_paid]]</f>
        <v>-7835.7473919999993</v>
      </c>
    </row>
    <row r="1107" spans="1:27" x14ac:dyDescent="0.35">
      <c r="A1107" t="s">
        <v>3360</v>
      </c>
      <c r="B1107" t="s">
        <v>3361</v>
      </c>
      <c r="C1107" t="s">
        <v>3362</v>
      </c>
      <c r="D1107" s="1">
        <v>42660</v>
      </c>
      <c r="E1107" s="1">
        <v>44259</v>
      </c>
      <c r="F1107" s="1">
        <v>44260</v>
      </c>
      <c r="G1107">
        <v>1</v>
      </c>
      <c r="H1107">
        <v>125.13</v>
      </c>
      <c r="I1107">
        <v>1501.56</v>
      </c>
      <c r="J1107">
        <v>10000</v>
      </c>
      <c r="K1107" t="s">
        <v>27</v>
      </c>
      <c r="L1107">
        <v>10000</v>
      </c>
      <c r="M1107">
        <v>1.67</v>
      </c>
      <c r="N1107" t="s">
        <v>49</v>
      </c>
      <c r="O1107">
        <v>20</v>
      </c>
      <c r="P1107">
        <v>45</v>
      </c>
      <c r="Q1107">
        <v>0</v>
      </c>
      <c r="R1107">
        <v>4</v>
      </c>
      <c r="S1107" t="s">
        <v>29</v>
      </c>
      <c r="T1107" t="s">
        <v>44</v>
      </c>
      <c r="U1107" t="s">
        <v>58</v>
      </c>
      <c r="V1107" t="s">
        <v>39</v>
      </c>
      <c r="W1107">
        <v>0</v>
      </c>
      <c r="X1107">
        <v>1</v>
      </c>
      <c r="Y1107" s="2">
        <f>Table1[[#This Row],[premium_yearly]]*Table1[[#This Row],[tenure_years]]</f>
        <v>2507.6052</v>
      </c>
      <c r="Z1107" s="2">
        <f>Table1[[#This Row],[total_collected_premiums]]*(1-$AD$2)</f>
        <v>1830.551796</v>
      </c>
      <c r="AA1107" s="2">
        <f>Table1[[#This Row],[retained_premium]]-Table1[[#This Row],[claim_amount_paid]]</f>
        <v>-8169.4482040000003</v>
      </c>
    </row>
    <row r="1108" spans="1:27" x14ac:dyDescent="0.35">
      <c r="A1108" t="s">
        <v>3363</v>
      </c>
      <c r="B1108" t="s">
        <v>3364</v>
      </c>
      <c r="C1108" t="s">
        <v>3365</v>
      </c>
      <c r="D1108" s="1">
        <v>41005</v>
      </c>
      <c r="E1108" s="1">
        <v>44250</v>
      </c>
      <c r="F1108" s="1">
        <v>44255</v>
      </c>
      <c r="G1108">
        <v>5</v>
      </c>
      <c r="H1108">
        <v>92.05</v>
      </c>
      <c r="I1108">
        <v>1104.5999999999999</v>
      </c>
      <c r="J1108">
        <v>7000</v>
      </c>
      <c r="K1108" t="s">
        <v>27</v>
      </c>
      <c r="L1108">
        <v>7000</v>
      </c>
      <c r="M1108">
        <v>6.58</v>
      </c>
      <c r="N1108" t="s">
        <v>49</v>
      </c>
      <c r="O1108">
        <v>79</v>
      </c>
      <c r="P1108">
        <v>54</v>
      </c>
      <c r="Q1108">
        <v>1</v>
      </c>
      <c r="R1108">
        <v>4</v>
      </c>
      <c r="S1108" t="s">
        <v>65</v>
      </c>
      <c r="T1108" t="s">
        <v>50</v>
      </c>
      <c r="U1108" t="s">
        <v>51</v>
      </c>
      <c r="V1108" t="s">
        <v>45</v>
      </c>
      <c r="W1108">
        <v>0</v>
      </c>
      <c r="X1108">
        <v>0</v>
      </c>
      <c r="Y1108" s="2">
        <f>Table1[[#This Row],[premium_yearly]]*Table1[[#This Row],[tenure_years]]</f>
        <v>7268.2679999999991</v>
      </c>
      <c r="Z1108" s="2">
        <f>Table1[[#This Row],[total_collected_premiums]]*(1-$AD$2)</f>
        <v>5305.8356399999993</v>
      </c>
      <c r="AA1108" s="2">
        <f>Table1[[#This Row],[retained_premium]]-Table1[[#This Row],[claim_amount_paid]]</f>
        <v>-1694.1643600000007</v>
      </c>
    </row>
    <row r="1109" spans="1:27" x14ac:dyDescent="0.35">
      <c r="A1109" t="s">
        <v>3366</v>
      </c>
      <c r="B1109" t="s">
        <v>3367</v>
      </c>
      <c r="C1109" t="s">
        <v>3368</v>
      </c>
      <c r="D1109" s="1">
        <v>42080</v>
      </c>
      <c r="E1109" s="1">
        <v>44256</v>
      </c>
      <c r="F1109" s="1">
        <v>44258</v>
      </c>
      <c r="G1109">
        <v>2</v>
      </c>
      <c r="H1109">
        <v>124.7</v>
      </c>
      <c r="I1109">
        <v>1496.4</v>
      </c>
      <c r="J1109">
        <v>5000</v>
      </c>
      <c r="K1109" t="s">
        <v>27</v>
      </c>
      <c r="L1109">
        <v>5000</v>
      </c>
      <c r="M1109">
        <v>6</v>
      </c>
      <c r="N1109" t="s">
        <v>28</v>
      </c>
      <c r="O1109">
        <v>72</v>
      </c>
      <c r="P1109">
        <v>29</v>
      </c>
      <c r="Q1109">
        <v>1</v>
      </c>
      <c r="R1109">
        <v>4</v>
      </c>
      <c r="S1109" t="s">
        <v>29</v>
      </c>
      <c r="T1109" t="s">
        <v>30</v>
      </c>
      <c r="U1109" t="s">
        <v>38</v>
      </c>
      <c r="V1109" t="s">
        <v>45</v>
      </c>
      <c r="W1109">
        <v>0</v>
      </c>
      <c r="X1109">
        <v>1</v>
      </c>
      <c r="Y1109" s="2">
        <f>Table1[[#This Row],[premium_yearly]]*Table1[[#This Row],[tenure_years]]</f>
        <v>8978.4000000000015</v>
      </c>
      <c r="Z1109" s="2">
        <f>Table1[[#This Row],[total_collected_premiums]]*(1-$AD$2)</f>
        <v>6554.2320000000009</v>
      </c>
      <c r="AA1109" s="2">
        <f>Table1[[#This Row],[retained_premium]]-Table1[[#This Row],[claim_amount_paid]]</f>
        <v>1554.2320000000009</v>
      </c>
    </row>
    <row r="1110" spans="1:27" x14ac:dyDescent="0.35">
      <c r="A1110" t="s">
        <v>3369</v>
      </c>
      <c r="B1110" t="s">
        <v>3370</v>
      </c>
      <c r="C1110" t="s">
        <v>3371</v>
      </c>
      <c r="D1110" s="1">
        <v>40646</v>
      </c>
      <c r="E1110" s="1">
        <v>44256</v>
      </c>
      <c r="F1110" s="1">
        <v>44258</v>
      </c>
      <c r="G1110">
        <v>2</v>
      </c>
      <c r="H1110">
        <v>136.04</v>
      </c>
      <c r="I1110">
        <v>1632.48</v>
      </c>
      <c r="J1110">
        <v>7000</v>
      </c>
      <c r="K1110" t="s">
        <v>27</v>
      </c>
      <c r="L1110">
        <v>7000</v>
      </c>
      <c r="M1110">
        <v>3.17</v>
      </c>
      <c r="N1110" t="s">
        <v>28</v>
      </c>
      <c r="O1110">
        <v>38</v>
      </c>
      <c r="P1110">
        <v>53</v>
      </c>
      <c r="Q1110">
        <v>0</v>
      </c>
      <c r="R1110">
        <v>6</v>
      </c>
      <c r="S1110" t="s">
        <v>65</v>
      </c>
      <c r="T1110" t="s">
        <v>30</v>
      </c>
      <c r="U1110" t="s">
        <v>66</v>
      </c>
      <c r="V1110" t="s">
        <v>39</v>
      </c>
      <c r="W1110">
        <v>1</v>
      </c>
      <c r="X1110">
        <v>1</v>
      </c>
      <c r="Y1110" s="2">
        <f>Table1[[#This Row],[premium_yearly]]*Table1[[#This Row],[tenure_years]]</f>
        <v>5174.9615999999996</v>
      </c>
      <c r="Z1110" s="2">
        <f>Table1[[#This Row],[total_collected_premiums]]*(1-$AD$2)</f>
        <v>3777.7219679999998</v>
      </c>
      <c r="AA1110" s="2">
        <f>Table1[[#This Row],[retained_premium]]-Table1[[#This Row],[claim_amount_paid]]</f>
        <v>-3222.2780320000002</v>
      </c>
    </row>
    <row r="1111" spans="1:27" x14ac:dyDescent="0.35">
      <c r="A1111" t="s">
        <v>3372</v>
      </c>
      <c r="B1111" t="s">
        <v>3373</v>
      </c>
      <c r="C1111" t="s">
        <v>3374</v>
      </c>
      <c r="D1111" s="1">
        <v>40787</v>
      </c>
      <c r="E1111" s="1">
        <v>44257</v>
      </c>
      <c r="F1111" s="1">
        <v>44259</v>
      </c>
      <c r="G1111">
        <v>2</v>
      </c>
      <c r="H1111">
        <v>134.84</v>
      </c>
      <c r="I1111">
        <v>1618.08</v>
      </c>
      <c r="J1111">
        <v>8000</v>
      </c>
      <c r="K1111" t="s">
        <v>27</v>
      </c>
      <c r="L1111">
        <v>8000</v>
      </c>
      <c r="M1111">
        <v>7.25</v>
      </c>
      <c r="N1111" t="s">
        <v>28</v>
      </c>
      <c r="O1111">
        <v>87</v>
      </c>
      <c r="P1111">
        <v>51</v>
      </c>
      <c r="Q1111">
        <v>0</v>
      </c>
      <c r="R1111">
        <v>2</v>
      </c>
      <c r="S1111" t="s">
        <v>37</v>
      </c>
      <c r="T1111" t="s">
        <v>30</v>
      </c>
      <c r="U1111" t="s">
        <v>66</v>
      </c>
      <c r="V1111" t="s">
        <v>45</v>
      </c>
      <c r="W1111">
        <v>0</v>
      </c>
      <c r="X1111">
        <v>0</v>
      </c>
      <c r="Y1111" s="2">
        <f>Table1[[#This Row],[premium_yearly]]*Table1[[#This Row],[tenure_years]]</f>
        <v>11731.08</v>
      </c>
      <c r="Z1111" s="2">
        <f>Table1[[#This Row],[total_collected_premiums]]*(1-$AD$2)</f>
        <v>8563.6883999999991</v>
      </c>
      <c r="AA1111" s="2">
        <f>Table1[[#This Row],[retained_premium]]-Table1[[#This Row],[claim_amount_paid]]</f>
        <v>563.68839999999909</v>
      </c>
    </row>
    <row r="1112" spans="1:27" x14ac:dyDescent="0.35">
      <c r="A1112" t="s">
        <v>3375</v>
      </c>
      <c r="B1112" t="s">
        <v>3376</v>
      </c>
      <c r="C1112" t="s">
        <v>3377</v>
      </c>
      <c r="D1112" s="1">
        <v>41519</v>
      </c>
      <c r="E1112" s="1">
        <v>44255</v>
      </c>
      <c r="F1112" s="1">
        <v>44258</v>
      </c>
      <c r="G1112">
        <v>3</v>
      </c>
      <c r="H1112">
        <v>96.6</v>
      </c>
      <c r="I1112">
        <v>1159.2</v>
      </c>
      <c r="J1112">
        <v>9000</v>
      </c>
      <c r="K1112" t="s">
        <v>27</v>
      </c>
      <c r="L1112">
        <v>9000</v>
      </c>
      <c r="M1112">
        <v>8</v>
      </c>
      <c r="N1112" t="s">
        <v>28</v>
      </c>
      <c r="O1112">
        <v>96</v>
      </c>
      <c r="P1112">
        <v>28</v>
      </c>
      <c r="Q1112">
        <v>1</v>
      </c>
      <c r="R1112">
        <v>2</v>
      </c>
      <c r="S1112" t="s">
        <v>37</v>
      </c>
      <c r="T1112" t="s">
        <v>44</v>
      </c>
      <c r="U1112" t="s">
        <v>31</v>
      </c>
      <c r="V1112" t="s">
        <v>45</v>
      </c>
      <c r="W1112">
        <v>1</v>
      </c>
      <c r="X1112">
        <v>1</v>
      </c>
      <c r="Y1112" s="2">
        <f>Table1[[#This Row],[premium_yearly]]*Table1[[#This Row],[tenure_years]]</f>
        <v>9273.6</v>
      </c>
      <c r="Z1112" s="2">
        <f>Table1[[#This Row],[total_collected_premiums]]*(1-$AD$2)</f>
        <v>6769.7280000000001</v>
      </c>
      <c r="AA1112" s="2">
        <f>Table1[[#This Row],[retained_premium]]-Table1[[#This Row],[claim_amount_paid]]</f>
        <v>-2230.2719999999999</v>
      </c>
    </row>
    <row r="1113" spans="1:27" x14ac:dyDescent="0.35">
      <c r="A1113" t="s">
        <v>3378</v>
      </c>
      <c r="B1113" t="s">
        <v>3379</v>
      </c>
      <c r="C1113" t="s">
        <v>3380</v>
      </c>
      <c r="D1113" s="1">
        <v>42912</v>
      </c>
      <c r="E1113" s="1">
        <v>44247</v>
      </c>
      <c r="F1113" s="1">
        <v>44252</v>
      </c>
      <c r="G1113">
        <v>5</v>
      </c>
      <c r="H1113">
        <v>75.040000000000006</v>
      </c>
      <c r="I1113">
        <v>900.48</v>
      </c>
      <c r="J1113">
        <v>8000</v>
      </c>
      <c r="K1113" t="s">
        <v>27</v>
      </c>
      <c r="L1113">
        <v>8000</v>
      </c>
      <c r="M1113">
        <v>7.83</v>
      </c>
      <c r="N1113" t="s">
        <v>28</v>
      </c>
      <c r="O1113">
        <v>94</v>
      </c>
      <c r="P1113">
        <v>33</v>
      </c>
      <c r="Q1113">
        <v>1</v>
      </c>
      <c r="R1113">
        <v>2</v>
      </c>
      <c r="S1113" t="s">
        <v>65</v>
      </c>
      <c r="T1113" t="s">
        <v>30</v>
      </c>
      <c r="U1113" t="s">
        <v>88</v>
      </c>
      <c r="V1113" t="s">
        <v>32</v>
      </c>
      <c r="W1113">
        <v>0</v>
      </c>
      <c r="X1113">
        <v>1</v>
      </c>
      <c r="Y1113" s="2">
        <f>Table1[[#This Row],[premium_yearly]]*Table1[[#This Row],[tenure_years]]</f>
        <v>7050.7584000000006</v>
      </c>
      <c r="Z1113" s="2">
        <f>Table1[[#This Row],[total_collected_premiums]]*(1-$AD$2)</f>
        <v>5147.0536320000001</v>
      </c>
      <c r="AA1113" s="2">
        <f>Table1[[#This Row],[retained_premium]]-Table1[[#This Row],[claim_amount_paid]]</f>
        <v>-2852.9463679999999</v>
      </c>
    </row>
    <row r="1114" spans="1:27" x14ac:dyDescent="0.35">
      <c r="A1114" t="s">
        <v>3381</v>
      </c>
      <c r="B1114" t="s">
        <v>3382</v>
      </c>
      <c r="C1114" t="s">
        <v>3383</v>
      </c>
      <c r="D1114" s="1">
        <v>42922</v>
      </c>
      <c r="E1114" s="1">
        <v>44256</v>
      </c>
      <c r="F1114" s="1">
        <v>44259</v>
      </c>
      <c r="G1114">
        <v>3</v>
      </c>
      <c r="H1114">
        <v>76.540000000000006</v>
      </c>
      <c r="I1114">
        <v>918.48</v>
      </c>
      <c r="J1114">
        <v>2000</v>
      </c>
      <c r="K1114" t="s">
        <v>27</v>
      </c>
      <c r="L1114">
        <v>2000</v>
      </c>
      <c r="M1114">
        <v>1.08</v>
      </c>
      <c r="N1114" t="s">
        <v>36</v>
      </c>
      <c r="O1114">
        <v>13</v>
      </c>
      <c r="P1114">
        <v>64</v>
      </c>
      <c r="Q1114">
        <v>1</v>
      </c>
      <c r="R1114">
        <v>3</v>
      </c>
      <c r="S1114" t="s">
        <v>65</v>
      </c>
      <c r="T1114" t="s">
        <v>44</v>
      </c>
      <c r="U1114" t="s">
        <v>31</v>
      </c>
      <c r="V1114" t="s">
        <v>32</v>
      </c>
      <c r="W1114">
        <v>1</v>
      </c>
      <c r="X1114">
        <v>0</v>
      </c>
      <c r="Y1114" s="2">
        <f>Table1[[#This Row],[premium_yearly]]*Table1[[#This Row],[tenure_years]]</f>
        <v>991.9584000000001</v>
      </c>
      <c r="Z1114" s="2">
        <f>Table1[[#This Row],[total_collected_premiums]]*(1-$AD$2)</f>
        <v>724.12963200000002</v>
      </c>
      <c r="AA1114" s="2">
        <f>Table1[[#This Row],[retained_premium]]-Table1[[#This Row],[claim_amount_paid]]</f>
        <v>-1275.8703679999999</v>
      </c>
    </row>
    <row r="1115" spans="1:27" x14ac:dyDescent="0.35">
      <c r="A1115" t="s">
        <v>3384</v>
      </c>
      <c r="B1115" t="s">
        <v>3385</v>
      </c>
      <c r="C1115" t="s">
        <v>3386</v>
      </c>
      <c r="D1115" s="1">
        <v>43589</v>
      </c>
      <c r="E1115" s="1">
        <v>44263</v>
      </c>
      <c r="F1115" s="1">
        <v>44263</v>
      </c>
      <c r="G1115">
        <v>0</v>
      </c>
      <c r="H1115">
        <v>108.89</v>
      </c>
      <c r="I1115">
        <v>1306.68</v>
      </c>
      <c r="J1115">
        <v>2000</v>
      </c>
      <c r="K1115" t="s">
        <v>27</v>
      </c>
      <c r="L1115">
        <v>2000</v>
      </c>
      <c r="M1115">
        <v>3.25</v>
      </c>
      <c r="N1115" t="s">
        <v>36</v>
      </c>
      <c r="O1115">
        <v>39</v>
      </c>
      <c r="P1115">
        <v>25</v>
      </c>
      <c r="Q1115">
        <v>1</v>
      </c>
      <c r="R1115">
        <v>3</v>
      </c>
      <c r="S1115" t="s">
        <v>29</v>
      </c>
      <c r="T1115" t="s">
        <v>50</v>
      </c>
      <c r="U1115" t="s">
        <v>38</v>
      </c>
      <c r="V1115" t="s">
        <v>45</v>
      </c>
      <c r="W1115">
        <v>0</v>
      </c>
      <c r="X1115">
        <v>1</v>
      </c>
      <c r="Y1115" s="2">
        <f>Table1[[#This Row],[premium_yearly]]*Table1[[#This Row],[tenure_years]]</f>
        <v>4246.71</v>
      </c>
      <c r="Z1115" s="2">
        <f>Table1[[#This Row],[total_collected_premiums]]*(1-$AD$2)</f>
        <v>3100.0983000000001</v>
      </c>
      <c r="AA1115" s="2">
        <f>Table1[[#This Row],[retained_premium]]-Table1[[#This Row],[claim_amount_paid]]</f>
        <v>1100.0983000000001</v>
      </c>
    </row>
    <row r="1116" spans="1:27" x14ac:dyDescent="0.35">
      <c r="A1116" t="s">
        <v>3387</v>
      </c>
      <c r="B1116" t="s">
        <v>3388</v>
      </c>
      <c r="C1116" t="s">
        <v>3389</v>
      </c>
      <c r="D1116" s="1">
        <v>41572</v>
      </c>
      <c r="E1116" s="1">
        <v>44252</v>
      </c>
      <c r="F1116" s="1">
        <v>44257</v>
      </c>
      <c r="G1116">
        <v>5</v>
      </c>
      <c r="H1116">
        <v>95.75</v>
      </c>
      <c r="I1116">
        <v>1149</v>
      </c>
      <c r="J1116">
        <v>5000</v>
      </c>
      <c r="K1116" t="s">
        <v>27</v>
      </c>
      <c r="L1116">
        <v>5000</v>
      </c>
      <c r="M1116">
        <v>7.67</v>
      </c>
      <c r="N1116" t="s">
        <v>36</v>
      </c>
      <c r="O1116">
        <v>92</v>
      </c>
      <c r="P1116">
        <v>51</v>
      </c>
      <c r="Q1116">
        <v>1</v>
      </c>
      <c r="R1116">
        <v>4</v>
      </c>
      <c r="S1116" t="s">
        <v>65</v>
      </c>
      <c r="T1116" t="s">
        <v>44</v>
      </c>
      <c r="U1116" t="s">
        <v>31</v>
      </c>
      <c r="V1116" t="s">
        <v>45</v>
      </c>
      <c r="W1116">
        <v>1</v>
      </c>
      <c r="X1116">
        <v>0</v>
      </c>
      <c r="Y1116" s="2">
        <f>Table1[[#This Row],[premium_yearly]]*Table1[[#This Row],[tenure_years]]</f>
        <v>8812.83</v>
      </c>
      <c r="Z1116" s="2">
        <f>Table1[[#This Row],[total_collected_premiums]]*(1-$AD$2)</f>
        <v>6433.3658999999998</v>
      </c>
      <c r="AA1116" s="2">
        <f>Table1[[#This Row],[retained_premium]]-Table1[[#This Row],[claim_amount_paid]]</f>
        <v>1433.3658999999998</v>
      </c>
    </row>
    <row r="1117" spans="1:27" x14ac:dyDescent="0.35">
      <c r="A1117" t="s">
        <v>3390</v>
      </c>
      <c r="B1117" t="s">
        <v>3391</v>
      </c>
      <c r="C1117" t="s">
        <v>3392</v>
      </c>
      <c r="D1117" s="1">
        <v>42516</v>
      </c>
      <c r="E1117" s="1">
        <v>44252</v>
      </c>
      <c r="F1117" s="1">
        <v>44257</v>
      </c>
      <c r="G1117">
        <v>5</v>
      </c>
      <c r="H1117">
        <v>113.84</v>
      </c>
      <c r="I1117">
        <v>1366.08</v>
      </c>
      <c r="J1117">
        <v>8000</v>
      </c>
      <c r="K1117" t="s">
        <v>27</v>
      </c>
      <c r="L1117">
        <v>8000</v>
      </c>
      <c r="M1117">
        <v>9.92</v>
      </c>
      <c r="N1117" t="s">
        <v>36</v>
      </c>
      <c r="O1117">
        <v>119</v>
      </c>
      <c r="P1117">
        <v>64</v>
      </c>
      <c r="Q1117">
        <v>1</v>
      </c>
      <c r="R1117">
        <v>4</v>
      </c>
      <c r="S1117" t="s">
        <v>29</v>
      </c>
      <c r="T1117" t="s">
        <v>44</v>
      </c>
      <c r="U1117" t="s">
        <v>107</v>
      </c>
      <c r="V1117" t="s">
        <v>39</v>
      </c>
      <c r="W1117">
        <v>0</v>
      </c>
      <c r="X1117">
        <v>0</v>
      </c>
      <c r="Y1117" s="2">
        <f>Table1[[#This Row],[premium_yearly]]*Table1[[#This Row],[tenure_years]]</f>
        <v>13551.513599999998</v>
      </c>
      <c r="Z1117" s="2">
        <f>Table1[[#This Row],[total_collected_premiums]]*(1-$AD$2)</f>
        <v>9892.6049279999988</v>
      </c>
      <c r="AA1117" s="2">
        <f>Table1[[#This Row],[retained_premium]]-Table1[[#This Row],[claim_amount_paid]]</f>
        <v>1892.6049279999988</v>
      </c>
    </row>
    <row r="1118" spans="1:27" x14ac:dyDescent="0.35">
      <c r="A1118" t="s">
        <v>3393</v>
      </c>
      <c r="B1118" t="s">
        <v>3394</v>
      </c>
      <c r="C1118" t="s">
        <v>3395</v>
      </c>
      <c r="D1118" s="1">
        <v>42772</v>
      </c>
      <c r="E1118" s="1">
        <v>44254</v>
      </c>
      <c r="F1118" s="1">
        <v>44259</v>
      </c>
      <c r="G1118">
        <v>5</v>
      </c>
      <c r="H1118">
        <v>103.75</v>
      </c>
      <c r="I1118">
        <v>1245</v>
      </c>
      <c r="J1118">
        <v>10000</v>
      </c>
      <c r="K1118" t="s">
        <v>27</v>
      </c>
      <c r="L1118">
        <v>10000</v>
      </c>
      <c r="M1118">
        <v>7.58</v>
      </c>
      <c r="N1118" t="s">
        <v>49</v>
      </c>
      <c r="O1118">
        <v>91</v>
      </c>
      <c r="P1118">
        <v>64</v>
      </c>
      <c r="Q1118">
        <v>0</v>
      </c>
      <c r="R1118">
        <v>6</v>
      </c>
      <c r="S1118" t="s">
        <v>29</v>
      </c>
      <c r="T1118" t="s">
        <v>44</v>
      </c>
      <c r="U1118" t="s">
        <v>66</v>
      </c>
      <c r="V1118" t="s">
        <v>45</v>
      </c>
      <c r="W1118">
        <v>1</v>
      </c>
      <c r="X1118">
        <v>1</v>
      </c>
      <c r="Y1118" s="2">
        <f>Table1[[#This Row],[premium_yearly]]*Table1[[#This Row],[tenure_years]]</f>
        <v>9437.1</v>
      </c>
      <c r="Z1118" s="2">
        <f>Table1[[#This Row],[total_collected_premiums]]*(1-$AD$2)</f>
        <v>6889.0830000000005</v>
      </c>
      <c r="AA1118" s="2">
        <f>Table1[[#This Row],[retained_premium]]-Table1[[#This Row],[claim_amount_paid]]</f>
        <v>-3110.9169999999995</v>
      </c>
    </row>
    <row r="1119" spans="1:27" x14ac:dyDescent="0.35">
      <c r="A1119" t="s">
        <v>3396</v>
      </c>
      <c r="B1119" t="s">
        <v>3397</v>
      </c>
      <c r="C1119" t="s">
        <v>3398</v>
      </c>
      <c r="D1119" s="1">
        <v>40676</v>
      </c>
      <c r="E1119" s="1">
        <v>44248</v>
      </c>
      <c r="F1119" s="1">
        <v>44253</v>
      </c>
      <c r="G1119">
        <v>5</v>
      </c>
      <c r="H1119">
        <v>110.97</v>
      </c>
      <c r="I1119">
        <v>1331.64</v>
      </c>
      <c r="J1119">
        <v>9000</v>
      </c>
      <c r="K1119" t="s">
        <v>27</v>
      </c>
      <c r="L1119">
        <v>9000</v>
      </c>
      <c r="M1119">
        <v>4.83</v>
      </c>
      <c r="N1119" t="s">
        <v>36</v>
      </c>
      <c r="O1119">
        <v>58</v>
      </c>
      <c r="P1119">
        <v>53</v>
      </c>
      <c r="Q1119">
        <v>1</v>
      </c>
      <c r="R1119">
        <v>2</v>
      </c>
      <c r="S1119" t="s">
        <v>29</v>
      </c>
      <c r="T1119" t="s">
        <v>30</v>
      </c>
      <c r="U1119" t="s">
        <v>38</v>
      </c>
      <c r="V1119" t="s">
        <v>39</v>
      </c>
      <c r="W1119">
        <v>1</v>
      </c>
      <c r="X1119">
        <v>0</v>
      </c>
      <c r="Y1119" s="2">
        <f>Table1[[#This Row],[premium_yearly]]*Table1[[#This Row],[tenure_years]]</f>
        <v>6431.8212000000003</v>
      </c>
      <c r="Z1119" s="2">
        <f>Table1[[#This Row],[total_collected_premiums]]*(1-$AD$2)</f>
        <v>4695.2294760000004</v>
      </c>
      <c r="AA1119" s="2">
        <f>Table1[[#This Row],[retained_premium]]-Table1[[#This Row],[claim_amount_paid]]</f>
        <v>-4304.7705239999996</v>
      </c>
    </row>
    <row r="1120" spans="1:27" x14ac:dyDescent="0.35">
      <c r="A1120" t="s">
        <v>3399</v>
      </c>
      <c r="B1120" t="s">
        <v>3400</v>
      </c>
      <c r="C1120" t="s">
        <v>3401</v>
      </c>
      <c r="D1120" s="1">
        <v>40350</v>
      </c>
      <c r="E1120" s="1">
        <v>44246</v>
      </c>
      <c r="F1120" s="1">
        <v>44251</v>
      </c>
      <c r="G1120">
        <v>5</v>
      </c>
      <c r="H1120">
        <v>74.5</v>
      </c>
      <c r="I1120">
        <v>894</v>
      </c>
      <c r="J1120">
        <v>8000</v>
      </c>
      <c r="K1120" t="s">
        <v>27</v>
      </c>
      <c r="L1120">
        <v>8000</v>
      </c>
      <c r="M1120">
        <v>1.67</v>
      </c>
      <c r="N1120" t="s">
        <v>36</v>
      </c>
      <c r="O1120">
        <v>20</v>
      </c>
      <c r="P1120">
        <v>58</v>
      </c>
      <c r="Q1120">
        <v>0</v>
      </c>
      <c r="R1120">
        <v>5</v>
      </c>
      <c r="S1120" t="s">
        <v>29</v>
      </c>
      <c r="T1120" t="s">
        <v>30</v>
      </c>
      <c r="U1120" t="s">
        <v>31</v>
      </c>
      <c r="V1120" t="s">
        <v>32</v>
      </c>
      <c r="W1120">
        <v>0</v>
      </c>
      <c r="X1120">
        <v>1</v>
      </c>
      <c r="Y1120" s="2">
        <f>Table1[[#This Row],[premium_yearly]]*Table1[[#This Row],[tenure_years]]</f>
        <v>1492.98</v>
      </c>
      <c r="Z1120" s="2">
        <f>Table1[[#This Row],[total_collected_premiums]]*(1-$AD$2)</f>
        <v>1089.8753999999999</v>
      </c>
      <c r="AA1120" s="2">
        <f>Table1[[#This Row],[retained_premium]]-Table1[[#This Row],[claim_amount_paid]]</f>
        <v>-6910.1246000000001</v>
      </c>
    </row>
    <row r="1121" spans="1:27" x14ac:dyDescent="0.35">
      <c r="A1121" t="s">
        <v>3402</v>
      </c>
      <c r="B1121" t="s">
        <v>3403</v>
      </c>
      <c r="C1121" t="s">
        <v>3404</v>
      </c>
      <c r="D1121" s="1">
        <v>40540</v>
      </c>
      <c r="E1121" s="1">
        <v>44264</v>
      </c>
      <c r="F1121" s="1">
        <v>44264</v>
      </c>
      <c r="G1121">
        <v>0</v>
      </c>
      <c r="H1121">
        <v>88.44</v>
      </c>
      <c r="I1121">
        <v>1061.28</v>
      </c>
      <c r="J1121">
        <v>6000</v>
      </c>
      <c r="K1121" t="s">
        <v>27</v>
      </c>
      <c r="L1121">
        <v>6000</v>
      </c>
      <c r="M1121">
        <v>0.5</v>
      </c>
      <c r="N1121" t="s">
        <v>49</v>
      </c>
      <c r="O1121">
        <v>6</v>
      </c>
      <c r="P1121">
        <v>58</v>
      </c>
      <c r="Q1121">
        <v>1</v>
      </c>
      <c r="R1121">
        <v>5</v>
      </c>
      <c r="S1121" t="s">
        <v>29</v>
      </c>
      <c r="T1121" t="s">
        <v>50</v>
      </c>
      <c r="U1121" t="s">
        <v>88</v>
      </c>
      <c r="V1121" t="s">
        <v>32</v>
      </c>
      <c r="W1121">
        <v>1</v>
      </c>
      <c r="X1121">
        <v>1</v>
      </c>
      <c r="Y1121" s="2">
        <f>Table1[[#This Row],[premium_yearly]]*Table1[[#This Row],[tenure_years]]</f>
        <v>530.64</v>
      </c>
      <c r="Z1121" s="2">
        <f>Table1[[#This Row],[total_collected_premiums]]*(1-$AD$2)</f>
        <v>387.36719999999997</v>
      </c>
      <c r="AA1121" s="2">
        <f>Table1[[#This Row],[retained_premium]]-Table1[[#This Row],[claim_amount_paid]]</f>
        <v>-5612.6328000000003</v>
      </c>
    </row>
    <row r="1122" spans="1:27" x14ac:dyDescent="0.35">
      <c r="A1122" t="s">
        <v>3405</v>
      </c>
      <c r="B1122" t="s">
        <v>3406</v>
      </c>
      <c r="C1122" t="s">
        <v>3407</v>
      </c>
      <c r="D1122" s="1">
        <v>41330</v>
      </c>
      <c r="E1122" s="1">
        <v>44257</v>
      </c>
      <c r="F1122" s="1">
        <v>44260</v>
      </c>
      <c r="G1122">
        <v>3</v>
      </c>
      <c r="H1122">
        <v>87.59</v>
      </c>
      <c r="I1122">
        <v>1051.08</v>
      </c>
      <c r="J1122">
        <v>4000</v>
      </c>
      <c r="K1122" t="s">
        <v>27</v>
      </c>
      <c r="L1122">
        <v>4000</v>
      </c>
      <c r="M1122">
        <v>3.83</v>
      </c>
      <c r="N1122" t="s">
        <v>49</v>
      </c>
      <c r="O1122">
        <v>46</v>
      </c>
      <c r="P1122">
        <v>39</v>
      </c>
      <c r="Q1122">
        <v>0</v>
      </c>
      <c r="R1122">
        <v>7</v>
      </c>
      <c r="S1122" t="s">
        <v>65</v>
      </c>
      <c r="T1122" t="s">
        <v>50</v>
      </c>
      <c r="U1122" t="s">
        <v>38</v>
      </c>
      <c r="V1122" t="s">
        <v>32</v>
      </c>
      <c r="W1122">
        <v>1</v>
      </c>
      <c r="X1122">
        <v>0</v>
      </c>
      <c r="Y1122" s="2">
        <f>Table1[[#This Row],[premium_yearly]]*Table1[[#This Row],[tenure_years]]</f>
        <v>4025.6363999999999</v>
      </c>
      <c r="Z1122" s="2">
        <f>Table1[[#This Row],[total_collected_premiums]]*(1-$AD$2)</f>
        <v>2938.7145719999999</v>
      </c>
      <c r="AA1122" s="2">
        <f>Table1[[#This Row],[retained_premium]]-Table1[[#This Row],[claim_amount_paid]]</f>
        <v>-1061.2854280000001</v>
      </c>
    </row>
    <row r="1123" spans="1:27" x14ac:dyDescent="0.35">
      <c r="A1123" t="s">
        <v>3408</v>
      </c>
      <c r="B1123" t="s">
        <v>3409</v>
      </c>
      <c r="C1123" t="s">
        <v>3410</v>
      </c>
      <c r="D1123" s="1">
        <v>40971</v>
      </c>
      <c r="E1123" s="1">
        <v>44247</v>
      </c>
      <c r="F1123" s="1">
        <v>44252</v>
      </c>
      <c r="G1123">
        <v>5</v>
      </c>
      <c r="H1123">
        <v>132.44</v>
      </c>
      <c r="I1123">
        <v>1589.28</v>
      </c>
      <c r="J1123">
        <v>5000</v>
      </c>
      <c r="K1123" t="s">
        <v>43</v>
      </c>
      <c r="L1123">
        <v>0</v>
      </c>
      <c r="M1123">
        <v>9</v>
      </c>
      <c r="N1123" t="s">
        <v>36</v>
      </c>
      <c r="O1123">
        <v>108</v>
      </c>
      <c r="P1123">
        <v>41</v>
      </c>
      <c r="Q1123">
        <v>1</v>
      </c>
      <c r="R1123">
        <v>7</v>
      </c>
      <c r="S1123" t="s">
        <v>37</v>
      </c>
      <c r="T1123" t="s">
        <v>50</v>
      </c>
      <c r="U1123" t="s">
        <v>31</v>
      </c>
      <c r="V1123" t="s">
        <v>39</v>
      </c>
      <c r="W1123">
        <v>1</v>
      </c>
      <c r="X1123">
        <v>1</v>
      </c>
      <c r="Y1123" s="2">
        <f>Table1[[#This Row],[premium_yearly]]*Table1[[#This Row],[tenure_years]]</f>
        <v>14303.52</v>
      </c>
      <c r="Z1123" s="2">
        <f>Table1[[#This Row],[total_collected_premiums]]*(1-$AD$2)</f>
        <v>10441.569600000001</v>
      </c>
      <c r="AA1123" s="2">
        <f>Table1[[#This Row],[retained_premium]]-Table1[[#This Row],[claim_amount_paid]]</f>
        <v>10441.569600000001</v>
      </c>
    </row>
    <row r="1124" spans="1:27" x14ac:dyDescent="0.35">
      <c r="A1124" t="s">
        <v>3411</v>
      </c>
      <c r="B1124" t="s">
        <v>3412</v>
      </c>
      <c r="C1124" t="s">
        <v>3413</v>
      </c>
      <c r="D1124" s="1">
        <v>41564</v>
      </c>
      <c r="E1124" s="1">
        <v>44262</v>
      </c>
      <c r="F1124" s="1">
        <v>44263</v>
      </c>
      <c r="G1124">
        <v>1</v>
      </c>
      <c r="H1124">
        <v>75.36</v>
      </c>
      <c r="I1124">
        <v>904.32</v>
      </c>
      <c r="J1124">
        <v>1000</v>
      </c>
      <c r="K1124" t="s">
        <v>27</v>
      </c>
      <c r="L1124">
        <v>1000</v>
      </c>
      <c r="M1124">
        <v>2.08</v>
      </c>
      <c r="N1124" t="s">
        <v>49</v>
      </c>
      <c r="O1124">
        <v>25</v>
      </c>
      <c r="P1124">
        <v>35</v>
      </c>
      <c r="Q1124">
        <v>1</v>
      </c>
      <c r="R1124">
        <v>3</v>
      </c>
      <c r="S1124" t="s">
        <v>37</v>
      </c>
      <c r="T1124" t="s">
        <v>30</v>
      </c>
      <c r="U1124" t="s">
        <v>31</v>
      </c>
      <c r="V1124" t="s">
        <v>32</v>
      </c>
      <c r="W1124">
        <v>1</v>
      </c>
      <c r="X1124">
        <v>1</v>
      </c>
      <c r="Y1124" s="2">
        <f>Table1[[#This Row],[premium_yearly]]*Table1[[#This Row],[tenure_years]]</f>
        <v>1880.9856000000002</v>
      </c>
      <c r="Z1124" s="2">
        <f>Table1[[#This Row],[total_collected_premiums]]*(1-$AD$2)</f>
        <v>1373.119488</v>
      </c>
      <c r="AA1124" s="2">
        <f>Table1[[#This Row],[retained_premium]]-Table1[[#This Row],[claim_amount_paid]]</f>
        <v>373.11948800000005</v>
      </c>
    </row>
    <row r="1125" spans="1:27" x14ac:dyDescent="0.35">
      <c r="A1125" t="s">
        <v>3414</v>
      </c>
      <c r="B1125" t="s">
        <v>3415</v>
      </c>
      <c r="C1125" t="s">
        <v>3416</v>
      </c>
      <c r="D1125" s="1">
        <v>41875</v>
      </c>
      <c r="E1125" s="1">
        <v>44248</v>
      </c>
      <c r="F1125" s="1">
        <v>44253</v>
      </c>
      <c r="G1125">
        <v>5</v>
      </c>
      <c r="H1125">
        <v>135.01</v>
      </c>
      <c r="I1125">
        <v>1620.12</v>
      </c>
      <c r="J1125">
        <v>5000</v>
      </c>
      <c r="K1125" t="s">
        <v>27</v>
      </c>
      <c r="L1125">
        <v>5000</v>
      </c>
      <c r="M1125">
        <v>9.17</v>
      </c>
      <c r="N1125" t="s">
        <v>36</v>
      </c>
      <c r="O1125">
        <v>110</v>
      </c>
      <c r="P1125">
        <v>38</v>
      </c>
      <c r="Q1125">
        <v>1</v>
      </c>
      <c r="R1125">
        <v>7</v>
      </c>
      <c r="S1125" t="s">
        <v>65</v>
      </c>
      <c r="T1125" t="s">
        <v>30</v>
      </c>
      <c r="U1125" t="s">
        <v>58</v>
      </c>
      <c r="V1125" t="s">
        <v>32</v>
      </c>
      <c r="W1125">
        <v>1</v>
      </c>
      <c r="X1125">
        <v>1</v>
      </c>
      <c r="Y1125" s="2">
        <f>Table1[[#This Row],[premium_yearly]]*Table1[[#This Row],[tenure_years]]</f>
        <v>14856.500399999999</v>
      </c>
      <c r="Z1125" s="2">
        <f>Table1[[#This Row],[total_collected_premiums]]*(1-$AD$2)</f>
        <v>10845.245292</v>
      </c>
      <c r="AA1125" s="2">
        <f>Table1[[#This Row],[retained_premium]]-Table1[[#This Row],[claim_amount_paid]]</f>
        <v>5845.2452919999996</v>
      </c>
    </row>
    <row r="1126" spans="1:27" x14ac:dyDescent="0.35">
      <c r="A1126" t="s">
        <v>3417</v>
      </c>
      <c r="B1126" t="s">
        <v>3418</v>
      </c>
      <c r="C1126" t="s">
        <v>3419</v>
      </c>
      <c r="D1126" s="1">
        <v>42406</v>
      </c>
      <c r="E1126" s="1">
        <v>44254</v>
      </c>
      <c r="F1126" s="1">
        <v>44259</v>
      </c>
      <c r="G1126">
        <v>5</v>
      </c>
      <c r="H1126">
        <v>114.22</v>
      </c>
      <c r="I1126">
        <v>1370.64</v>
      </c>
      <c r="J1126">
        <v>6000</v>
      </c>
      <c r="K1126" t="s">
        <v>27</v>
      </c>
      <c r="L1126">
        <v>6000</v>
      </c>
      <c r="M1126">
        <v>4</v>
      </c>
      <c r="N1126" t="s">
        <v>49</v>
      </c>
      <c r="O1126">
        <v>48</v>
      </c>
      <c r="P1126">
        <v>37</v>
      </c>
      <c r="Q1126">
        <v>1</v>
      </c>
      <c r="R1126">
        <v>6</v>
      </c>
      <c r="S1126" t="s">
        <v>37</v>
      </c>
      <c r="T1126" t="s">
        <v>50</v>
      </c>
      <c r="U1126" t="s">
        <v>58</v>
      </c>
      <c r="V1126" t="s">
        <v>45</v>
      </c>
      <c r="W1126">
        <v>1</v>
      </c>
      <c r="X1126">
        <v>1</v>
      </c>
      <c r="Y1126" s="2">
        <f>Table1[[#This Row],[premium_yearly]]*Table1[[#This Row],[tenure_years]]</f>
        <v>5482.56</v>
      </c>
      <c r="Z1126" s="2">
        <f>Table1[[#This Row],[total_collected_premiums]]*(1-$AD$2)</f>
        <v>4002.2688000000003</v>
      </c>
      <c r="AA1126" s="2">
        <f>Table1[[#This Row],[retained_premium]]-Table1[[#This Row],[claim_amount_paid]]</f>
        <v>-1997.7311999999997</v>
      </c>
    </row>
    <row r="1127" spans="1:27" x14ac:dyDescent="0.35">
      <c r="A1127" t="s">
        <v>3420</v>
      </c>
      <c r="B1127" t="s">
        <v>3421</v>
      </c>
      <c r="C1127" t="s">
        <v>3422</v>
      </c>
      <c r="D1127" s="1">
        <v>40438</v>
      </c>
      <c r="E1127" s="1">
        <v>44256</v>
      </c>
      <c r="F1127" s="1">
        <v>44259</v>
      </c>
      <c r="G1127">
        <v>3</v>
      </c>
      <c r="H1127">
        <v>139</v>
      </c>
      <c r="I1127">
        <v>1668</v>
      </c>
      <c r="J1127">
        <v>9000</v>
      </c>
      <c r="K1127" t="s">
        <v>27</v>
      </c>
      <c r="L1127">
        <v>9000</v>
      </c>
      <c r="M1127">
        <v>8.17</v>
      </c>
      <c r="N1127" t="s">
        <v>49</v>
      </c>
      <c r="O1127">
        <v>98</v>
      </c>
      <c r="P1127">
        <v>38</v>
      </c>
      <c r="Q1127">
        <v>1</v>
      </c>
      <c r="R1127">
        <v>4</v>
      </c>
      <c r="S1127" t="s">
        <v>29</v>
      </c>
      <c r="T1127" t="s">
        <v>50</v>
      </c>
      <c r="U1127" t="s">
        <v>38</v>
      </c>
      <c r="V1127" t="s">
        <v>32</v>
      </c>
      <c r="W1127">
        <v>0</v>
      </c>
      <c r="X1127">
        <v>0</v>
      </c>
      <c r="Y1127" s="2">
        <f>Table1[[#This Row],[premium_yearly]]*Table1[[#This Row],[tenure_years]]</f>
        <v>13627.56</v>
      </c>
      <c r="Z1127" s="2">
        <f>Table1[[#This Row],[total_collected_premiums]]*(1-$AD$2)</f>
        <v>9948.1188000000002</v>
      </c>
      <c r="AA1127" s="2">
        <f>Table1[[#This Row],[retained_premium]]-Table1[[#This Row],[claim_amount_paid]]</f>
        <v>948.11880000000019</v>
      </c>
    </row>
    <row r="1128" spans="1:27" x14ac:dyDescent="0.35">
      <c r="A1128" t="s">
        <v>3423</v>
      </c>
      <c r="B1128" t="s">
        <v>3424</v>
      </c>
      <c r="C1128" t="s">
        <v>3425</v>
      </c>
      <c r="D1128" s="1">
        <v>42802</v>
      </c>
      <c r="E1128" s="1">
        <v>44254</v>
      </c>
      <c r="F1128" s="1">
        <v>44259</v>
      </c>
      <c r="G1128">
        <v>5</v>
      </c>
      <c r="H1128">
        <v>114.72</v>
      </c>
      <c r="I1128">
        <v>1376.64</v>
      </c>
      <c r="J1128">
        <v>6000</v>
      </c>
      <c r="K1128" t="s">
        <v>27</v>
      </c>
      <c r="L1128">
        <v>6000</v>
      </c>
      <c r="M1128">
        <v>1.25</v>
      </c>
      <c r="N1128" t="s">
        <v>49</v>
      </c>
      <c r="O1128">
        <v>15</v>
      </c>
      <c r="P1128">
        <v>53</v>
      </c>
      <c r="Q1128">
        <v>0</v>
      </c>
      <c r="R1128">
        <v>3</v>
      </c>
      <c r="S1128" t="s">
        <v>29</v>
      </c>
      <c r="T1128" t="s">
        <v>30</v>
      </c>
      <c r="U1128" t="s">
        <v>58</v>
      </c>
      <c r="V1128" t="s">
        <v>39</v>
      </c>
      <c r="W1128">
        <v>1</v>
      </c>
      <c r="X1128">
        <v>1</v>
      </c>
      <c r="Y1128" s="2">
        <f>Table1[[#This Row],[premium_yearly]]*Table1[[#This Row],[tenure_years]]</f>
        <v>1720.8000000000002</v>
      </c>
      <c r="Z1128" s="2">
        <f>Table1[[#This Row],[total_collected_premiums]]*(1-$AD$2)</f>
        <v>1256.1840000000002</v>
      </c>
      <c r="AA1128" s="2">
        <f>Table1[[#This Row],[retained_premium]]-Table1[[#This Row],[claim_amount_paid]]</f>
        <v>-4743.8159999999998</v>
      </c>
    </row>
    <row r="1129" spans="1:27" x14ac:dyDescent="0.35">
      <c r="A1129" t="s">
        <v>3426</v>
      </c>
      <c r="B1129" t="s">
        <v>3427</v>
      </c>
      <c r="C1129" t="s">
        <v>3428</v>
      </c>
      <c r="D1129" s="1">
        <v>41768</v>
      </c>
      <c r="E1129" s="1">
        <v>44263</v>
      </c>
      <c r="F1129" s="1">
        <v>44264</v>
      </c>
      <c r="G1129">
        <v>1</v>
      </c>
      <c r="H1129">
        <v>139.1</v>
      </c>
      <c r="I1129">
        <v>1669.2</v>
      </c>
      <c r="J1129">
        <v>4000</v>
      </c>
      <c r="K1129" t="s">
        <v>43</v>
      </c>
      <c r="L1129">
        <v>0</v>
      </c>
      <c r="M1129">
        <v>1.33</v>
      </c>
      <c r="N1129" t="s">
        <v>36</v>
      </c>
      <c r="O1129">
        <v>16</v>
      </c>
      <c r="P1129">
        <v>31</v>
      </c>
      <c r="Q1129">
        <v>0</v>
      </c>
      <c r="R1129">
        <v>3</v>
      </c>
      <c r="S1129" t="s">
        <v>29</v>
      </c>
      <c r="T1129" t="s">
        <v>30</v>
      </c>
      <c r="U1129" t="s">
        <v>38</v>
      </c>
      <c r="V1129" t="s">
        <v>39</v>
      </c>
      <c r="W1129">
        <v>0</v>
      </c>
      <c r="X1129">
        <v>1</v>
      </c>
      <c r="Y1129" s="2">
        <f>Table1[[#This Row],[premium_yearly]]*Table1[[#This Row],[tenure_years]]</f>
        <v>2220.0360000000001</v>
      </c>
      <c r="Z1129" s="2">
        <f>Table1[[#This Row],[total_collected_premiums]]*(1-$AD$2)</f>
        <v>1620.62628</v>
      </c>
      <c r="AA1129" s="2">
        <f>Table1[[#This Row],[retained_premium]]-Table1[[#This Row],[claim_amount_paid]]</f>
        <v>1620.62628</v>
      </c>
    </row>
    <row r="1130" spans="1:27" x14ac:dyDescent="0.35">
      <c r="A1130" t="s">
        <v>3429</v>
      </c>
      <c r="B1130" t="s">
        <v>3430</v>
      </c>
      <c r="C1130" t="s">
        <v>3431</v>
      </c>
      <c r="D1130" s="1">
        <v>40826</v>
      </c>
      <c r="E1130" s="1">
        <v>44251</v>
      </c>
      <c r="F1130" s="1">
        <v>44256</v>
      </c>
      <c r="G1130">
        <v>5</v>
      </c>
      <c r="H1130">
        <v>89.53</v>
      </c>
      <c r="I1130">
        <v>1074.3599999999999</v>
      </c>
      <c r="J1130">
        <v>4000</v>
      </c>
      <c r="K1130" t="s">
        <v>27</v>
      </c>
      <c r="L1130">
        <v>4000</v>
      </c>
      <c r="M1130">
        <v>7.75</v>
      </c>
      <c r="N1130" t="s">
        <v>36</v>
      </c>
      <c r="O1130">
        <v>93</v>
      </c>
      <c r="P1130">
        <v>26</v>
      </c>
      <c r="Q1130">
        <v>1</v>
      </c>
      <c r="R1130">
        <v>4</v>
      </c>
      <c r="S1130" t="s">
        <v>29</v>
      </c>
      <c r="T1130" t="s">
        <v>50</v>
      </c>
      <c r="U1130" t="s">
        <v>38</v>
      </c>
      <c r="V1130" t="s">
        <v>32</v>
      </c>
      <c r="W1130">
        <v>1</v>
      </c>
      <c r="X1130">
        <v>1</v>
      </c>
      <c r="Y1130" s="2">
        <f>Table1[[#This Row],[premium_yearly]]*Table1[[#This Row],[tenure_years]]</f>
        <v>8326.2899999999991</v>
      </c>
      <c r="Z1130" s="2">
        <f>Table1[[#This Row],[total_collected_premiums]]*(1-$AD$2)</f>
        <v>6078.1916999999994</v>
      </c>
      <c r="AA1130" s="2">
        <f>Table1[[#This Row],[retained_premium]]-Table1[[#This Row],[claim_amount_paid]]</f>
        <v>2078.1916999999994</v>
      </c>
    </row>
    <row r="1131" spans="1:27" x14ac:dyDescent="0.35">
      <c r="A1131" t="s">
        <v>3432</v>
      </c>
      <c r="B1131" t="s">
        <v>3433</v>
      </c>
      <c r="C1131" t="s">
        <v>3434</v>
      </c>
      <c r="D1131" s="1">
        <v>42438</v>
      </c>
      <c r="E1131" s="1">
        <v>44248</v>
      </c>
      <c r="F1131" s="1">
        <v>44253</v>
      </c>
      <c r="G1131">
        <v>5</v>
      </c>
      <c r="H1131">
        <v>105.72</v>
      </c>
      <c r="I1131">
        <v>1268.6400000000001</v>
      </c>
      <c r="J1131">
        <v>10000</v>
      </c>
      <c r="K1131" t="s">
        <v>27</v>
      </c>
      <c r="L1131">
        <v>10000</v>
      </c>
      <c r="M1131">
        <v>2.92</v>
      </c>
      <c r="N1131" t="s">
        <v>49</v>
      </c>
      <c r="O1131">
        <v>35</v>
      </c>
      <c r="P1131">
        <v>60</v>
      </c>
      <c r="Q1131">
        <v>1</v>
      </c>
      <c r="R1131">
        <v>2</v>
      </c>
      <c r="S1131" t="s">
        <v>65</v>
      </c>
      <c r="T1131" t="s">
        <v>30</v>
      </c>
      <c r="U1131" t="s">
        <v>58</v>
      </c>
      <c r="V1131" t="s">
        <v>39</v>
      </c>
      <c r="W1131">
        <v>0</v>
      </c>
      <c r="X1131">
        <v>1</v>
      </c>
      <c r="Y1131" s="2">
        <f>Table1[[#This Row],[premium_yearly]]*Table1[[#This Row],[tenure_years]]</f>
        <v>3704.4288000000001</v>
      </c>
      <c r="Z1131" s="2">
        <f>Table1[[#This Row],[total_collected_premiums]]*(1-$AD$2)</f>
        <v>2704.2330240000001</v>
      </c>
      <c r="AA1131" s="2">
        <f>Table1[[#This Row],[retained_premium]]-Table1[[#This Row],[claim_amount_paid]]</f>
        <v>-7295.7669759999999</v>
      </c>
    </row>
    <row r="1132" spans="1:27" x14ac:dyDescent="0.35">
      <c r="A1132" t="s">
        <v>3435</v>
      </c>
      <c r="B1132" t="s">
        <v>3436</v>
      </c>
      <c r="C1132" t="s">
        <v>3437</v>
      </c>
      <c r="D1132" s="1">
        <v>42326</v>
      </c>
      <c r="E1132" s="1">
        <v>44261</v>
      </c>
      <c r="F1132" s="1">
        <v>44263</v>
      </c>
      <c r="G1132">
        <v>2</v>
      </c>
      <c r="H1132">
        <v>74.2</v>
      </c>
      <c r="I1132">
        <v>890.4</v>
      </c>
      <c r="J1132">
        <v>9000</v>
      </c>
      <c r="K1132" t="s">
        <v>27</v>
      </c>
      <c r="L1132">
        <v>9000</v>
      </c>
      <c r="M1132">
        <v>2.67</v>
      </c>
      <c r="N1132" t="s">
        <v>28</v>
      </c>
      <c r="O1132">
        <v>32</v>
      </c>
      <c r="P1132">
        <v>35</v>
      </c>
      <c r="Q1132">
        <v>0</v>
      </c>
      <c r="R1132">
        <v>6</v>
      </c>
      <c r="S1132" t="s">
        <v>65</v>
      </c>
      <c r="T1132" t="s">
        <v>30</v>
      </c>
      <c r="U1132" t="s">
        <v>38</v>
      </c>
      <c r="V1132" t="s">
        <v>32</v>
      </c>
      <c r="W1132">
        <v>1</v>
      </c>
      <c r="X1132">
        <v>1</v>
      </c>
      <c r="Y1132" s="2">
        <f>Table1[[#This Row],[premium_yearly]]*Table1[[#This Row],[tenure_years]]</f>
        <v>2377.3679999999999</v>
      </c>
      <c r="Z1132" s="2">
        <f>Table1[[#This Row],[total_collected_premiums]]*(1-$AD$2)</f>
        <v>1735.4786399999998</v>
      </c>
      <c r="AA1132" s="2">
        <f>Table1[[#This Row],[retained_premium]]-Table1[[#This Row],[claim_amount_paid]]</f>
        <v>-7264.5213600000006</v>
      </c>
    </row>
    <row r="1133" spans="1:27" x14ac:dyDescent="0.35">
      <c r="A1133" t="s">
        <v>3438</v>
      </c>
      <c r="B1133" t="s">
        <v>3439</v>
      </c>
      <c r="C1133" t="s">
        <v>3440</v>
      </c>
      <c r="D1133" s="1">
        <v>41142</v>
      </c>
      <c r="E1133" s="1">
        <v>44267</v>
      </c>
      <c r="F1133" s="1">
        <v>44267</v>
      </c>
      <c r="G1133">
        <v>0</v>
      </c>
      <c r="H1133">
        <v>115.48</v>
      </c>
      <c r="I1133">
        <v>1385.76</v>
      </c>
      <c r="J1133">
        <v>10000</v>
      </c>
      <c r="K1133" t="s">
        <v>27</v>
      </c>
      <c r="L1133">
        <v>10000</v>
      </c>
      <c r="M1133">
        <v>8.25</v>
      </c>
      <c r="N1133" t="s">
        <v>49</v>
      </c>
      <c r="O1133">
        <v>99</v>
      </c>
      <c r="P1133">
        <v>63</v>
      </c>
      <c r="Q1133">
        <v>0</v>
      </c>
      <c r="R1133">
        <v>2</v>
      </c>
      <c r="S1133" t="s">
        <v>29</v>
      </c>
      <c r="T1133" t="s">
        <v>30</v>
      </c>
      <c r="U1133" t="s">
        <v>31</v>
      </c>
      <c r="V1133" t="s">
        <v>32</v>
      </c>
      <c r="W1133">
        <v>1</v>
      </c>
      <c r="X1133">
        <v>0</v>
      </c>
      <c r="Y1133" s="2">
        <f>Table1[[#This Row],[premium_yearly]]*Table1[[#This Row],[tenure_years]]</f>
        <v>11432.52</v>
      </c>
      <c r="Z1133" s="2">
        <f>Table1[[#This Row],[total_collected_premiums]]*(1-$AD$2)</f>
        <v>8345.7396000000008</v>
      </c>
      <c r="AA1133" s="2">
        <f>Table1[[#This Row],[retained_premium]]-Table1[[#This Row],[claim_amount_paid]]</f>
        <v>-1654.2603999999992</v>
      </c>
    </row>
    <row r="1134" spans="1:27" x14ac:dyDescent="0.35">
      <c r="A1134" t="s">
        <v>3441</v>
      </c>
      <c r="B1134" t="s">
        <v>3442</v>
      </c>
      <c r="C1134" t="s">
        <v>3443</v>
      </c>
      <c r="D1134" s="1">
        <v>41214</v>
      </c>
      <c r="E1134" s="1">
        <v>44260</v>
      </c>
      <c r="F1134" s="1">
        <v>44263</v>
      </c>
      <c r="G1134">
        <v>3</v>
      </c>
      <c r="H1134">
        <v>117.57</v>
      </c>
      <c r="I1134">
        <v>1410.84</v>
      </c>
      <c r="J1134">
        <v>4000</v>
      </c>
      <c r="K1134" t="s">
        <v>27</v>
      </c>
      <c r="L1134">
        <v>4000</v>
      </c>
      <c r="M1134">
        <v>2.83</v>
      </c>
      <c r="N1134" t="s">
        <v>49</v>
      </c>
      <c r="O1134">
        <v>34</v>
      </c>
      <c r="P1134">
        <v>51</v>
      </c>
      <c r="Q1134">
        <v>0</v>
      </c>
      <c r="R1134">
        <v>6</v>
      </c>
      <c r="S1134" t="s">
        <v>29</v>
      </c>
      <c r="T1134" t="s">
        <v>30</v>
      </c>
      <c r="U1134" t="s">
        <v>58</v>
      </c>
      <c r="V1134" t="s">
        <v>39</v>
      </c>
      <c r="W1134">
        <v>1</v>
      </c>
      <c r="X1134">
        <v>0</v>
      </c>
      <c r="Y1134" s="2">
        <f>Table1[[#This Row],[premium_yearly]]*Table1[[#This Row],[tenure_years]]</f>
        <v>3992.6772000000001</v>
      </c>
      <c r="Z1134" s="2">
        <f>Table1[[#This Row],[total_collected_premiums]]*(1-$AD$2)</f>
        <v>2914.654356</v>
      </c>
      <c r="AA1134" s="2">
        <f>Table1[[#This Row],[retained_premium]]-Table1[[#This Row],[claim_amount_paid]]</f>
        <v>-1085.345644</v>
      </c>
    </row>
    <row r="1135" spans="1:27" x14ac:dyDescent="0.35">
      <c r="A1135" t="s">
        <v>3444</v>
      </c>
      <c r="B1135" t="s">
        <v>3445</v>
      </c>
      <c r="C1135" t="s">
        <v>3446</v>
      </c>
      <c r="D1135" s="1">
        <v>40821</v>
      </c>
      <c r="E1135" s="1">
        <v>44249</v>
      </c>
      <c r="F1135" s="1">
        <v>44254</v>
      </c>
      <c r="G1135">
        <v>5</v>
      </c>
      <c r="H1135">
        <v>124.45</v>
      </c>
      <c r="I1135">
        <v>1493.4</v>
      </c>
      <c r="J1135">
        <v>4000</v>
      </c>
      <c r="K1135" t="s">
        <v>27</v>
      </c>
      <c r="L1135">
        <v>4000</v>
      </c>
      <c r="M1135">
        <v>6.58</v>
      </c>
      <c r="N1135" t="s">
        <v>49</v>
      </c>
      <c r="O1135">
        <v>79</v>
      </c>
      <c r="P1135">
        <v>43</v>
      </c>
      <c r="Q1135">
        <v>1</v>
      </c>
      <c r="R1135">
        <v>7</v>
      </c>
      <c r="S1135" t="s">
        <v>29</v>
      </c>
      <c r="T1135" t="s">
        <v>30</v>
      </c>
      <c r="U1135" t="s">
        <v>31</v>
      </c>
      <c r="V1135" t="s">
        <v>32</v>
      </c>
      <c r="W1135">
        <v>1</v>
      </c>
      <c r="X1135">
        <v>0</v>
      </c>
      <c r="Y1135" s="2">
        <f>Table1[[#This Row],[premium_yearly]]*Table1[[#This Row],[tenure_years]]</f>
        <v>9826.5720000000001</v>
      </c>
      <c r="Z1135" s="2">
        <f>Table1[[#This Row],[total_collected_premiums]]*(1-$AD$2)</f>
        <v>7173.3975600000003</v>
      </c>
      <c r="AA1135" s="2">
        <f>Table1[[#This Row],[retained_premium]]-Table1[[#This Row],[claim_amount_paid]]</f>
        <v>3173.3975600000003</v>
      </c>
    </row>
    <row r="1136" spans="1:27" x14ac:dyDescent="0.35">
      <c r="A1136" t="s">
        <v>3447</v>
      </c>
      <c r="B1136" t="s">
        <v>3448</v>
      </c>
      <c r="C1136" t="s">
        <v>3449</v>
      </c>
      <c r="D1136" s="1">
        <v>42029</v>
      </c>
      <c r="E1136" s="1">
        <v>44257</v>
      </c>
      <c r="F1136" s="1">
        <v>44262</v>
      </c>
      <c r="G1136">
        <v>5</v>
      </c>
      <c r="H1136">
        <v>127.47</v>
      </c>
      <c r="I1136">
        <v>1529.64</v>
      </c>
      <c r="J1136">
        <v>7000</v>
      </c>
      <c r="K1136" t="s">
        <v>27</v>
      </c>
      <c r="L1136">
        <v>7000</v>
      </c>
      <c r="M1136">
        <v>2.25</v>
      </c>
      <c r="N1136" t="s">
        <v>36</v>
      </c>
      <c r="O1136">
        <v>27</v>
      </c>
      <c r="P1136">
        <v>35</v>
      </c>
      <c r="Q1136">
        <v>1</v>
      </c>
      <c r="R1136">
        <v>4</v>
      </c>
      <c r="S1136" t="s">
        <v>29</v>
      </c>
      <c r="T1136" t="s">
        <v>30</v>
      </c>
      <c r="U1136" t="s">
        <v>88</v>
      </c>
      <c r="V1136" t="s">
        <v>39</v>
      </c>
      <c r="W1136">
        <v>1</v>
      </c>
      <c r="X1136">
        <v>0</v>
      </c>
      <c r="Y1136" s="2">
        <f>Table1[[#This Row],[premium_yearly]]*Table1[[#This Row],[tenure_years]]</f>
        <v>3441.69</v>
      </c>
      <c r="Z1136" s="2">
        <f>Table1[[#This Row],[total_collected_premiums]]*(1-$AD$2)</f>
        <v>2512.4337</v>
      </c>
      <c r="AA1136" s="2">
        <f>Table1[[#This Row],[retained_premium]]-Table1[[#This Row],[claim_amount_paid]]</f>
        <v>-4487.5663000000004</v>
      </c>
    </row>
    <row r="1137" spans="1:27" x14ac:dyDescent="0.35">
      <c r="A1137" t="s">
        <v>3450</v>
      </c>
      <c r="B1137" t="s">
        <v>3451</v>
      </c>
      <c r="C1137" t="s">
        <v>3452</v>
      </c>
      <c r="D1137" s="1">
        <v>40524</v>
      </c>
      <c r="E1137" s="1">
        <v>44260</v>
      </c>
      <c r="F1137" s="1">
        <v>44263</v>
      </c>
      <c r="G1137">
        <v>3</v>
      </c>
      <c r="H1137">
        <v>71.290000000000006</v>
      </c>
      <c r="I1137">
        <v>855.48</v>
      </c>
      <c r="J1137">
        <v>9000</v>
      </c>
      <c r="K1137" t="s">
        <v>27</v>
      </c>
      <c r="L1137">
        <v>9000</v>
      </c>
      <c r="M1137">
        <v>1.17</v>
      </c>
      <c r="N1137" t="s">
        <v>28</v>
      </c>
      <c r="O1137">
        <v>14</v>
      </c>
      <c r="P1137">
        <v>26</v>
      </c>
      <c r="Q1137">
        <v>1</v>
      </c>
      <c r="R1137">
        <v>2</v>
      </c>
      <c r="S1137" t="s">
        <v>65</v>
      </c>
      <c r="T1137" t="s">
        <v>30</v>
      </c>
      <c r="U1137" t="s">
        <v>38</v>
      </c>
      <c r="V1137" t="s">
        <v>39</v>
      </c>
      <c r="W1137">
        <v>0</v>
      </c>
      <c r="X1137">
        <v>1</v>
      </c>
      <c r="Y1137" s="2">
        <f>Table1[[#This Row],[premium_yearly]]*Table1[[#This Row],[tenure_years]]</f>
        <v>1000.9115999999999</v>
      </c>
      <c r="Z1137" s="2">
        <f>Table1[[#This Row],[total_collected_premiums]]*(1-$AD$2)</f>
        <v>730.66546799999992</v>
      </c>
      <c r="AA1137" s="2">
        <f>Table1[[#This Row],[retained_premium]]-Table1[[#This Row],[claim_amount_paid]]</f>
        <v>-8269.3345320000008</v>
      </c>
    </row>
    <row r="1138" spans="1:27" x14ac:dyDescent="0.35">
      <c r="A1138" t="s">
        <v>3453</v>
      </c>
      <c r="B1138" t="s">
        <v>3454</v>
      </c>
      <c r="C1138" t="s">
        <v>3455</v>
      </c>
      <c r="D1138" s="1">
        <v>42448</v>
      </c>
      <c r="E1138" s="1">
        <v>44250</v>
      </c>
      <c r="F1138" s="1">
        <v>44255</v>
      </c>
      <c r="G1138">
        <v>5</v>
      </c>
      <c r="H1138">
        <v>101.56</v>
      </c>
      <c r="I1138">
        <v>1218.72</v>
      </c>
      <c r="J1138">
        <v>7000</v>
      </c>
      <c r="K1138" t="s">
        <v>27</v>
      </c>
      <c r="L1138">
        <v>7000</v>
      </c>
      <c r="M1138">
        <v>0.75</v>
      </c>
      <c r="N1138" t="s">
        <v>28</v>
      </c>
      <c r="O1138">
        <v>9</v>
      </c>
      <c r="P1138">
        <v>58</v>
      </c>
      <c r="Q1138">
        <v>1</v>
      </c>
      <c r="R1138">
        <v>4</v>
      </c>
      <c r="S1138" t="s">
        <v>65</v>
      </c>
      <c r="T1138" t="s">
        <v>30</v>
      </c>
      <c r="U1138" t="s">
        <v>38</v>
      </c>
      <c r="V1138" t="s">
        <v>39</v>
      </c>
      <c r="W1138">
        <v>1</v>
      </c>
      <c r="X1138">
        <v>1</v>
      </c>
      <c r="Y1138" s="2">
        <f>Table1[[#This Row],[premium_yearly]]*Table1[[#This Row],[tenure_years]]</f>
        <v>914.04</v>
      </c>
      <c r="Z1138" s="2">
        <f>Table1[[#This Row],[total_collected_premiums]]*(1-$AD$2)</f>
        <v>667.24919999999997</v>
      </c>
      <c r="AA1138" s="2">
        <f>Table1[[#This Row],[retained_premium]]-Table1[[#This Row],[claim_amount_paid]]</f>
        <v>-6332.7507999999998</v>
      </c>
    </row>
    <row r="1139" spans="1:27" x14ac:dyDescent="0.35">
      <c r="A1139" t="s">
        <v>3456</v>
      </c>
      <c r="B1139" t="s">
        <v>3457</v>
      </c>
      <c r="C1139" t="s">
        <v>3458</v>
      </c>
      <c r="D1139" s="1">
        <v>42623</v>
      </c>
      <c r="E1139" s="1">
        <v>44257</v>
      </c>
      <c r="F1139" s="1">
        <v>44262</v>
      </c>
      <c r="G1139">
        <v>5</v>
      </c>
      <c r="H1139">
        <v>129.41</v>
      </c>
      <c r="I1139">
        <v>1552.92</v>
      </c>
      <c r="J1139">
        <v>6000</v>
      </c>
      <c r="K1139" t="s">
        <v>27</v>
      </c>
      <c r="L1139">
        <v>6000</v>
      </c>
      <c r="M1139">
        <v>4</v>
      </c>
      <c r="N1139" t="s">
        <v>36</v>
      </c>
      <c r="O1139">
        <v>48</v>
      </c>
      <c r="P1139">
        <v>63</v>
      </c>
      <c r="Q1139">
        <v>0</v>
      </c>
      <c r="R1139">
        <v>3</v>
      </c>
      <c r="S1139" t="s">
        <v>65</v>
      </c>
      <c r="T1139" t="s">
        <v>30</v>
      </c>
      <c r="U1139" t="s">
        <v>58</v>
      </c>
      <c r="V1139" t="s">
        <v>39</v>
      </c>
      <c r="W1139">
        <v>0</v>
      </c>
      <c r="X1139">
        <v>1</v>
      </c>
      <c r="Y1139" s="2">
        <f>Table1[[#This Row],[premium_yearly]]*Table1[[#This Row],[tenure_years]]</f>
        <v>6211.68</v>
      </c>
      <c r="Z1139" s="2">
        <f>Table1[[#This Row],[total_collected_premiums]]*(1-$AD$2)</f>
        <v>4534.5263999999997</v>
      </c>
      <c r="AA1139" s="2">
        <f>Table1[[#This Row],[retained_premium]]-Table1[[#This Row],[claim_amount_paid]]</f>
        <v>-1465.4736000000003</v>
      </c>
    </row>
    <row r="1140" spans="1:27" x14ac:dyDescent="0.35">
      <c r="A1140" t="s">
        <v>3459</v>
      </c>
      <c r="B1140" t="s">
        <v>3460</v>
      </c>
      <c r="C1140" t="s">
        <v>3461</v>
      </c>
      <c r="D1140" s="1">
        <v>41860</v>
      </c>
      <c r="E1140" s="1">
        <v>44268</v>
      </c>
      <c r="F1140" s="1">
        <v>44268</v>
      </c>
      <c r="G1140">
        <v>0</v>
      </c>
      <c r="H1140">
        <v>116.24</v>
      </c>
      <c r="I1140">
        <v>1394.88</v>
      </c>
      <c r="J1140">
        <v>10000</v>
      </c>
      <c r="K1140" t="s">
        <v>43</v>
      </c>
      <c r="L1140">
        <v>0</v>
      </c>
      <c r="M1140">
        <v>7.58</v>
      </c>
      <c r="N1140" t="s">
        <v>49</v>
      </c>
      <c r="O1140">
        <v>91</v>
      </c>
      <c r="P1140">
        <v>53</v>
      </c>
      <c r="Q1140">
        <v>1</v>
      </c>
      <c r="R1140">
        <v>6</v>
      </c>
      <c r="S1140" t="s">
        <v>29</v>
      </c>
      <c r="T1140" t="s">
        <v>44</v>
      </c>
      <c r="U1140" t="s">
        <v>38</v>
      </c>
      <c r="V1140" t="s">
        <v>39</v>
      </c>
      <c r="W1140">
        <v>1</v>
      </c>
      <c r="X1140">
        <v>1</v>
      </c>
      <c r="Y1140" s="2">
        <f>Table1[[#This Row],[premium_yearly]]*Table1[[#This Row],[tenure_years]]</f>
        <v>10573.190400000001</v>
      </c>
      <c r="Z1140" s="2">
        <f>Table1[[#This Row],[total_collected_premiums]]*(1-$AD$2)</f>
        <v>7718.428992000001</v>
      </c>
      <c r="AA1140" s="2">
        <f>Table1[[#This Row],[retained_premium]]-Table1[[#This Row],[claim_amount_paid]]</f>
        <v>7718.428992000001</v>
      </c>
    </row>
    <row r="1141" spans="1:27" x14ac:dyDescent="0.35">
      <c r="A1141" t="s">
        <v>3462</v>
      </c>
      <c r="B1141" t="s">
        <v>3463</v>
      </c>
      <c r="C1141" t="s">
        <v>3464</v>
      </c>
      <c r="D1141" s="1">
        <v>42413</v>
      </c>
      <c r="E1141" s="1">
        <v>44264</v>
      </c>
      <c r="F1141" s="1">
        <v>44265</v>
      </c>
      <c r="G1141">
        <v>1</v>
      </c>
      <c r="H1141">
        <v>97.85</v>
      </c>
      <c r="I1141">
        <v>1174.2</v>
      </c>
      <c r="J1141">
        <v>8000</v>
      </c>
      <c r="K1141" t="s">
        <v>27</v>
      </c>
      <c r="L1141">
        <v>8000</v>
      </c>
      <c r="M1141">
        <v>9.08</v>
      </c>
      <c r="N1141" t="s">
        <v>28</v>
      </c>
      <c r="O1141">
        <v>109</v>
      </c>
      <c r="P1141">
        <v>30</v>
      </c>
      <c r="Q1141">
        <v>0</v>
      </c>
      <c r="R1141">
        <v>2</v>
      </c>
      <c r="S1141" t="s">
        <v>37</v>
      </c>
      <c r="T1141" t="s">
        <v>30</v>
      </c>
      <c r="U1141" t="s">
        <v>31</v>
      </c>
      <c r="V1141" t="s">
        <v>32</v>
      </c>
      <c r="W1141">
        <v>1</v>
      </c>
      <c r="X1141">
        <v>1</v>
      </c>
      <c r="Y1141" s="2">
        <f>Table1[[#This Row],[premium_yearly]]*Table1[[#This Row],[tenure_years]]</f>
        <v>10661.736000000001</v>
      </c>
      <c r="Z1141" s="2">
        <f>Table1[[#This Row],[total_collected_premiums]]*(1-$AD$2)</f>
        <v>7783.0672800000002</v>
      </c>
      <c r="AA1141" s="2">
        <f>Table1[[#This Row],[retained_premium]]-Table1[[#This Row],[claim_amount_paid]]</f>
        <v>-216.93271999999979</v>
      </c>
    </row>
    <row r="1142" spans="1:27" x14ac:dyDescent="0.35">
      <c r="A1142" t="s">
        <v>3465</v>
      </c>
      <c r="B1142" t="s">
        <v>3466</v>
      </c>
      <c r="C1142" t="s">
        <v>3467</v>
      </c>
      <c r="D1142" s="1">
        <v>43048</v>
      </c>
      <c r="E1142" s="1">
        <v>44251</v>
      </c>
      <c r="F1142" s="1">
        <v>44256</v>
      </c>
      <c r="G1142">
        <v>5</v>
      </c>
      <c r="H1142">
        <v>77.33</v>
      </c>
      <c r="I1142">
        <v>927.96</v>
      </c>
      <c r="J1142">
        <v>6000</v>
      </c>
      <c r="K1142" t="s">
        <v>27</v>
      </c>
      <c r="L1142">
        <v>6000</v>
      </c>
      <c r="M1142">
        <v>3.75</v>
      </c>
      <c r="N1142" t="s">
        <v>28</v>
      </c>
      <c r="O1142">
        <v>45</v>
      </c>
      <c r="P1142">
        <v>55</v>
      </c>
      <c r="Q1142">
        <v>0</v>
      </c>
      <c r="R1142">
        <v>3</v>
      </c>
      <c r="S1142" t="s">
        <v>65</v>
      </c>
      <c r="T1142" t="s">
        <v>50</v>
      </c>
      <c r="U1142" t="s">
        <v>38</v>
      </c>
      <c r="V1142" t="s">
        <v>32</v>
      </c>
      <c r="W1142">
        <v>1</v>
      </c>
      <c r="X1142">
        <v>1</v>
      </c>
      <c r="Y1142" s="2">
        <f>Table1[[#This Row],[premium_yearly]]*Table1[[#This Row],[tenure_years]]</f>
        <v>3479.8500000000004</v>
      </c>
      <c r="Z1142" s="2">
        <f>Table1[[#This Row],[total_collected_premiums]]*(1-$AD$2)</f>
        <v>2540.2905000000001</v>
      </c>
      <c r="AA1142" s="2">
        <f>Table1[[#This Row],[retained_premium]]-Table1[[#This Row],[claim_amount_paid]]</f>
        <v>-3459.7094999999999</v>
      </c>
    </row>
    <row r="1143" spans="1:27" x14ac:dyDescent="0.35">
      <c r="A1143" t="s">
        <v>3468</v>
      </c>
      <c r="B1143" t="s">
        <v>3469</v>
      </c>
      <c r="C1143" t="s">
        <v>3470</v>
      </c>
      <c r="D1143" s="1">
        <v>43300</v>
      </c>
      <c r="E1143" s="1">
        <v>44262</v>
      </c>
      <c r="F1143" s="1">
        <v>44265</v>
      </c>
      <c r="G1143">
        <v>3</v>
      </c>
      <c r="H1143">
        <v>117.1</v>
      </c>
      <c r="I1143">
        <v>1405.2</v>
      </c>
      <c r="J1143">
        <v>6000</v>
      </c>
      <c r="K1143" t="s">
        <v>27</v>
      </c>
      <c r="L1143">
        <v>6000</v>
      </c>
      <c r="M1143">
        <v>1.25</v>
      </c>
      <c r="N1143" t="s">
        <v>49</v>
      </c>
      <c r="O1143">
        <v>15</v>
      </c>
      <c r="P1143">
        <v>35</v>
      </c>
      <c r="Q1143">
        <v>0</v>
      </c>
      <c r="R1143">
        <v>3</v>
      </c>
      <c r="S1143" t="s">
        <v>65</v>
      </c>
      <c r="T1143" t="s">
        <v>50</v>
      </c>
      <c r="U1143" t="s">
        <v>38</v>
      </c>
      <c r="V1143" t="s">
        <v>32</v>
      </c>
      <c r="W1143">
        <v>0</v>
      </c>
      <c r="X1143">
        <v>1</v>
      </c>
      <c r="Y1143" s="2">
        <f>Table1[[#This Row],[premium_yearly]]*Table1[[#This Row],[tenure_years]]</f>
        <v>1756.5</v>
      </c>
      <c r="Z1143" s="2">
        <f>Table1[[#This Row],[total_collected_premiums]]*(1-$AD$2)</f>
        <v>1282.2449999999999</v>
      </c>
      <c r="AA1143" s="2">
        <f>Table1[[#This Row],[retained_premium]]-Table1[[#This Row],[claim_amount_paid]]</f>
        <v>-4717.7550000000001</v>
      </c>
    </row>
    <row r="1144" spans="1:27" x14ac:dyDescent="0.35">
      <c r="A1144" t="s">
        <v>3471</v>
      </c>
      <c r="B1144" t="s">
        <v>3472</v>
      </c>
      <c r="C1144" t="s">
        <v>3473</v>
      </c>
      <c r="D1144" s="1">
        <v>42875</v>
      </c>
      <c r="E1144" s="1">
        <v>44270</v>
      </c>
      <c r="F1144" s="1">
        <v>44270</v>
      </c>
      <c r="G1144">
        <v>0</v>
      </c>
      <c r="H1144">
        <v>123.65</v>
      </c>
      <c r="I1144">
        <v>1483.8</v>
      </c>
      <c r="J1144">
        <v>1000</v>
      </c>
      <c r="K1144" t="s">
        <v>27</v>
      </c>
      <c r="L1144">
        <v>1000</v>
      </c>
      <c r="M1144">
        <v>6.5</v>
      </c>
      <c r="N1144" t="s">
        <v>49</v>
      </c>
      <c r="O1144">
        <v>78</v>
      </c>
      <c r="P1144">
        <v>35</v>
      </c>
      <c r="Q1144">
        <v>0</v>
      </c>
      <c r="R1144">
        <v>4</v>
      </c>
      <c r="S1144" t="s">
        <v>37</v>
      </c>
      <c r="T1144" t="s">
        <v>50</v>
      </c>
      <c r="U1144" t="s">
        <v>38</v>
      </c>
      <c r="V1144" t="s">
        <v>39</v>
      </c>
      <c r="W1144">
        <v>1</v>
      </c>
      <c r="X1144">
        <v>1</v>
      </c>
      <c r="Y1144" s="2">
        <f>Table1[[#This Row],[premium_yearly]]*Table1[[#This Row],[tenure_years]]</f>
        <v>9644.6999999999989</v>
      </c>
      <c r="Z1144" s="2">
        <f>Table1[[#This Row],[total_collected_premiums]]*(1-$AD$2)</f>
        <v>7040.6309999999994</v>
      </c>
      <c r="AA1144" s="2">
        <f>Table1[[#This Row],[retained_premium]]-Table1[[#This Row],[claim_amount_paid]]</f>
        <v>6040.6309999999994</v>
      </c>
    </row>
    <row r="1145" spans="1:27" x14ac:dyDescent="0.35">
      <c r="A1145" t="s">
        <v>3474</v>
      </c>
      <c r="B1145" t="s">
        <v>3475</v>
      </c>
      <c r="C1145" t="s">
        <v>3476</v>
      </c>
      <c r="D1145" s="1">
        <v>43728</v>
      </c>
      <c r="E1145" s="1">
        <v>44270</v>
      </c>
      <c r="F1145" s="1">
        <v>44270</v>
      </c>
      <c r="G1145">
        <v>0</v>
      </c>
      <c r="H1145">
        <v>104.92</v>
      </c>
      <c r="I1145">
        <v>1259.04</v>
      </c>
      <c r="J1145">
        <v>3000</v>
      </c>
      <c r="K1145" t="s">
        <v>27</v>
      </c>
      <c r="L1145">
        <v>3000</v>
      </c>
      <c r="M1145">
        <v>1.5</v>
      </c>
      <c r="N1145" t="s">
        <v>28</v>
      </c>
      <c r="O1145">
        <v>18</v>
      </c>
      <c r="P1145">
        <v>38</v>
      </c>
      <c r="Q1145">
        <v>0</v>
      </c>
      <c r="R1145">
        <v>6</v>
      </c>
      <c r="S1145" t="s">
        <v>29</v>
      </c>
      <c r="T1145" t="s">
        <v>30</v>
      </c>
      <c r="U1145" t="s">
        <v>38</v>
      </c>
      <c r="V1145" t="s">
        <v>45</v>
      </c>
      <c r="W1145">
        <v>1</v>
      </c>
      <c r="X1145">
        <v>1</v>
      </c>
      <c r="Y1145" s="2">
        <f>Table1[[#This Row],[premium_yearly]]*Table1[[#This Row],[tenure_years]]</f>
        <v>1888.56</v>
      </c>
      <c r="Z1145" s="2">
        <f>Table1[[#This Row],[total_collected_premiums]]*(1-$AD$2)</f>
        <v>1378.6487999999999</v>
      </c>
      <c r="AA1145" s="2">
        <f>Table1[[#This Row],[retained_premium]]-Table1[[#This Row],[claim_amount_paid]]</f>
        <v>-1621.3512000000001</v>
      </c>
    </row>
    <row r="1146" spans="1:27" x14ac:dyDescent="0.35">
      <c r="A1146" t="s">
        <v>3477</v>
      </c>
      <c r="B1146" t="s">
        <v>3478</v>
      </c>
      <c r="C1146" t="s">
        <v>3479</v>
      </c>
      <c r="D1146" s="1">
        <v>43791</v>
      </c>
      <c r="E1146" s="1">
        <v>44252</v>
      </c>
      <c r="F1146" s="1">
        <v>44257</v>
      </c>
      <c r="G1146">
        <v>5</v>
      </c>
      <c r="H1146">
        <v>85.13</v>
      </c>
      <c r="I1146">
        <v>1021.56</v>
      </c>
      <c r="J1146">
        <v>2000</v>
      </c>
      <c r="K1146" t="s">
        <v>27</v>
      </c>
      <c r="L1146">
        <v>2000</v>
      </c>
      <c r="M1146">
        <v>4</v>
      </c>
      <c r="N1146" t="s">
        <v>49</v>
      </c>
      <c r="O1146">
        <v>48</v>
      </c>
      <c r="P1146">
        <v>31</v>
      </c>
      <c r="Q1146">
        <v>0</v>
      </c>
      <c r="R1146">
        <v>7</v>
      </c>
      <c r="S1146" t="s">
        <v>29</v>
      </c>
      <c r="T1146" t="s">
        <v>30</v>
      </c>
      <c r="U1146" t="s">
        <v>66</v>
      </c>
      <c r="V1146" t="s">
        <v>39</v>
      </c>
      <c r="W1146">
        <v>1</v>
      </c>
      <c r="X1146">
        <v>0</v>
      </c>
      <c r="Y1146" s="2">
        <f>Table1[[#This Row],[premium_yearly]]*Table1[[#This Row],[tenure_years]]</f>
        <v>4086.24</v>
      </c>
      <c r="Z1146" s="2">
        <f>Table1[[#This Row],[total_collected_premiums]]*(1-$AD$2)</f>
        <v>2982.9551999999999</v>
      </c>
      <c r="AA1146" s="2">
        <f>Table1[[#This Row],[retained_premium]]-Table1[[#This Row],[claim_amount_paid]]</f>
        <v>982.95519999999988</v>
      </c>
    </row>
    <row r="1147" spans="1:27" x14ac:dyDescent="0.35">
      <c r="A1147" t="s">
        <v>3480</v>
      </c>
      <c r="B1147" t="s">
        <v>3481</v>
      </c>
      <c r="C1147" t="s">
        <v>3482</v>
      </c>
      <c r="D1147" s="1">
        <v>42335</v>
      </c>
      <c r="E1147" s="1">
        <v>44253</v>
      </c>
      <c r="F1147" s="1">
        <v>44258</v>
      </c>
      <c r="G1147">
        <v>5</v>
      </c>
      <c r="H1147">
        <v>99.76</v>
      </c>
      <c r="I1147">
        <v>1197.1199999999999</v>
      </c>
      <c r="J1147">
        <v>10000</v>
      </c>
      <c r="K1147" t="s">
        <v>27</v>
      </c>
      <c r="L1147">
        <v>10000</v>
      </c>
      <c r="M1147">
        <v>3.08</v>
      </c>
      <c r="N1147" t="s">
        <v>28</v>
      </c>
      <c r="O1147">
        <v>37</v>
      </c>
      <c r="P1147">
        <v>30</v>
      </c>
      <c r="Q1147">
        <v>1</v>
      </c>
      <c r="R1147">
        <v>3</v>
      </c>
      <c r="S1147" t="s">
        <v>29</v>
      </c>
      <c r="T1147" t="s">
        <v>44</v>
      </c>
      <c r="U1147" t="s">
        <v>66</v>
      </c>
      <c r="V1147" t="s">
        <v>39</v>
      </c>
      <c r="W1147">
        <v>1</v>
      </c>
      <c r="X1147">
        <v>1</v>
      </c>
      <c r="Y1147" s="2">
        <f>Table1[[#This Row],[premium_yearly]]*Table1[[#This Row],[tenure_years]]</f>
        <v>3687.1295999999998</v>
      </c>
      <c r="Z1147" s="2">
        <f>Table1[[#This Row],[total_collected_premiums]]*(1-$AD$2)</f>
        <v>2691.6046079999996</v>
      </c>
      <c r="AA1147" s="2">
        <f>Table1[[#This Row],[retained_premium]]-Table1[[#This Row],[claim_amount_paid]]</f>
        <v>-7308.3953920000004</v>
      </c>
    </row>
    <row r="1148" spans="1:27" x14ac:dyDescent="0.35">
      <c r="A1148" t="s">
        <v>3483</v>
      </c>
      <c r="B1148" t="s">
        <v>3484</v>
      </c>
      <c r="C1148" t="s">
        <v>3485</v>
      </c>
      <c r="D1148" s="1">
        <v>43604</v>
      </c>
      <c r="E1148" s="1">
        <v>44254</v>
      </c>
      <c r="F1148" s="1">
        <v>44259</v>
      </c>
      <c r="G1148">
        <v>5</v>
      </c>
      <c r="H1148">
        <v>103.34</v>
      </c>
      <c r="I1148">
        <v>1240.08</v>
      </c>
      <c r="J1148">
        <v>6000</v>
      </c>
      <c r="K1148" t="s">
        <v>27</v>
      </c>
      <c r="L1148">
        <v>6000</v>
      </c>
      <c r="M1148">
        <v>5.58</v>
      </c>
      <c r="N1148" t="s">
        <v>49</v>
      </c>
      <c r="O1148">
        <v>67</v>
      </c>
      <c r="P1148">
        <v>50</v>
      </c>
      <c r="Q1148">
        <v>0</v>
      </c>
      <c r="R1148">
        <v>3</v>
      </c>
      <c r="S1148" t="s">
        <v>37</v>
      </c>
      <c r="T1148" t="s">
        <v>30</v>
      </c>
      <c r="U1148" t="s">
        <v>107</v>
      </c>
      <c r="V1148" t="s">
        <v>32</v>
      </c>
      <c r="W1148">
        <v>0</v>
      </c>
      <c r="X1148">
        <v>0</v>
      </c>
      <c r="Y1148" s="2">
        <f>Table1[[#This Row],[premium_yearly]]*Table1[[#This Row],[tenure_years]]</f>
        <v>6919.6463999999996</v>
      </c>
      <c r="Z1148" s="2">
        <f>Table1[[#This Row],[total_collected_premiums]]*(1-$AD$2)</f>
        <v>5051.341872</v>
      </c>
      <c r="AA1148" s="2">
        <f>Table1[[#This Row],[retained_premium]]-Table1[[#This Row],[claim_amount_paid]]</f>
        <v>-948.65812800000003</v>
      </c>
    </row>
    <row r="1149" spans="1:27" x14ac:dyDescent="0.35">
      <c r="A1149" t="s">
        <v>3486</v>
      </c>
      <c r="B1149" t="s">
        <v>3487</v>
      </c>
      <c r="C1149" t="s">
        <v>3488</v>
      </c>
      <c r="D1149" s="1">
        <v>40813</v>
      </c>
      <c r="E1149" s="1">
        <v>44269</v>
      </c>
      <c r="F1149" s="1">
        <v>44269</v>
      </c>
      <c r="G1149">
        <v>0</v>
      </c>
      <c r="H1149">
        <v>87.65</v>
      </c>
      <c r="I1149">
        <v>1051.8</v>
      </c>
      <c r="J1149">
        <v>6000</v>
      </c>
      <c r="K1149" t="s">
        <v>27</v>
      </c>
      <c r="L1149">
        <v>6000</v>
      </c>
      <c r="M1149">
        <v>1.92</v>
      </c>
      <c r="N1149" t="s">
        <v>28</v>
      </c>
      <c r="O1149">
        <v>23</v>
      </c>
      <c r="P1149">
        <v>56</v>
      </c>
      <c r="Q1149">
        <v>1</v>
      </c>
      <c r="R1149">
        <v>4</v>
      </c>
      <c r="S1149" t="s">
        <v>65</v>
      </c>
      <c r="T1149" t="s">
        <v>30</v>
      </c>
      <c r="U1149" t="s">
        <v>58</v>
      </c>
      <c r="V1149" t="s">
        <v>32</v>
      </c>
      <c r="W1149">
        <v>0</v>
      </c>
      <c r="X1149">
        <v>1</v>
      </c>
      <c r="Y1149" s="2">
        <f>Table1[[#This Row],[premium_yearly]]*Table1[[#This Row],[tenure_years]]</f>
        <v>2019.4559999999999</v>
      </c>
      <c r="Z1149" s="2">
        <f>Table1[[#This Row],[total_collected_premiums]]*(1-$AD$2)</f>
        <v>1474.2028799999998</v>
      </c>
      <c r="AA1149" s="2">
        <f>Table1[[#This Row],[retained_premium]]-Table1[[#This Row],[claim_amount_paid]]</f>
        <v>-4525.7971200000002</v>
      </c>
    </row>
    <row r="1150" spans="1:27" x14ac:dyDescent="0.35">
      <c r="A1150" t="s">
        <v>3489</v>
      </c>
      <c r="B1150" t="s">
        <v>3490</v>
      </c>
      <c r="C1150" t="s">
        <v>3491</v>
      </c>
      <c r="D1150" s="1">
        <v>41510</v>
      </c>
      <c r="E1150" s="1">
        <v>44259</v>
      </c>
      <c r="F1150" s="1">
        <v>44264</v>
      </c>
      <c r="G1150">
        <v>5</v>
      </c>
      <c r="H1150">
        <v>135.99</v>
      </c>
      <c r="I1150">
        <v>1631.88</v>
      </c>
      <c r="J1150">
        <v>7000</v>
      </c>
      <c r="K1150" t="s">
        <v>27</v>
      </c>
      <c r="L1150">
        <v>7000</v>
      </c>
      <c r="M1150">
        <v>6.67</v>
      </c>
      <c r="N1150" t="s">
        <v>28</v>
      </c>
      <c r="O1150">
        <v>80</v>
      </c>
      <c r="P1150">
        <v>46</v>
      </c>
      <c r="Q1150">
        <v>0</v>
      </c>
      <c r="R1150">
        <v>6</v>
      </c>
      <c r="S1150" t="s">
        <v>65</v>
      </c>
      <c r="T1150" t="s">
        <v>30</v>
      </c>
      <c r="U1150" t="s">
        <v>31</v>
      </c>
      <c r="V1150" t="s">
        <v>32</v>
      </c>
      <c r="W1150">
        <v>1</v>
      </c>
      <c r="X1150">
        <v>1</v>
      </c>
      <c r="Y1150" s="2">
        <f>Table1[[#This Row],[premium_yearly]]*Table1[[#This Row],[tenure_years]]</f>
        <v>10884.6396</v>
      </c>
      <c r="Z1150" s="2">
        <f>Table1[[#This Row],[total_collected_premiums]]*(1-$AD$2)</f>
        <v>7945.786908</v>
      </c>
      <c r="AA1150" s="2">
        <f>Table1[[#This Row],[retained_premium]]-Table1[[#This Row],[claim_amount_paid]]</f>
        <v>945.78690800000004</v>
      </c>
    </row>
    <row r="1151" spans="1:27" x14ac:dyDescent="0.35">
      <c r="A1151" t="s">
        <v>3492</v>
      </c>
      <c r="B1151" t="s">
        <v>3493</v>
      </c>
      <c r="C1151" t="s">
        <v>3494</v>
      </c>
      <c r="D1151" s="1">
        <v>41387</v>
      </c>
      <c r="E1151" s="1">
        <v>44265</v>
      </c>
      <c r="F1151" s="1">
        <v>44267</v>
      </c>
      <c r="G1151">
        <v>2</v>
      </c>
      <c r="H1151">
        <v>120.8</v>
      </c>
      <c r="I1151">
        <v>1449.6</v>
      </c>
      <c r="J1151">
        <v>9000</v>
      </c>
      <c r="K1151" t="s">
        <v>27</v>
      </c>
      <c r="L1151">
        <v>9000</v>
      </c>
      <c r="M1151">
        <v>2.5</v>
      </c>
      <c r="N1151" t="s">
        <v>28</v>
      </c>
      <c r="O1151">
        <v>30</v>
      </c>
      <c r="P1151">
        <v>55</v>
      </c>
      <c r="Q1151">
        <v>1</v>
      </c>
      <c r="R1151">
        <v>7</v>
      </c>
      <c r="S1151" t="s">
        <v>65</v>
      </c>
      <c r="T1151" t="s">
        <v>50</v>
      </c>
      <c r="U1151" t="s">
        <v>31</v>
      </c>
      <c r="V1151" t="s">
        <v>32</v>
      </c>
      <c r="W1151">
        <v>1</v>
      </c>
      <c r="X1151">
        <v>1</v>
      </c>
      <c r="Y1151" s="2">
        <f>Table1[[#This Row],[premium_yearly]]*Table1[[#This Row],[tenure_years]]</f>
        <v>3624</v>
      </c>
      <c r="Z1151" s="2">
        <f>Table1[[#This Row],[total_collected_premiums]]*(1-$AD$2)</f>
        <v>2645.52</v>
      </c>
      <c r="AA1151" s="2">
        <f>Table1[[#This Row],[retained_premium]]-Table1[[#This Row],[claim_amount_paid]]</f>
        <v>-6354.48</v>
      </c>
    </row>
    <row r="1152" spans="1:27" x14ac:dyDescent="0.35">
      <c r="A1152" t="s">
        <v>3495</v>
      </c>
      <c r="B1152" t="s">
        <v>3496</v>
      </c>
      <c r="C1152" t="s">
        <v>3497</v>
      </c>
      <c r="D1152" s="1">
        <v>42053</v>
      </c>
      <c r="E1152" s="1">
        <v>44266</v>
      </c>
      <c r="F1152" s="1">
        <v>44268</v>
      </c>
      <c r="G1152">
        <v>2</v>
      </c>
      <c r="H1152">
        <v>124.01</v>
      </c>
      <c r="I1152">
        <v>1488.12</v>
      </c>
      <c r="J1152">
        <v>2000</v>
      </c>
      <c r="K1152" t="s">
        <v>27</v>
      </c>
      <c r="L1152">
        <v>2000</v>
      </c>
      <c r="M1152">
        <v>5.67</v>
      </c>
      <c r="N1152" t="s">
        <v>49</v>
      </c>
      <c r="O1152">
        <v>68</v>
      </c>
      <c r="P1152">
        <v>62</v>
      </c>
      <c r="Q1152">
        <v>1</v>
      </c>
      <c r="R1152">
        <v>5</v>
      </c>
      <c r="S1152" t="s">
        <v>65</v>
      </c>
      <c r="T1152" t="s">
        <v>30</v>
      </c>
      <c r="U1152" t="s">
        <v>31</v>
      </c>
      <c r="V1152" t="s">
        <v>32</v>
      </c>
      <c r="W1152">
        <v>0</v>
      </c>
      <c r="X1152">
        <v>1</v>
      </c>
      <c r="Y1152" s="2">
        <f>Table1[[#This Row],[premium_yearly]]*Table1[[#This Row],[tenure_years]]</f>
        <v>8437.6403999999984</v>
      </c>
      <c r="Z1152" s="2">
        <f>Table1[[#This Row],[total_collected_premiums]]*(1-$AD$2)</f>
        <v>6159.4774919999991</v>
      </c>
      <c r="AA1152" s="2">
        <f>Table1[[#This Row],[retained_premium]]-Table1[[#This Row],[claim_amount_paid]]</f>
        <v>4159.4774919999991</v>
      </c>
    </row>
    <row r="1153" spans="1:27" x14ac:dyDescent="0.35">
      <c r="A1153" t="s">
        <v>3498</v>
      </c>
      <c r="B1153" t="s">
        <v>3499</v>
      </c>
      <c r="C1153" t="s">
        <v>3500</v>
      </c>
      <c r="D1153" s="1">
        <v>41202</v>
      </c>
      <c r="E1153" s="1">
        <v>44264</v>
      </c>
      <c r="F1153" s="1">
        <v>44267</v>
      </c>
      <c r="G1153">
        <v>3</v>
      </c>
      <c r="H1153">
        <v>111.49</v>
      </c>
      <c r="I1153">
        <v>1337.88</v>
      </c>
      <c r="J1153">
        <v>2000</v>
      </c>
      <c r="K1153" t="s">
        <v>27</v>
      </c>
      <c r="L1153">
        <v>2000</v>
      </c>
      <c r="M1153">
        <v>6.58</v>
      </c>
      <c r="N1153" t="s">
        <v>49</v>
      </c>
      <c r="O1153">
        <v>79</v>
      </c>
      <c r="P1153">
        <v>63</v>
      </c>
      <c r="Q1153">
        <v>1</v>
      </c>
      <c r="R1153">
        <v>2</v>
      </c>
      <c r="S1153" t="s">
        <v>65</v>
      </c>
      <c r="T1153" t="s">
        <v>50</v>
      </c>
      <c r="U1153" t="s">
        <v>88</v>
      </c>
      <c r="V1153" t="s">
        <v>39</v>
      </c>
      <c r="W1153">
        <v>1</v>
      </c>
      <c r="X1153">
        <v>1</v>
      </c>
      <c r="Y1153" s="2">
        <f>Table1[[#This Row],[premium_yearly]]*Table1[[#This Row],[tenure_years]]</f>
        <v>8803.2504000000008</v>
      </c>
      <c r="Z1153" s="2">
        <f>Table1[[#This Row],[total_collected_premiums]]*(1-$AD$2)</f>
        <v>6426.3727920000001</v>
      </c>
      <c r="AA1153" s="2">
        <f>Table1[[#This Row],[retained_premium]]-Table1[[#This Row],[claim_amount_paid]]</f>
        <v>4426.3727920000001</v>
      </c>
    </row>
    <row r="1154" spans="1:27" x14ac:dyDescent="0.35">
      <c r="A1154" t="s">
        <v>3501</v>
      </c>
      <c r="B1154" t="s">
        <v>3502</v>
      </c>
      <c r="C1154" t="s">
        <v>3503</v>
      </c>
      <c r="D1154" s="1">
        <v>41379</v>
      </c>
      <c r="E1154" s="1">
        <v>44262</v>
      </c>
      <c r="F1154" s="1">
        <v>44267</v>
      </c>
      <c r="G1154">
        <v>5</v>
      </c>
      <c r="H1154">
        <v>104.62</v>
      </c>
      <c r="I1154">
        <v>1255.44</v>
      </c>
      <c r="J1154">
        <v>6000</v>
      </c>
      <c r="K1154" t="s">
        <v>27</v>
      </c>
      <c r="L1154">
        <v>6000</v>
      </c>
      <c r="M1154">
        <v>7.17</v>
      </c>
      <c r="N1154" t="s">
        <v>28</v>
      </c>
      <c r="O1154">
        <v>86</v>
      </c>
      <c r="P1154">
        <v>63</v>
      </c>
      <c r="Q1154">
        <v>1</v>
      </c>
      <c r="R1154">
        <v>4</v>
      </c>
      <c r="S1154" t="s">
        <v>29</v>
      </c>
      <c r="T1154" t="s">
        <v>30</v>
      </c>
      <c r="U1154" t="s">
        <v>38</v>
      </c>
      <c r="V1154" t="s">
        <v>45</v>
      </c>
      <c r="W1154">
        <v>0</v>
      </c>
      <c r="X1154">
        <v>1</v>
      </c>
      <c r="Y1154" s="2">
        <f>Table1[[#This Row],[premium_yearly]]*Table1[[#This Row],[tenure_years]]</f>
        <v>9001.5048000000006</v>
      </c>
      <c r="Z1154" s="2">
        <f>Table1[[#This Row],[total_collected_premiums]]*(1-$AD$2)</f>
        <v>6571.0985040000005</v>
      </c>
      <c r="AA1154" s="2">
        <f>Table1[[#This Row],[retained_premium]]-Table1[[#This Row],[claim_amount_paid]]</f>
        <v>571.0985040000005</v>
      </c>
    </row>
    <row r="1155" spans="1:27" x14ac:dyDescent="0.35">
      <c r="A1155" t="s">
        <v>3504</v>
      </c>
      <c r="B1155" t="s">
        <v>3505</v>
      </c>
      <c r="C1155" t="s">
        <v>3506</v>
      </c>
      <c r="D1155" s="1">
        <v>42286</v>
      </c>
      <c r="E1155" s="1">
        <v>44261</v>
      </c>
      <c r="F1155" s="1">
        <v>44266</v>
      </c>
      <c r="G1155">
        <v>5</v>
      </c>
      <c r="H1155">
        <v>91.88</v>
      </c>
      <c r="I1155">
        <v>1102.56</v>
      </c>
      <c r="J1155">
        <v>9000</v>
      </c>
      <c r="K1155" t="s">
        <v>27</v>
      </c>
      <c r="L1155">
        <v>9000</v>
      </c>
      <c r="M1155">
        <v>4</v>
      </c>
      <c r="N1155" t="s">
        <v>28</v>
      </c>
      <c r="O1155">
        <v>48</v>
      </c>
      <c r="P1155">
        <v>60</v>
      </c>
      <c r="Q1155">
        <v>0</v>
      </c>
      <c r="R1155">
        <v>5</v>
      </c>
      <c r="S1155" t="s">
        <v>29</v>
      </c>
      <c r="T1155" t="s">
        <v>44</v>
      </c>
      <c r="U1155" t="s">
        <v>31</v>
      </c>
      <c r="V1155" t="s">
        <v>45</v>
      </c>
      <c r="W1155">
        <v>0</v>
      </c>
      <c r="X1155">
        <v>1</v>
      </c>
      <c r="Y1155" s="2">
        <f>Table1[[#This Row],[premium_yearly]]*Table1[[#This Row],[tenure_years]]</f>
        <v>4410.24</v>
      </c>
      <c r="Z1155" s="2">
        <f>Table1[[#This Row],[total_collected_premiums]]*(1-$AD$2)</f>
        <v>3219.4751999999999</v>
      </c>
      <c r="AA1155" s="2">
        <f>Table1[[#This Row],[retained_premium]]-Table1[[#This Row],[claim_amount_paid]]</f>
        <v>-5780.5248000000001</v>
      </c>
    </row>
    <row r="1156" spans="1:27" x14ac:dyDescent="0.35">
      <c r="A1156" t="s">
        <v>3507</v>
      </c>
      <c r="B1156" t="s">
        <v>3508</v>
      </c>
      <c r="C1156" t="s">
        <v>3509</v>
      </c>
      <c r="D1156" s="1">
        <v>41648</v>
      </c>
      <c r="E1156" s="1">
        <v>44255</v>
      </c>
      <c r="F1156" s="1">
        <v>44260</v>
      </c>
      <c r="G1156">
        <v>5</v>
      </c>
      <c r="H1156">
        <v>112.6</v>
      </c>
      <c r="I1156">
        <v>1351.2</v>
      </c>
      <c r="J1156">
        <v>9000</v>
      </c>
      <c r="K1156" t="s">
        <v>27</v>
      </c>
      <c r="L1156">
        <v>9000</v>
      </c>
      <c r="M1156">
        <v>3.83</v>
      </c>
      <c r="N1156" t="s">
        <v>36</v>
      </c>
      <c r="O1156">
        <v>46</v>
      </c>
      <c r="P1156">
        <v>48</v>
      </c>
      <c r="Q1156">
        <v>1</v>
      </c>
      <c r="R1156">
        <v>2</v>
      </c>
      <c r="S1156" t="s">
        <v>65</v>
      </c>
      <c r="T1156" t="s">
        <v>44</v>
      </c>
      <c r="U1156" t="s">
        <v>38</v>
      </c>
      <c r="V1156" t="s">
        <v>39</v>
      </c>
      <c r="W1156">
        <v>1</v>
      </c>
      <c r="X1156">
        <v>0</v>
      </c>
      <c r="Y1156" s="2">
        <f>Table1[[#This Row],[premium_yearly]]*Table1[[#This Row],[tenure_years]]</f>
        <v>5175.0960000000005</v>
      </c>
      <c r="Z1156" s="2">
        <f>Table1[[#This Row],[total_collected_premiums]]*(1-$AD$2)</f>
        <v>3777.8200800000004</v>
      </c>
      <c r="AA1156" s="2">
        <f>Table1[[#This Row],[retained_premium]]-Table1[[#This Row],[claim_amount_paid]]</f>
        <v>-5222.1799199999996</v>
      </c>
    </row>
    <row r="1157" spans="1:27" x14ac:dyDescent="0.35">
      <c r="A1157" t="s">
        <v>3510</v>
      </c>
      <c r="B1157" t="s">
        <v>3511</v>
      </c>
      <c r="C1157" t="s">
        <v>3512</v>
      </c>
      <c r="D1157" s="1">
        <v>41453</v>
      </c>
      <c r="E1157" s="1">
        <v>44255</v>
      </c>
      <c r="F1157" s="1">
        <v>44260</v>
      </c>
      <c r="G1157">
        <v>5</v>
      </c>
      <c r="H1157">
        <v>110</v>
      </c>
      <c r="I1157">
        <v>1320</v>
      </c>
      <c r="J1157">
        <v>2000</v>
      </c>
      <c r="K1157" t="s">
        <v>27</v>
      </c>
      <c r="L1157">
        <v>2000</v>
      </c>
      <c r="M1157">
        <v>7.67</v>
      </c>
      <c r="N1157" t="s">
        <v>36</v>
      </c>
      <c r="O1157">
        <v>92</v>
      </c>
      <c r="P1157">
        <v>45</v>
      </c>
      <c r="Q1157">
        <v>0</v>
      </c>
      <c r="R1157">
        <v>5</v>
      </c>
      <c r="S1157" t="s">
        <v>65</v>
      </c>
      <c r="T1157" t="s">
        <v>44</v>
      </c>
      <c r="U1157" t="s">
        <v>66</v>
      </c>
      <c r="V1157" t="s">
        <v>39</v>
      </c>
      <c r="W1157">
        <v>1</v>
      </c>
      <c r="X1157">
        <v>1</v>
      </c>
      <c r="Y1157" s="2">
        <f>Table1[[#This Row],[premium_yearly]]*Table1[[#This Row],[tenure_years]]</f>
        <v>10124.4</v>
      </c>
      <c r="Z1157" s="2">
        <f>Table1[[#This Row],[total_collected_premiums]]*(1-$AD$2)</f>
        <v>7390.8119999999999</v>
      </c>
      <c r="AA1157" s="2">
        <f>Table1[[#This Row],[retained_premium]]-Table1[[#This Row],[claim_amount_paid]]</f>
        <v>5390.8119999999999</v>
      </c>
    </row>
    <row r="1158" spans="1:27" x14ac:dyDescent="0.35">
      <c r="A1158" t="s">
        <v>3513</v>
      </c>
      <c r="B1158" t="s">
        <v>3514</v>
      </c>
      <c r="C1158" t="s">
        <v>3515</v>
      </c>
      <c r="D1158" s="1">
        <v>41350</v>
      </c>
      <c r="E1158" s="1">
        <v>44261</v>
      </c>
      <c r="F1158" s="1">
        <v>44266</v>
      </c>
      <c r="G1158">
        <v>5</v>
      </c>
      <c r="H1158">
        <v>85.14</v>
      </c>
      <c r="I1158">
        <v>1021.68</v>
      </c>
      <c r="J1158">
        <v>3000</v>
      </c>
      <c r="K1158" t="s">
        <v>27</v>
      </c>
      <c r="L1158">
        <v>3000</v>
      </c>
      <c r="M1158">
        <v>7.33</v>
      </c>
      <c r="N1158" t="s">
        <v>28</v>
      </c>
      <c r="O1158">
        <v>88</v>
      </c>
      <c r="P1158">
        <v>31</v>
      </c>
      <c r="Q1158">
        <v>0</v>
      </c>
      <c r="R1158">
        <v>3</v>
      </c>
      <c r="S1158" t="s">
        <v>29</v>
      </c>
      <c r="T1158" t="s">
        <v>50</v>
      </c>
      <c r="U1158" t="s">
        <v>31</v>
      </c>
      <c r="V1158" t="s">
        <v>45</v>
      </c>
      <c r="W1158">
        <v>0</v>
      </c>
      <c r="X1158">
        <v>1</v>
      </c>
      <c r="Y1158" s="2">
        <f>Table1[[#This Row],[premium_yearly]]*Table1[[#This Row],[tenure_years]]</f>
        <v>7488.9143999999997</v>
      </c>
      <c r="Z1158" s="2">
        <f>Table1[[#This Row],[total_collected_premiums]]*(1-$AD$2)</f>
        <v>5466.9075119999998</v>
      </c>
      <c r="AA1158" s="2">
        <f>Table1[[#This Row],[retained_premium]]-Table1[[#This Row],[claim_amount_paid]]</f>
        <v>2466.9075119999998</v>
      </c>
    </row>
    <row r="1159" spans="1:27" x14ac:dyDescent="0.35">
      <c r="A1159" t="s">
        <v>3516</v>
      </c>
      <c r="B1159" t="s">
        <v>3517</v>
      </c>
      <c r="C1159" t="s">
        <v>3518</v>
      </c>
      <c r="D1159" s="1">
        <v>41786</v>
      </c>
      <c r="E1159" s="1">
        <v>44269</v>
      </c>
      <c r="F1159" s="1">
        <v>44270</v>
      </c>
      <c r="G1159">
        <v>1</v>
      </c>
      <c r="H1159">
        <v>90.75</v>
      </c>
      <c r="I1159">
        <v>1089</v>
      </c>
      <c r="J1159">
        <v>2000</v>
      </c>
      <c r="K1159" t="s">
        <v>27</v>
      </c>
      <c r="L1159">
        <v>2000</v>
      </c>
      <c r="M1159">
        <v>8.67</v>
      </c>
      <c r="N1159" t="s">
        <v>28</v>
      </c>
      <c r="O1159">
        <v>104</v>
      </c>
      <c r="P1159">
        <v>58</v>
      </c>
      <c r="Q1159">
        <v>1</v>
      </c>
      <c r="R1159">
        <v>4</v>
      </c>
      <c r="S1159" t="s">
        <v>29</v>
      </c>
      <c r="T1159" t="s">
        <v>30</v>
      </c>
      <c r="U1159" t="s">
        <v>31</v>
      </c>
      <c r="V1159" t="s">
        <v>45</v>
      </c>
      <c r="W1159">
        <v>1</v>
      </c>
      <c r="X1159">
        <v>1</v>
      </c>
      <c r="Y1159" s="2">
        <f>Table1[[#This Row],[premium_yearly]]*Table1[[#This Row],[tenure_years]]</f>
        <v>9441.6299999999992</v>
      </c>
      <c r="Z1159" s="2">
        <f>Table1[[#This Row],[total_collected_premiums]]*(1-$AD$2)</f>
        <v>6892.3898999999992</v>
      </c>
      <c r="AA1159" s="2">
        <f>Table1[[#This Row],[retained_premium]]-Table1[[#This Row],[claim_amount_paid]]</f>
        <v>4892.3898999999992</v>
      </c>
    </row>
    <row r="1160" spans="1:27" x14ac:dyDescent="0.35">
      <c r="A1160" t="s">
        <v>3519</v>
      </c>
      <c r="B1160" t="s">
        <v>3520</v>
      </c>
      <c r="C1160" t="s">
        <v>3521</v>
      </c>
      <c r="D1160" s="1">
        <v>43447</v>
      </c>
      <c r="E1160" s="1">
        <v>44255</v>
      </c>
      <c r="F1160" s="1">
        <v>44260</v>
      </c>
      <c r="G1160">
        <v>5</v>
      </c>
      <c r="H1160">
        <v>117.46</v>
      </c>
      <c r="I1160">
        <v>1409.52</v>
      </c>
      <c r="J1160">
        <v>9000</v>
      </c>
      <c r="K1160" t="s">
        <v>27</v>
      </c>
      <c r="L1160">
        <v>9000</v>
      </c>
      <c r="M1160">
        <v>2.58</v>
      </c>
      <c r="N1160" t="s">
        <v>49</v>
      </c>
      <c r="O1160">
        <v>31</v>
      </c>
      <c r="P1160">
        <v>42</v>
      </c>
      <c r="Q1160">
        <v>1</v>
      </c>
      <c r="R1160">
        <v>5</v>
      </c>
      <c r="S1160" t="s">
        <v>29</v>
      </c>
      <c r="T1160" t="s">
        <v>44</v>
      </c>
      <c r="U1160" t="s">
        <v>38</v>
      </c>
      <c r="V1160" t="s">
        <v>39</v>
      </c>
      <c r="W1160">
        <v>1</v>
      </c>
      <c r="X1160">
        <v>0</v>
      </c>
      <c r="Y1160" s="2">
        <f>Table1[[#This Row],[premium_yearly]]*Table1[[#This Row],[tenure_years]]</f>
        <v>3636.5616</v>
      </c>
      <c r="Z1160" s="2">
        <f>Table1[[#This Row],[total_collected_premiums]]*(1-$AD$2)</f>
        <v>2654.6899680000001</v>
      </c>
      <c r="AA1160" s="2">
        <f>Table1[[#This Row],[retained_premium]]-Table1[[#This Row],[claim_amount_paid]]</f>
        <v>-6345.3100319999994</v>
      </c>
    </row>
    <row r="1161" spans="1:27" x14ac:dyDescent="0.35">
      <c r="A1161" t="s">
        <v>3522</v>
      </c>
      <c r="B1161" t="s">
        <v>3523</v>
      </c>
      <c r="C1161" t="s">
        <v>3524</v>
      </c>
      <c r="D1161" s="1">
        <v>41830</v>
      </c>
      <c r="E1161" s="1">
        <v>44271</v>
      </c>
      <c r="F1161" s="1">
        <v>44272</v>
      </c>
      <c r="G1161">
        <v>1</v>
      </c>
      <c r="H1161">
        <v>101.26</v>
      </c>
      <c r="I1161">
        <v>1215.1199999999999</v>
      </c>
      <c r="J1161">
        <v>9000</v>
      </c>
      <c r="K1161" t="s">
        <v>27</v>
      </c>
      <c r="L1161">
        <v>9000</v>
      </c>
      <c r="M1161">
        <v>2.08</v>
      </c>
      <c r="N1161" t="s">
        <v>49</v>
      </c>
      <c r="O1161">
        <v>25</v>
      </c>
      <c r="P1161">
        <v>33</v>
      </c>
      <c r="Q1161">
        <v>1</v>
      </c>
      <c r="R1161">
        <v>3</v>
      </c>
      <c r="S1161" t="s">
        <v>65</v>
      </c>
      <c r="T1161" t="s">
        <v>50</v>
      </c>
      <c r="U1161" t="s">
        <v>31</v>
      </c>
      <c r="V1161" t="s">
        <v>39</v>
      </c>
      <c r="W1161">
        <v>1</v>
      </c>
      <c r="X1161">
        <v>0</v>
      </c>
      <c r="Y1161" s="2">
        <f>Table1[[#This Row],[premium_yearly]]*Table1[[#This Row],[tenure_years]]</f>
        <v>2527.4495999999999</v>
      </c>
      <c r="Z1161" s="2">
        <f>Table1[[#This Row],[total_collected_premiums]]*(1-$AD$2)</f>
        <v>1845.0382079999999</v>
      </c>
      <c r="AA1161" s="2">
        <f>Table1[[#This Row],[retained_premium]]-Table1[[#This Row],[claim_amount_paid]]</f>
        <v>-7154.9617920000001</v>
      </c>
    </row>
    <row r="1162" spans="1:27" x14ac:dyDescent="0.35">
      <c r="A1162" t="s">
        <v>3525</v>
      </c>
      <c r="B1162" t="s">
        <v>3526</v>
      </c>
      <c r="C1162" t="s">
        <v>3527</v>
      </c>
      <c r="D1162" s="1">
        <v>43057</v>
      </c>
      <c r="E1162" s="1">
        <v>44268</v>
      </c>
      <c r="F1162" s="1">
        <v>44270</v>
      </c>
      <c r="G1162">
        <v>2</v>
      </c>
      <c r="H1162">
        <v>81.7</v>
      </c>
      <c r="I1162">
        <v>980.4</v>
      </c>
      <c r="J1162">
        <v>7000</v>
      </c>
      <c r="K1162" t="s">
        <v>27</v>
      </c>
      <c r="L1162">
        <v>7000</v>
      </c>
      <c r="M1162">
        <v>1.33</v>
      </c>
      <c r="N1162" t="s">
        <v>28</v>
      </c>
      <c r="O1162">
        <v>16</v>
      </c>
      <c r="P1162">
        <v>37</v>
      </c>
      <c r="Q1162">
        <v>0</v>
      </c>
      <c r="R1162">
        <v>6</v>
      </c>
      <c r="S1162" t="s">
        <v>37</v>
      </c>
      <c r="T1162" t="s">
        <v>30</v>
      </c>
      <c r="U1162" t="s">
        <v>38</v>
      </c>
      <c r="V1162" t="s">
        <v>45</v>
      </c>
      <c r="W1162">
        <v>1</v>
      </c>
      <c r="X1162">
        <v>1</v>
      </c>
      <c r="Y1162" s="2">
        <f>Table1[[#This Row],[premium_yearly]]*Table1[[#This Row],[tenure_years]]</f>
        <v>1303.932</v>
      </c>
      <c r="Z1162" s="2">
        <f>Table1[[#This Row],[total_collected_premiums]]*(1-$AD$2)</f>
        <v>951.87036000000001</v>
      </c>
      <c r="AA1162" s="2">
        <f>Table1[[#This Row],[retained_premium]]-Table1[[#This Row],[claim_amount_paid]]</f>
        <v>-6048.1296400000001</v>
      </c>
    </row>
    <row r="1163" spans="1:27" x14ac:dyDescent="0.35">
      <c r="A1163" t="s">
        <v>3528</v>
      </c>
      <c r="B1163" t="s">
        <v>3529</v>
      </c>
      <c r="C1163" t="s">
        <v>3530</v>
      </c>
      <c r="D1163" s="1">
        <v>43807</v>
      </c>
      <c r="E1163" s="1">
        <v>44274</v>
      </c>
      <c r="F1163" s="1">
        <v>44274</v>
      </c>
      <c r="G1163">
        <v>0</v>
      </c>
      <c r="H1163">
        <v>99.9</v>
      </c>
      <c r="I1163">
        <v>1198.8</v>
      </c>
      <c r="J1163">
        <v>10000</v>
      </c>
      <c r="K1163" t="s">
        <v>27</v>
      </c>
      <c r="L1163">
        <v>10000</v>
      </c>
      <c r="M1163">
        <v>8.17</v>
      </c>
      <c r="N1163" t="s">
        <v>28</v>
      </c>
      <c r="O1163">
        <v>98</v>
      </c>
      <c r="P1163">
        <v>51</v>
      </c>
      <c r="Q1163">
        <v>0</v>
      </c>
      <c r="R1163">
        <v>3</v>
      </c>
      <c r="S1163" t="s">
        <v>65</v>
      </c>
      <c r="T1163" t="s">
        <v>50</v>
      </c>
      <c r="U1163" t="s">
        <v>31</v>
      </c>
      <c r="V1163" t="s">
        <v>39</v>
      </c>
      <c r="W1163">
        <v>1</v>
      </c>
      <c r="X1163">
        <v>0</v>
      </c>
      <c r="Y1163" s="2">
        <f>Table1[[#This Row],[premium_yearly]]*Table1[[#This Row],[tenure_years]]</f>
        <v>9794.1959999999999</v>
      </c>
      <c r="Z1163" s="2">
        <f>Table1[[#This Row],[total_collected_premiums]]*(1-$AD$2)</f>
        <v>7149.7630799999997</v>
      </c>
      <c r="AA1163" s="2">
        <f>Table1[[#This Row],[retained_premium]]-Table1[[#This Row],[claim_amount_paid]]</f>
        <v>-2850.2369200000003</v>
      </c>
    </row>
    <row r="1164" spans="1:27" x14ac:dyDescent="0.35">
      <c r="A1164" t="s">
        <v>3531</v>
      </c>
      <c r="B1164" t="s">
        <v>3532</v>
      </c>
      <c r="C1164" t="s">
        <v>3533</v>
      </c>
      <c r="D1164" s="1">
        <v>41921</v>
      </c>
      <c r="E1164" s="1">
        <v>44258</v>
      </c>
      <c r="F1164" s="1">
        <v>44263</v>
      </c>
      <c r="G1164">
        <v>5</v>
      </c>
      <c r="H1164">
        <v>126.42</v>
      </c>
      <c r="I1164">
        <v>1517.04</v>
      </c>
      <c r="J1164">
        <v>9000</v>
      </c>
      <c r="K1164" t="s">
        <v>27</v>
      </c>
      <c r="L1164">
        <v>9000</v>
      </c>
      <c r="M1164">
        <v>3.83</v>
      </c>
      <c r="N1164" t="s">
        <v>36</v>
      </c>
      <c r="O1164">
        <v>46</v>
      </c>
      <c r="P1164">
        <v>46</v>
      </c>
      <c r="Q1164">
        <v>1</v>
      </c>
      <c r="R1164">
        <v>7</v>
      </c>
      <c r="S1164" t="s">
        <v>65</v>
      </c>
      <c r="T1164" t="s">
        <v>44</v>
      </c>
      <c r="U1164" t="s">
        <v>38</v>
      </c>
      <c r="V1164" t="s">
        <v>32</v>
      </c>
      <c r="W1164">
        <v>0</v>
      </c>
      <c r="X1164">
        <v>1</v>
      </c>
      <c r="Y1164" s="2">
        <f>Table1[[#This Row],[premium_yearly]]*Table1[[#This Row],[tenure_years]]</f>
        <v>5810.2632000000003</v>
      </c>
      <c r="Z1164" s="2">
        <f>Table1[[#This Row],[total_collected_premiums]]*(1-$AD$2)</f>
        <v>4241.4921359999998</v>
      </c>
      <c r="AA1164" s="2">
        <f>Table1[[#This Row],[retained_premium]]-Table1[[#This Row],[claim_amount_paid]]</f>
        <v>-4758.5078640000002</v>
      </c>
    </row>
    <row r="1165" spans="1:27" x14ac:dyDescent="0.35">
      <c r="A1165" t="s">
        <v>3534</v>
      </c>
      <c r="B1165" t="s">
        <v>3535</v>
      </c>
      <c r="C1165" t="s">
        <v>3536</v>
      </c>
      <c r="D1165" s="1">
        <v>42032</v>
      </c>
      <c r="E1165" s="1">
        <v>44256</v>
      </c>
      <c r="F1165" s="1">
        <v>44261</v>
      </c>
      <c r="G1165">
        <v>5</v>
      </c>
      <c r="H1165">
        <v>125.53</v>
      </c>
      <c r="I1165">
        <v>1506.36</v>
      </c>
      <c r="J1165">
        <v>1000</v>
      </c>
      <c r="K1165" t="s">
        <v>27</v>
      </c>
      <c r="L1165">
        <v>1000</v>
      </c>
      <c r="M1165">
        <v>0.5</v>
      </c>
      <c r="N1165" t="s">
        <v>49</v>
      </c>
      <c r="O1165">
        <v>6</v>
      </c>
      <c r="P1165">
        <v>62</v>
      </c>
      <c r="Q1165">
        <v>0</v>
      </c>
      <c r="R1165">
        <v>6</v>
      </c>
      <c r="S1165" t="s">
        <v>29</v>
      </c>
      <c r="T1165" t="s">
        <v>30</v>
      </c>
      <c r="U1165" t="s">
        <v>31</v>
      </c>
      <c r="V1165" t="s">
        <v>39</v>
      </c>
      <c r="W1165">
        <v>1</v>
      </c>
      <c r="X1165">
        <v>1</v>
      </c>
      <c r="Y1165" s="2">
        <f>Table1[[#This Row],[premium_yearly]]*Table1[[#This Row],[tenure_years]]</f>
        <v>753.18</v>
      </c>
      <c r="Z1165" s="2">
        <f>Table1[[#This Row],[total_collected_premiums]]*(1-$AD$2)</f>
        <v>549.82139999999993</v>
      </c>
      <c r="AA1165" s="2">
        <f>Table1[[#This Row],[retained_premium]]-Table1[[#This Row],[claim_amount_paid]]</f>
        <v>-450.17860000000007</v>
      </c>
    </row>
    <row r="1166" spans="1:27" x14ac:dyDescent="0.35">
      <c r="A1166" t="s">
        <v>3537</v>
      </c>
      <c r="B1166" t="s">
        <v>3538</v>
      </c>
      <c r="C1166" t="s">
        <v>3539</v>
      </c>
      <c r="D1166" s="1">
        <v>43813</v>
      </c>
      <c r="E1166" s="1">
        <v>44266</v>
      </c>
      <c r="F1166" s="1">
        <v>44269</v>
      </c>
      <c r="G1166">
        <v>3</v>
      </c>
      <c r="H1166">
        <v>126.21</v>
      </c>
      <c r="I1166">
        <v>1514.52</v>
      </c>
      <c r="J1166">
        <v>9000</v>
      </c>
      <c r="K1166" t="s">
        <v>27</v>
      </c>
      <c r="L1166">
        <v>9000</v>
      </c>
      <c r="M1166">
        <v>0.67</v>
      </c>
      <c r="N1166" t="s">
        <v>49</v>
      </c>
      <c r="O1166">
        <v>8</v>
      </c>
      <c r="P1166">
        <v>59</v>
      </c>
      <c r="Q1166">
        <v>1</v>
      </c>
      <c r="R1166">
        <v>2</v>
      </c>
      <c r="S1166" t="s">
        <v>65</v>
      </c>
      <c r="T1166" t="s">
        <v>30</v>
      </c>
      <c r="U1166" t="s">
        <v>38</v>
      </c>
      <c r="V1166" t="s">
        <v>32</v>
      </c>
      <c r="W1166">
        <v>0</v>
      </c>
      <c r="X1166">
        <v>0</v>
      </c>
      <c r="Y1166" s="2">
        <f>Table1[[#This Row],[premium_yearly]]*Table1[[#This Row],[tenure_years]]</f>
        <v>1014.7284000000001</v>
      </c>
      <c r="Z1166" s="2">
        <f>Table1[[#This Row],[total_collected_premiums]]*(1-$AD$2)</f>
        <v>740.75173200000006</v>
      </c>
      <c r="AA1166" s="2">
        <f>Table1[[#This Row],[retained_premium]]-Table1[[#This Row],[claim_amount_paid]]</f>
        <v>-8259.2482679999994</v>
      </c>
    </row>
    <row r="1167" spans="1:27" x14ac:dyDescent="0.35">
      <c r="A1167" t="s">
        <v>3540</v>
      </c>
      <c r="B1167" t="s">
        <v>3541</v>
      </c>
      <c r="C1167" t="s">
        <v>3542</v>
      </c>
      <c r="D1167" s="1">
        <v>40574</v>
      </c>
      <c r="E1167" s="1">
        <v>44270</v>
      </c>
      <c r="F1167" s="1">
        <v>44272</v>
      </c>
      <c r="G1167">
        <v>2</v>
      </c>
      <c r="H1167">
        <v>132.6</v>
      </c>
      <c r="I1167">
        <v>1591.2</v>
      </c>
      <c r="J1167">
        <v>8000</v>
      </c>
      <c r="K1167" t="s">
        <v>27</v>
      </c>
      <c r="L1167">
        <v>8000</v>
      </c>
      <c r="M1167">
        <v>4.92</v>
      </c>
      <c r="N1167" t="s">
        <v>49</v>
      </c>
      <c r="O1167">
        <v>59</v>
      </c>
      <c r="P1167">
        <v>53</v>
      </c>
      <c r="Q1167">
        <v>1</v>
      </c>
      <c r="R1167">
        <v>4</v>
      </c>
      <c r="S1167" t="s">
        <v>29</v>
      </c>
      <c r="T1167" t="s">
        <v>30</v>
      </c>
      <c r="U1167" t="s">
        <v>38</v>
      </c>
      <c r="V1167" t="s">
        <v>39</v>
      </c>
      <c r="W1167">
        <v>0</v>
      </c>
      <c r="X1167">
        <v>1</v>
      </c>
      <c r="Y1167" s="2">
        <f>Table1[[#This Row],[premium_yearly]]*Table1[[#This Row],[tenure_years]]</f>
        <v>7828.7039999999997</v>
      </c>
      <c r="Z1167" s="2">
        <f>Table1[[#This Row],[total_collected_premiums]]*(1-$AD$2)</f>
        <v>5714.9539199999999</v>
      </c>
      <c r="AA1167" s="2">
        <f>Table1[[#This Row],[retained_premium]]-Table1[[#This Row],[claim_amount_paid]]</f>
        <v>-2285.0460800000001</v>
      </c>
    </row>
    <row r="1168" spans="1:27" x14ac:dyDescent="0.35">
      <c r="A1168" t="s">
        <v>3543</v>
      </c>
      <c r="B1168" t="s">
        <v>3544</v>
      </c>
      <c r="C1168" t="s">
        <v>3545</v>
      </c>
      <c r="D1168" s="1">
        <v>42560</v>
      </c>
      <c r="E1168" s="1">
        <v>44263</v>
      </c>
      <c r="F1168" s="1">
        <v>44268</v>
      </c>
      <c r="G1168">
        <v>5</v>
      </c>
      <c r="H1168">
        <v>109.06</v>
      </c>
      <c r="I1168">
        <v>1308.72</v>
      </c>
      <c r="J1168">
        <v>5000</v>
      </c>
      <c r="K1168" t="s">
        <v>27</v>
      </c>
      <c r="L1168">
        <v>5000</v>
      </c>
      <c r="M1168">
        <v>7.58</v>
      </c>
      <c r="N1168" t="s">
        <v>28</v>
      </c>
      <c r="O1168">
        <v>91</v>
      </c>
      <c r="P1168">
        <v>29</v>
      </c>
      <c r="Q1168">
        <v>0</v>
      </c>
      <c r="R1168">
        <v>6</v>
      </c>
      <c r="S1168" t="s">
        <v>29</v>
      </c>
      <c r="T1168" t="s">
        <v>30</v>
      </c>
      <c r="U1168" t="s">
        <v>88</v>
      </c>
      <c r="V1168" t="s">
        <v>39</v>
      </c>
      <c r="W1168">
        <v>0</v>
      </c>
      <c r="X1168">
        <v>1</v>
      </c>
      <c r="Y1168" s="2">
        <f>Table1[[#This Row],[premium_yearly]]*Table1[[#This Row],[tenure_years]]</f>
        <v>9920.097600000001</v>
      </c>
      <c r="Z1168" s="2">
        <f>Table1[[#This Row],[total_collected_premiums]]*(1-$AD$2)</f>
        <v>7241.6712480000006</v>
      </c>
      <c r="AA1168" s="2">
        <f>Table1[[#This Row],[retained_premium]]-Table1[[#This Row],[claim_amount_paid]]</f>
        <v>2241.6712480000006</v>
      </c>
    </row>
    <row r="1169" spans="1:27" x14ac:dyDescent="0.35">
      <c r="A1169" t="s">
        <v>3546</v>
      </c>
      <c r="B1169" t="s">
        <v>3547</v>
      </c>
      <c r="C1169" t="s">
        <v>3548</v>
      </c>
      <c r="D1169" s="1">
        <v>43852</v>
      </c>
      <c r="E1169" s="1">
        <v>44266</v>
      </c>
      <c r="F1169" s="1">
        <v>44271</v>
      </c>
      <c r="G1169">
        <v>5</v>
      </c>
      <c r="H1169">
        <v>88.8</v>
      </c>
      <c r="I1169">
        <v>1065.5999999999999</v>
      </c>
      <c r="J1169">
        <v>4000</v>
      </c>
      <c r="K1169" t="s">
        <v>27</v>
      </c>
      <c r="L1169">
        <v>4000</v>
      </c>
      <c r="M1169">
        <v>4.17</v>
      </c>
      <c r="N1169" t="s">
        <v>28</v>
      </c>
      <c r="O1169">
        <v>50</v>
      </c>
      <c r="P1169">
        <v>47</v>
      </c>
      <c r="Q1169">
        <v>1</v>
      </c>
      <c r="R1169">
        <v>3</v>
      </c>
      <c r="S1169" t="s">
        <v>65</v>
      </c>
      <c r="T1169" t="s">
        <v>30</v>
      </c>
      <c r="U1169" t="s">
        <v>38</v>
      </c>
      <c r="V1169" t="s">
        <v>32</v>
      </c>
      <c r="W1169">
        <v>1</v>
      </c>
      <c r="X1169">
        <v>1</v>
      </c>
      <c r="Y1169" s="2">
        <f>Table1[[#This Row],[premium_yearly]]*Table1[[#This Row],[tenure_years]]</f>
        <v>4443.5519999999997</v>
      </c>
      <c r="Z1169" s="2">
        <f>Table1[[#This Row],[total_collected_premiums]]*(1-$AD$2)</f>
        <v>3243.7929599999998</v>
      </c>
      <c r="AA1169" s="2">
        <f>Table1[[#This Row],[retained_premium]]-Table1[[#This Row],[claim_amount_paid]]</f>
        <v>-756.20704000000023</v>
      </c>
    </row>
    <row r="1170" spans="1:27" x14ac:dyDescent="0.35">
      <c r="A1170" t="s">
        <v>3549</v>
      </c>
      <c r="B1170" t="s">
        <v>3550</v>
      </c>
      <c r="C1170" t="s">
        <v>3551</v>
      </c>
      <c r="D1170" s="1">
        <v>41756</v>
      </c>
      <c r="E1170" s="1">
        <v>44260</v>
      </c>
      <c r="F1170" s="1">
        <v>44265</v>
      </c>
      <c r="G1170">
        <v>5</v>
      </c>
      <c r="H1170">
        <v>78.209999999999994</v>
      </c>
      <c r="I1170">
        <v>938.52</v>
      </c>
      <c r="J1170">
        <v>10000</v>
      </c>
      <c r="K1170" t="s">
        <v>27</v>
      </c>
      <c r="L1170">
        <v>10000</v>
      </c>
      <c r="M1170">
        <v>4.25</v>
      </c>
      <c r="N1170" t="s">
        <v>49</v>
      </c>
      <c r="O1170">
        <v>51</v>
      </c>
      <c r="P1170">
        <v>40</v>
      </c>
      <c r="Q1170">
        <v>0</v>
      </c>
      <c r="R1170">
        <v>2</v>
      </c>
      <c r="S1170" t="s">
        <v>65</v>
      </c>
      <c r="T1170" t="s">
        <v>44</v>
      </c>
      <c r="U1170" t="s">
        <v>31</v>
      </c>
      <c r="V1170" t="s">
        <v>45</v>
      </c>
      <c r="W1170">
        <v>1</v>
      </c>
      <c r="X1170">
        <v>1</v>
      </c>
      <c r="Y1170" s="2">
        <f>Table1[[#This Row],[premium_yearly]]*Table1[[#This Row],[tenure_years]]</f>
        <v>3988.71</v>
      </c>
      <c r="Z1170" s="2">
        <f>Table1[[#This Row],[total_collected_premiums]]*(1-$AD$2)</f>
        <v>2911.7583</v>
      </c>
      <c r="AA1170" s="2">
        <f>Table1[[#This Row],[retained_premium]]-Table1[[#This Row],[claim_amount_paid]]</f>
        <v>-7088.2417000000005</v>
      </c>
    </row>
    <row r="1171" spans="1:27" x14ac:dyDescent="0.35">
      <c r="A1171" t="s">
        <v>3552</v>
      </c>
      <c r="B1171" t="s">
        <v>3553</v>
      </c>
      <c r="C1171" t="s">
        <v>3554</v>
      </c>
      <c r="D1171" s="1">
        <v>43597</v>
      </c>
      <c r="E1171" s="1">
        <v>44262</v>
      </c>
      <c r="F1171" s="1">
        <v>44267</v>
      </c>
      <c r="G1171">
        <v>5</v>
      </c>
      <c r="H1171">
        <v>109.9</v>
      </c>
      <c r="I1171">
        <v>1318.8</v>
      </c>
      <c r="J1171">
        <v>6000</v>
      </c>
      <c r="K1171" t="s">
        <v>27</v>
      </c>
      <c r="L1171">
        <v>6000</v>
      </c>
      <c r="M1171">
        <v>9.67</v>
      </c>
      <c r="N1171" t="s">
        <v>36</v>
      </c>
      <c r="O1171">
        <v>116</v>
      </c>
      <c r="P1171">
        <v>60</v>
      </c>
      <c r="Q1171">
        <v>1</v>
      </c>
      <c r="R1171">
        <v>5</v>
      </c>
      <c r="S1171" t="s">
        <v>65</v>
      </c>
      <c r="T1171" t="s">
        <v>30</v>
      </c>
      <c r="U1171" t="s">
        <v>88</v>
      </c>
      <c r="V1171" t="s">
        <v>32</v>
      </c>
      <c r="W1171">
        <v>1</v>
      </c>
      <c r="X1171">
        <v>0</v>
      </c>
      <c r="Y1171" s="2">
        <f>Table1[[#This Row],[premium_yearly]]*Table1[[#This Row],[tenure_years]]</f>
        <v>12752.796</v>
      </c>
      <c r="Z1171" s="2">
        <f>Table1[[#This Row],[total_collected_premiums]]*(1-$AD$2)</f>
        <v>9309.5410800000009</v>
      </c>
      <c r="AA1171" s="2">
        <f>Table1[[#This Row],[retained_premium]]-Table1[[#This Row],[claim_amount_paid]]</f>
        <v>3309.5410800000009</v>
      </c>
    </row>
    <row r="1172" spans="1:27" x14ac:dyDescent="0.35">
      <c r="A1172" t="s">
        <v>3555</v>
      </c>
      <c r="B1172" t="s">
        <v>3556</v>
      </c>
      <c r="C1172" t="s">
        <v>3557</v>
      </c>
      <c r="D1172" s="1">
        <v>42942</v>
      </c>
      <c r="E1172" s="1">
        <v>44272</v>
      </c>
      <c r="F1172" s="1">
        <v>44274</v>
      </c>
      <c r="G1172">
        <v>2</v>
      </c>
      <c r="H1172">
        <v>128.33000000000001</v>
      </c>
      <c r="I1172">
        <v>1539.96</v>
      </c>
      <c r="J1172">
        <v>6000</v>
      </c>
      <c r="K1172" t="s">
        <v>27</v>
      </c>
      <c r="L1172">
        <v>6000</v>
      </c>
      <c r="M1172">
        <v>3.92</v>
      </c>
      <c r="N1172" t="s">
        <v>28</v>
      </c>
      <c r="O1172">
        <v>47</v>
      </c>
      <c r="P1172">
        <v>49</v>
      </c>
      <c r="Q1172">
        <v>1</v>
      </c>
      <c r="R1172">
        <v>3</v>
      </c>
      <c r="S1172" t="s">
        <v>37</v>
      </c>
      <c r="T1172" t="s">
        <v>50</v>
      </c>
      <c r="U1172" t="s">
        <v>31</v>
      </c>
      <c r="V1172" t="s">
        <v>32</v>
      </c>
      <c r="W1172">
        <v>1</v>
      </c>
      <c r="X1172">
        <v>1</v>
      </c>
      <c r="Y1172" s="2">
        <f>Table1[[#This Row],[premium_yearly]]*Table1[[#This Row],[tenure_years]]</f>
        <v>6036.6432000000004</v>
      </c>
      <c r="Z1172" s="2">
        <f>Table1[[#This Row],[total_collected_premiums]]*(1-$AD$2)</f>
        <v>4406.7495360000003</v>
      </c>
      <c r="AA1172" s="2">
        <f>Table1[[#This Row],[retained_premium]]-Table1[[#This Row],[claim_amount_paid]]</f>
        <v>-1593.2504639999997</v>
      </c>
    </row>
    <row r="1173" spans="1:27" x14ac:dyDescent="0.35">
      <c r="A1173" t="s">
        <v>3558</v>
      </c>
      <c r="B1173" t="s">
        <v>3559</v>
      </c>
      <c r="C1173" t="s">
        <v>3560</v>
      </c>
      <c r="D1173" s="1">
        <v>41239</v>
      </c>
      <c r="E1173" s="1">
        <v>44264</v>
      </c>
      <c r="F1173" s="1">
        <v>44269</v>
      </c>
      <c r="G1173">
        <v>5</v>
      </c>
      <c r="H1173">
        <v>134.88</v>
      </c>
      <c r="I1173">
        <v>1618.56</v>
      </c>
      <c r="J1173">
        <v>5000</v>
      </c>
      <c r="K1173" t="s">
        <v>27</v>
      </c>
      <c r="L1173">
        <v>5000</v>
      </c>
      <c r="M1173">
        <v>9.83</v>
      </c>
      <c r="N1173" t="s">
        <v>49</v>
      </c>
      <c r="O1173">
        <v>118</v>
      </c>
      <c r="P1173">
        <v>55</v>
      </c>
      <c r="Q1173">
        <v>1</v>
      </c>
      <c r="R1173">
        <v>6</v>
      </c>
      <c r="S1173" t="s">
        <v>29</v>
      </c>
      <c r="T1173" t="s">
        <v>44</v>
      </c>
      <c r="U1173" t="s">
        <v>38</v>
      </c>
      <c r="V1173" t="s">
        <v>39</v>
      </c>
      <c r="W1173">
        <v>0</v>
      </c>
      <c r="X1173">
        <v>1</v>
      </c>
      <c r="Y1173" s="2">
        <f>Table1[[#This Row],[premium_yearly]]*Table1[[#This Row],[tenure_years]]</f>
        <v>15910.444799999999</v>
      </c>
      <c r="Z1173" s="2">
        <f>Table1[[#This Row],[total_collected_premiums]]*(1-$AD$2)</f>
        <v>11614.624704</v>
      </c>
      <c r="AA1173" s="2">
        <f>Table1[[#This Row],[retained_premium]]-Table1[[#This Row],[claim_amount_paid]]</f>
        <v>6614.6247039999998</v>
      </c>
    </row>
    <row r="1174" spans="1:27" x14ac:dyDescent="0.35">
      <c r="A1174" t="s">
        <v>3561</v>
      </c>
      <c r="B1174" t="s">
        <v>3562</v>
      </c>
      <c r="C1174" t="s">
        <v>3563</v>
      </c>
      <c r="D1174" s="1">
        <v>41002</v>
      </c>
      <c r="E1174" s="1">
        <v>44266</v>
      </c>
      <c r="F1174" s="1">
        <v>44271</v>
      </c>
      <c r="G1174">
        <v>5</v>
      </c>
      <c r="H1174">
        <v>121.51</v>
      </c>
      <c r="I1174">
        <v>1458.12</v>
      </c>
      <c r="J1174">
        <v>8000</v>
      </c>
      <c r="K1174" t="s">
        <v>27</v>
      </c>
      <c r="L1174">
        <v>8000</v>
      </c>
      <c r="M1174">
        <v>7.67</v>
      </c>
      <c r="N1174" t="s">
        <v>49</v>
      </c>
      <c r="O1174">
        <v>92</v>
      </c>
      <c r="P1174">
        <v>64</v>
      </c>
      <c r="Q1174">
        <v>1</v>
      </c>
      <c r="R1174">
        <v>2</v>
      </c>
      <c r="S1174" t="s">
        <v>29</v>
      </c>
      <c r="T1174" t="s">
        <v>44</v>
      </c>
      <c r="U1174" t="s">
        <v>66</v>
      </c>
      <c r="V1174" t="s">
        <v>45</v>
      </c>
      <c r="W1174">
        <v>0</v>
      </c>
      <c r="X1174">
        <v>0</v>
      </c>
      <c r="Y1174" s="2">
        <f>Table1[[#This Row],[premium_yearly]]*Table1[[#This Row],[tenure_years]]</f>
        <v>11183.7804</v>
      </c>
      <c r="Z1174" s="2">
        <f>Table1[[#This Row],[total_collected_premiums]]*(1-$AD$2)</f>
        <v>8164.1596919999993</v>
      </c>
      <c r="AA1174" s="2">
        <f>Table1[[#This Row],[retained_premium]]-Table1[[#This Row],[claim_amount_paid]]</f>
        <v>164.15969199999927</v>
      </c>
    </row>
    <row r="1175" spans="1:27" x14ac:dyDescent="0.35">
      <c r="A1175" t="s">
        <v>3564</v>
      </c>
      <c r="B1175" t="s">
        <v>3565</v>
      </c>
      <c r="C1175" t="s">
        <v>3566</v>
      </c>
      <c r="D1175" s="1">
        <v>40868</v>
      </c>
      <c r="E1175" s="1">
        <v>44275</v>
      </c>
      <c r="F1175" s="1">
        <v>44276</v>
      </c>
      <c r="G1175">
        <v>1</v>
      </c>
      <c r="H1175">
        <v>118.53</v>
      </c>
      <c r="I1175">
        <v>1422.36</v>
      </c>
      <c r="J1175">
        <v>8000</v>
      </c>
      <c r="K1175" t="s">
        <v>43</v>
      </c>
      <c r="L1175">
        <v>0</v>
      </c>
      <c r="M1175">
        <v>5.33</v>
      </c>
      <c r="N1175" t="s">
        <v>36</v>
      </c>
      <c r="O1175">
        <v>64</v>
      </c>
      <c r="P1175">
        <v>51</v>
      </c>
      <c r="Q1175">
        <v>0</v>
      </c>
      <c r="R1175">
        <v>4</v>
      </c>
      <c r="S1175" t="s">
        <v>65</v>
      </c>
      <c r="T1175" t="s">
        <v>44</v>
      </c>
      <c r="U1175" t="s">
        <v>38</v>
      </c>
      <c r="V1175" t="s">
        <v>39</v>
      </c>
      <c r="W1175">
        <v>1</v>
      </c>
      <c r="X1175">
        <v>1</v>
      </c>
      <c r="Y1175" s="2">
        <f>Table1[[#This Row],[premium_yearly]]*Table1[[#This Row],[tenure_years]]</f>
        <v>7581.1787999999997</v>
      </c>
      <c r="Z1175" s="2">
        <f>Table1[[#This Row],[total_collected_premiums]]*(1-$AD$2)</f>
        <v>5534.2605239999994</v>
      </c>
      <c r="AA1175" s="2">
        <f>Table1[[#This Row],[retained_premium]]-Table1[[#This Row],[claim_amount_paid]]</f>
        <v>5534.2605239999994</v>
      </c>
    </row>
    <row r="1176" spans="1:27" x14ac:dyDescent="0.35">
      <c r="A1176" t="s">
        <v>3567</v>
      </c>
      <c r="B1176" t="s">
        <v>3568</v>
      </c>
      <c r="C1176" t="s">
        <v>3569</v>
      </c>
      <c r="D1176" s="1">
        <v>43521</v>
      </c>
      <c r="E1176" s="1">
        <v>44267</v>
      </c>
      <c r="F1176" s="1">
        <v>44272</v>
      </c>
      <c r="G1176">
        <v>5</v>
      </c>
      <c r="H1176">
        <v>118.02</v>
      </c>
      <c r="I1176">
        <v>1416.24</v>
      </c>
      <c r="J1176">
        <v>1000</v>
      </c>
      <c r="K1176" t="s">
        <v>27</v>
      </c>
      <c r="L1176">
        <v>1000</v>
      </c>
      <c r="M1176">
        <v>3.83</v>
      </c>
      <c r="N1176" t="s">
        <v>49</v>
      </c>
      <c r="O1176">
        <v>46</v>
      </c>
      <c r="P1176">
        <v>47</v>
      </c>
      <c r="Q1176">
        <v>1</v>
      </c>
      <c r="R1176">
        <v>3</v>
      </c>
      <c r="S1176" t="s">
        <v>37</v>
      </c>
      <c r="T1176" t="s">
        <v>50</v>
      </c>
      <c r="U1176" t="s">
        <v>107</v>
      </c>
      <c r="V1176" t="s">
        <v>39</v>
      </c>
      <c r="W1176">
        <v>1</v>
      </c>
      <c r="X1176">
        <v>1</v>
      </c>
      <c r="Y1176" s="2">
        <f>Table1[[#This Row],[premium_yearly]]*Table1[[#This Row],[tenure_years]]</f>
        <v>5424.1992</v>
      </c>
      <c r="Z1176" s="2">
        <f>Table1[[#This Row],[total_collected_premiums]]*(1-$AD$2)</f>
        <v>3959.6654159999998</v>
      </c>
      <c r="AA1176" s="2">
        <f>Table1[[#This Row],[retained_premium]]-Table1[[#This Row],[claim_amount_paid]]</f>
        <v>2959.6654159999998</v>
      </c>
    </row>
    <row r="1177" spans="1:27" x14ac:dyDescent="0.35">
      <c r="A1177" t="s">
        <v>3570</v>
      </c>
      <c r="B1177" t="s">
        <v>3571</v>
      </c>
      <c r="C1177" t="s">
        <v>3572</v>
      </c>
      <c r="D1177" s="1">
        <v>43548</v>
      </c>
      <c r="E1177" s="1">
        <v>44263</v>
      </c>
      <c r="F1177" s="1">
        <v>44268</v>
      </c>
      <c r="G1177">
        <v>5</v>
      </c>
      <c r="H1177">
        <v>131.31</v>
      </c>
      <c r="I1177">
        <v>1575.72</v>
      </c>
      <c r="J1177">
        <v>9000</v>
      </c>
      <c r="K1177" t="s">
        <v>27</v>
      </c>
      <c r="L1177">
        <v>9000</v>
      </c>
      <c r="M1177">
        <v>2.67</v>
      </c>
      <c r="N1177" t="s">
        <v>49</v>
      </c>
      <c r="O1177">
        <v>32</v>
      </c>
      <c r="P1177">
        <v>64</v>
      </c>
      <c r="Q1177">
        <v>1</v>
      </c>
      <c r="R1177">
        <v>2</v>
      </c>
      <c r="S1177" t="s">
        <v>65</v>
      </c>
      <c r="T1177" t="s">
        <v>50</v>
      </c>
      <c r="U1177" t="s">
        <v>31</v>
      </c>
      <c r="V1177" t="s">
        <v>45</v>
      </c>
      <c r="W1177">
        <v>1</v>
      </c>
      <c r="X1177">
        <v>0</v>
      </c>
      <c r="Y1177" s="2">
        <f>Table1[[#This Row],[premium_yearly]]*Table1[[#This Row],[tenure_years]]</f>
        <v>4207.1724000000004</v>
      </c>
      <c r="Z1177" s="2">
        <f>Table1[[#This Row],[total_collected_premiums]]*(1-$AD$2)</f>
        <v>3071.2358520000002</v>
      </c>
      <c r="AA1177" s="2">
        <f>Table1[[#This Row],[retained_premium]]-Table1[[#This Row],[claim_amount_paid]]</f>
        <v>-5928.7641480000002</v>
      </c>
    </row>
    <row r="1178" spans="1:27" x14ac:dyDescent="0.35">
      <c r="A1178" t="s">
        <v>3573</v>
      </c>
      <c r="B1178" t="s">
        <v>3574</v>
      </c>
      <c r="C1178" t="s">
        <v>3575</v>
      </c>
      <c r="D1178" s="1">
        <v>41785</v>
      </c>
      <c r="E1178" s="1">
        <v>44277</v>
      </c>
      <c r="F1178" s="1">
        <v>44277</v>
      </c>
      <c r="G1178">
        <v>0</v>
      </c>
      <c r="H1178">
        <v>124.69</v>
      </c>
      <c r="I1178">
        <v>1496.28</v>
      </c>
      <c r="J1178">
        <v>2000</v>
      </c>
      <c r="K1178" t="s">
        <v>27</v>
      </c>
      <c r="L1178">
        <v>2000</v>
      </c>
      <c r="M1178">
        <v>3.42</v>
      </c>
      <c r="N1178" t="s">
        <v>36</v>
      </c>
      <c r="O1178">
        <v>41</v>
      </c>
      <c r="P1178">
        <v>57</v>
      </c>
      <c r="Q1178">
        <v>1</v>
      </c>
      <c r="R1178">
        <v>5</v>
      </c>
      <c r="S1178" t="s">
        <v>29</v>
      </c>
      <c r="T1178" t="s">
        <v>44</v>
      </c>
      <c r="U1178" t="s">
        <v>38</v>
      </c>
      <c r="V1178" t="s">
        <v>32</v>
      </c>
      <c r="W1178">
        <v>1</v>
      </c>
      <c r="X1178">
        <v>1</v>
      </c>
      <c r="Y1178" s="2">
        <f>Table1[[#This Row],[premium_yearly]]*Table1[[#This Row],[tenure_years]]</f>
        <v>5117.2775999999994</v>
      </c>
      <c r="Z1178" s="2">
        <f>Table1[[#This Row],[total_collected_premiums]]*(1-$AD$2)</f>
        <v>3735.6126479999994</v>
      </c>
      <c r="AA1178" s="2">
        <f>Table1[[#This Row],[retained_premium]]-Table1[[#This Row],[claim_amount_paid]]</f>
        <v>1735.6126479999994</v>
      </c>
    </row>
    <row r="1179" spans="1:27" x14ac:dyDescent="0.35">
      <c r="A1179" t="s">
        <v>3576</v>
      </c>
      <c r="B1179" t="s">
        <v>3577</v>
      </c>
      <c r="C1179" t="s">
        <v>3578</v>
      </c>
      <c r="D1179" s="1">
        <v>40940</v>
      </c>
      <c r="E1179" s="1">
        <v>44268</v>
      </c>
      <c r="F1179" s="1">
        <v>44273</v>
      </c>
      <c r="G1179">
        <v>5</v>
      </c>
      <c r="H1179">
        <v>88.31</v>
      </c>
      <c r="I1179">
        <v>1059.72</v>
      </c>
      <c r="J1179">
        <v>9000</v>
      </c>
      <c r="K1179" t="s">
        <v>27</v>
      </c>
      <c r="L1179">
        <v>9000</v>
      </c>
      <c r="M1179">
        <v>9</v>
      </c>
      <c r="N1179" t="s">
        <v>49</v>
      </c>
      <c r="O1179">
        <v>108</v>
      </c>
      <c r="P1179">
        <v>25</v>
      </c>
      <c r="Q1179">
        <v>1</v>
      </c>
      <c r="R1179">
        <v>3</v>
      </c>
      <c r="S1179" t="s">
        <v>65</v>
      </c>
      <c r="T1179" t="s">
        <v>44</v>
      </c>
      <c r="U1179" t="s">
        <v>51</v>
      </c>
      <c r="V1179" t="s">
        <v>39</v>
      </c>
      <c r="W1179">
        <v>1</v>
      </c>
      <c r="X1179">
        <v>1</v>
      </c>
      <c r="Y1179" s="2">
        <f>Table1[[#This Row],[premium_yearly]]*Table1[[#This Row],[tenure_years]]</f>
        <v>9537.48</v>
      </c>
      <c r="Z1179" s="2">
        <f>Table1[[#This Row],[total_collected_premiums]]*(1-$AD$2)</f>
        <v>6962.3603999999996</v>
      </c>
      <c r="AA1179" s="2">
        <f>Table1[[#This Row],[retained_premium]]-Table1[[#This Row],[claim_amount_paid]]</f>
        <v>-2037.6396000000004</v>
      </c>
    </row>
    <row r="1180" spans="1:27" x14ac:dyDescent="0.35">
      <c r="A1180" t="s">
        <v>3579</v>
      </c>
      <c r="B1180" t="s">
        <v>3580</v>
      </c>
      <c r="C1180" t="s">
        <v>3581</v>
      </c>
      <c r="D1180" s="1">
        <v>42022</v>
      </c>
      <c r="E1180" s="1">
        <v>44269</v>
      </c>
      <c r="F1180" s="1">
        <v>44274</v>
      </c>
      <c r="G1180">
        <v>5</v>
      </c>
      <c r="H1180">
        <v>108.63</v>
      </c>
      <c r="I1180">
        <v>1303.56</v>
      </c>
      <c r="J1180">
        <v>6000</v>
      </c>
      <c r="K1180" t="s">
        <v>27</v>
      </c>
      <c r="L1180">
        <v>6000</v>
      </c>
      <c r="M1180">
        <v>7.25</v>
      </c>
      <c r="N1180" t="s">
        <v>36</v>
      </c>
      <c r="O1180">
        <v>87</v>
      </c>
      <c r="P1180">
        <v>59</v>
      </c>
      <c r="Q1180">
        <v>1</v>
      </c>
      <c r="R1180">
        <v>7</v>
      </c>
      <c r="S1180" t="s">
        <v>37</v>
      </c>
      <c r="T1180" t="s">
        <v>50</v>
      </c>
      <c r="U1180" t="s">
        <v>58</v>
      </c>
      <c r="V1180" t="s">
        <v>45</v>
      </c>
      <c r="W1180">
        <v>1</v>
      </c>
      <c r="X1180">
        <v>0</v>
      </c>
      <c r="Y1180" s="2">
        <f>Table1[[#This Row],[premium_yearly]]*Table1[[#This Row],[tenure_years]]</f>
        <v>9450.81</v>
      </c>
      <c r="Z1180" s="2">
        <f>Table1[[#This Row],[total_collected_premiums]]*(1-$AD$2)</f>
        <v>6899.0912999999991</v>
      </c>
      <c r="AA1180" s="2">
        <f>Table1[[#This Row],[retained_premium]]-Table1[[#This Row],[claim_amount_paid]]</f>
        <v>899.09129999999914</v>
      </c>
    </row>
    <row r="1181" spans="1:27" x14ac:dyDescent="0.35">
      <c r="A1181" t="s">
        <v>3582</v>
      </c>
      <c r="B1181" t="s">
        <v>3583</v>
      </c>
      <c r="C1181" t="s">
        <v>3584</v>
      </c>
      <c r="D1181" s="1">
        <v>42405</v>
      </c>
      <c r="E1181" s="1">
        <v>44274</v>
      </c>
      <c r="F1181" s="1">
        <v>44276</v>
      </c>
      <c r="G1181">
        <v>2</v>
      </c>
      <c r="H1181">
        <v>78.84</v>
      </c>
      <c r="I1181">
        <v>946.08</v>
      </c>
      <c r="J1181">
        <v>3000</v>
      </c>
      <c r="K1181" t="s">
        <v>27</v>
      </c>
      <c r="L1181">
        <v>3000</v>
      </c>
      <c r="M1181">
        <v>7.25</v>
      </c>
      <c r="N1181" t="s">
        <v>28</v>
      </c>
      <c r="O1181">
        <v>87</v>
      </c>
      <c r="P1181">
        <v>30</v>
      </c>
      <c r="Q1181">
        <v>0</v>
      </c>
      <c r="R1181">
        <v>6</v>
      </c>
      <c r="S1181" t="s">
        <v>65</v>
      </c>
      <c r="T1181" t="s">
        <v>44</v>
      </c>
      <c r="U1181" t="s">
        <v>58</v>
      </c>
      <c r="V1181" t="s">
        <v>32</v>
      </c>
      <c r="W1181">
        <v>1</v>
      </c>
      <c r="X1181">
        <v>0</v>
      </c>
      <c r="Y1181" s="2">
        <f>Table1[[#This Row],[premium_yearly]]*Table1[[#This Row],[tenure_years]]</f>
        <v>6859.08</v>
      </c>
      <c r="Z1181" s="2">
        <f>Table1[[#This Row],[total_collected_premiums]]*(1-$AD$2)</f>
        <v>5007.1283999999996</v>
      </c>
      <c r="AA1181" s="2">
        <f>Table1[[#This Row],[retained_premium]]-Table1[[#This Row],[claim_amount_paid]]</f>
        <v>2007.1283999999996</v>
      </c>
    </row>
    <row r="1182" spans="1:27" x14ac:dyDescent="0.35">
      <c r="A1182" t="s">
        <v>3585</v>
      </c>
      <c r="B1182" t="s">
        <v>3586</v>
      </c>
      <c r="C1182" t="s">
        <v>3587</v>
      </c>
      <c r="D1182" s="1">
        <v>42261</v>
      </c>
      <c r="E1182" s="1">
        <v>44262</v>
      </c>
      <c r="F1182" s="1">
        <v>44267</v>
      </c>
      <c r="G1182">
        <v>5</v>
      </c>
      <c r="H1182">
        <v>109.95</v>
      </c>
      <c r="I1182">
        <v>1319.4</v>
      </c>
      <c r="J1182">
        <v>8000</v>
      </c>
      <c r="K1182" t="s">
        <v>27</v>
      </c>
      <c r="L1182">
        <v>8000</v>
      </c>
      <c r="M1182">
        <v>5.42</v>
      </c>
      <c r="N1182" t="s">
        <v>49</v>
      </c>
      <c r="O1182">
        <v>65</v>
      </c>
      <c r="P1182">
        <v>27</v>
      </c>
      <c r="Q1182">
        <v>1</v>
      </c>
      <c r="R1182">
        <v>6</v>
      </c>
      <c r="S1182" t="s">
        <v>29</v>
      </c>
      <c r="T1182" t="s">
        <v>44</v>
      </c>
      <c r="U1182" t="s">
        <v>38</v>
      </c>
      <c r="V1182" t="s">
        <v>45</v>
      </c>
      <c r="W1182">
        <v>1</v>
      </c>
      <c r="X1182">
        <v>1</v>
      </c>
      <c r="Y1182" s="2">
        <f>Table1[[#This Row],[premium_yearly]]*Table1[[#This Row],[tenure_years]]</f>
        <v>7151.1480000000001</v>
      </c>
      <c r="Z1182" s="2">
        <f>Table1[[#This Row],[total_collected_premiums]]*(1-$AD$2)</f>
        <v>5220.3380399999996</v>
      </c>
      <c r="AA1182" s="2">
        <f>Table1[[#This Row],[retained_premium]]-Table1[[#This Row],[claim_amount_paid]]</f>
        <v>-2779.6619600000004</v>
      </c>
    </row>
    <row r="1183" spans="1:27" x14ac:dyDescent="0.35">
      <c r="A1183" t="s">
        <v>3588</v>
      </c>
      <c r="B1183" t="s">
        <v>3589</v>
      </c>
      <c r="C1183" t="s">
        <v>3590</v>
      </c>
      <c r="D1183" s="1">
        <v>41001</v>
      </c>
      <c r="E1183" s="1">
        <v>44272</v>
      </c>
      <c r="F1183" s="1">
        <v>44275</v>
      </c>
      <c r="G1183">
        <v>3</v>
      </c>
      <c r="H1183">
        <v>103.2</v>
      </c>
      <c r="I1183">
        <v>1238.4000000000001</v>
      </c>
      <c r="J1183">
        <v>10000</v>
      </c>
      <c r="K1183" t="s">
        <v>27</v>
      </c>
      <c r="L1183">
        <v>10000</v>
      </c>
      <c r="M1183">
        <v>2.5</v>
      </c>
      <c r="N1183" t="s">
        <v>28</v>
      </c>
      <c r="O1183">
        <v>30</v>
      </c>
      <c r="P1183">
        <v>62</v>
      </c>
      <c r="Q1183">
        <v>1</v>
      </c>
      <c r="R1183">
        <v>6</v>
      </c>
      <c r="S1183" t="s">
        <v>29</v>
      </c>
      <c r="T1183" t="s">
        <v>30</v>
      </c>
      <c r="U1183" t="s">
        <v>58</v>
      </c>
      <c r="V1183" t="s">
        <v>45</v>
      </c>
      <c r="W1183">
        <v>1</v>
      </c>
      <c r="X1183">
        <v>1</v>
      </c>
      <c r="Y1183" s="2">
        <f>Table1[[#This Row],[premium_yearly]]*Table1[[#This Row],[tenure_years]]</f>
        <v>3096</v>
      </c>
      <c r="Z1183" s="2">
        <f>Table1[[#This Row],[total_collected_premiums]]*(1-$AD$2)</f>
        <v>2260.08</v>
      </c>
      <c r="AA1183" s="2">
        <f>Table1[[#This Row],[retained_premium]]-Table1[[#This Row],[claim_amount_paid]]</f>
        <v>-7739.92</v>
      </c>
    </row>
    <row r="1184" spans="1:27" x14ac:dyDescent="0.35">
      <c r="A1184" t="s">
        <v>3591</v>
      </c>
      <c r="B1184" t="s">
        <v>3592</v>
      </c>
      <c r="C1184" t="s">
        <v>3593</v>
      </c>
      <c r="D1184" s="1">
        <v>42414</v>
      </c>
      <c r="E1184" s="1">
        <v>44261</v>
      </c>
      <c r="F1184" s="1">
        <v>44266</v>
      </c>
      <c r="G1184">
        <v>5</v>
      </c>
      <c r="H1184">
        <v>137.29</v>
      </c>
      <c r="I1184">
        <v>1647.48</v>
      </c>
      <c r="J1184">
        <v>1000</v>
      </c>
      <c r="K1184" t="s">
        <v>27</v>
      </c>
      <c r="L1184">
        <v>1000</v>
      </c>
      <c r="M1184">
        <v>9.33</v>
      </c>
      <c r="N1184" t="s">
        <v>49</v>
      </c>
      <c r="O1184">
        <v>112</v>
      </c>
      <c r="P1184">
        <v>48</v>
      </c>
      <c r="Q1184">
        <v>1</v>
      </c>
      <c r="R1184">
        <v>3</v>
      </c>
      <c r="S1184" t="s">
        <v>29</v>
      </c>
      <c r="T1184" t="s">
        <v>50</v>
      </c>
      <c r="U1184" t="s">
        <v>38</v>
      </c>
      <c r="V1184" t="s">
        <v>45</v>
      </c>
      <c r="W1184">
        <v>0</v>
      </c>
      <c r="X1184">
        <v>1</v>
      </c>
      <c r="Y1184" s="2">
        <f>Table1[[#This Row],[premium_yearly]]*Table1[[#This Row],[tenure_years]]</f>
        <v>15370.9884</v>
      </c>
      <c r="Z1184" s="2">
        <f>Table1[[#This Row],[total_collected_premiums]]*(1-$AD$2)</f>
        <v>11220.821532</v>
      </c>
      <c r="AA1184" s="2">
        <f>Table1[[#This Row],[retained_premium]]-Table1[[#This Row],[claim_amount_paid]]</f>
        <v>10220.821532</v>
      </c>
    </row>
    <row r="1185" spans="1:27" x14ac:dyDescent="0.35">
      <c r="A1185" t="s">
        <v>3594</v>
      </c>
      <c r="B1185" t="s">
        <v>3595</v>
      </c>
      <c r="C1185" t="s">
        <v>3596</v>
      </c>
      <c r="D1185" s="1">
        <v>42938</v>
      </c>
      <c r="E1185" s="1">
        <v>44280</v>
      </c>
      <c r="F1185" s="1">
        <v>44280</v>
      </c>
      <c r="G1185">
        <v>0</v>
      </c>
      <c r="H1185">
        <v>98.91</v>
      </c>
      <c r="I1185">
        <v>1186.92</v>
      </c>
      <c r="J1185">
        <v>7000</v>
      </c>
      <c r="K1185" t="s">
        <v>27</v>
      </c>
      <c r="L1185">
        <v>7000</v>
      </c>
      <c r="M1185">
        <v>4.17</v>
      </c>
      <c r="N1185" t="s">
        <v>28</v>
      </c>
      <c r="O1185">
        <v>50</v>
      </c>
      <c r="P1185">
        <v>58</v>
      </c>
      <c r="Q1185">
        <v>1</v>
      </c>
      <c r="R1185">
        <v>2</v>
      </c>
      <c r="S1185" t="s">
        <v>37</v>
      </c>
      <c r="T1185" t="s">
        <v>50</v>
      </c>
      <c r="U1185" t="s">
        <v>38</v>
      </c>
      <c r="V1185" t="s">
        <v>32</v>
      </c>
      <c r="W1185">
        <v>1</v>
      </c>
      <c r="X1185">
        <v>1</v>
      </c>
      <c r="Y1185" s="2">
        <f>Table1[[#This Row],[premium_yearly]]*Table1[[#This Row],[tenure_years]]</f>
        <v>4949.4564</v>
      </c>
      <c r="Z1185" s="2">
        <f>Table1[[#This Row],[total_collected_premiums]]*(1-$AD$2)</f>
        <v>3613.1031720000001</v>
      </c>
      <c r="AA1185" s="2">
        <f>Table1[[#This Row],[retained_premium]]-Table1[[#This Row],[claim_amount_paid]]</f>
        <v>-3386.8968279999999</v>
      </c>
    </row>
    <row r="1186" spans="1:27" x14ac:dyDescent="0.35">
      <c r="A1186" t="s">
        <v>3597</v>
      </c>
      <c r="B1186" t="s">
        <v>3598</v>
      </c>
      <c r="C1186" t="s">
        <v>3599</v>
      </c>
      <c r="D1186" s="1">
        <v>40468</v>
      </c>
      <c r="E1186" s="1">
        <v>44276</v>
      </c>
      <c r="F1186" s="1">
        <v>44277</v>
      </c>
      <c r="G1186">
        <v>1</v>
      </c>
      <c r="H1186">
        <v>73.48</v>
      </c>
      <c r="I1186">
        <v>881.76</v>
      </c>
      <c r="J1186">
        <v>8000</v>
      </c>
      <c r="K1186" t="s">
        <v>27</v>
      </c>
      <c r="L1186">
        <v>8000</v>
      </c>
      <c r="M1186">
        <v>7.42</v>
      </c>
      <c r="N1186" t="s">
        <v>36</v>
      </c>
      <c r="O1186">
        <v>89</v>
      </c>
      <c r="P1186">
        <v>64</v>
      </c>
      <c r="Q1186">
        <v>1</v>
      </c>
      <c r="R1186">
        <v>2</v>
      </c>
      <c r="S1186" t="s">
        <v>65</v>
      </c>
      <c r="T1186" t="s">
        <v>44</v>
      </c>
      <c r="U1186" t="s">
        <v>38</v>
      </c>
      <c r="V1186" t="s">
        <v>39</v>
      </c>
      <c r="W1186">
        <v>1</v>
      </c>
      <c r="X1186">
        <v>1</v>
      </c>
      <c r="Y1186" s="2">
        <f>Table1[[#This Row],[premium_yearly]]*Table1[[#This Row],[tenure_years]]</f>
        <v>6542.6592000000001</v>
      </c>
      <c r="Z1186" s="2">
        <f>Table1[[#This Row],[total_collected_premiums]]*(1-$AD$2)</f>
        <v>4776.141216</v>
      </c>
      <c r="AA1186" s="2">
        <f>Table1[[#This Row],[retained_premium]]-Table1[[#This Row],[claim_amount_paid]]</f>
        <v>-3223.858784</v>
      </c>
    </row>
    <row r="1187" spans="1:27" x14ac:dyDescent="0.35">
      <c r="A1187" t="s">
        <v>3600</v>
      </c>
      <c r="B1187" t="s">
        <v>3601</v>
      </c>
      <c r="C1187" t="s">
        <v>3602</v>
      </c>
      <c r="D1187" s="1">
        <v>43637</v>
      </c>
      <c r="E1187" s="1">
        <v>44261</v>
      </c>
      <c r="F1187" s="1">
        <v>44266</v>
      </c>
      <c r="G1187">
        <v>5</v>
      </c>
      <c r="H1187">
        <v>120.34</v>
      </c>
      <c r="I1187">
        <v>1444.08</v>
      </c>
      <c r="J1187">
        <v>7000</v>
      </c>
      <c r="K1187" t="s">
        <v>27</v>
      </c>
      <c r="L1187">
        <v>7000</v>
      </c>
      <c r="M1187">
        <v>1</v>
      </c>
      <c r="N1187" t="s">
        <v>36</v>
      </c>
      <c r="O1187">
        <v>12</v>
      </c>
      <c r="P1187">
        <v>31</v>
      </c>
      <c r="Q1187">
        <v>1</v>
      </c>
      <c r="R1187">
        <v>6</v>
      </c>
      <c r="S1187" t="s">
        <v>65</v>
      </c>
      <c r="T1187" t="s">
        <v>44</v>
      </c>
      <c r="U1187" t="s">
        <v>88</v>
      </c>
      <c r="V1187" t="s">
        <v>32</v>
      </c>
      <c r="W1187">
        <v>0</v>
      </c>
      <c r="X1187">
        <v>1</v>
      </c>
      <c r="Y1187" s="2">
        <f>Table1[[#This Row],[premium_yearly]]*Table1[[#This Row],[tenure_years]]</f>
        <v>1444.08</v>
      </c>
      <c r="Z1187" s="2">
        <f>Table1[[#This Row],[total_collected_premiums]]*(1-$AD$2)</f>
        <v>1054.1784</v>
      </c>
      <c r="AA1187" s="2">
        <f>Table1[[#This Row],[retained_premium]]-Table1[[#This Row],[claim_amount_paid]]</f>
        <v>-5945.8216000000002</v>
      </c>
    </row>
    <row r="1188" spans="1:27" x14ac:dyDescent="0.35">
      <c r="A1188" t="s">
        <v>3603</v>
      </c>
      <c r="B1188" t="s">
        <v>3604</v>
      </c>
      <c r="C1188" t="s">
        <v>3605</v>
      </c>
      <c r="D1188" s="1">
        <v>41160</v>
      </c>
      <c r="E1188" s="1">
        <v>44265</v>
      </c>
      <c r="F1188" s="1">
        <v>44270</v>
      </c>
      <c r="G1188">
        <v>5</v>
      </c>
      <c r="H1188">
        <v>110.43</v>
      </c>
      <c r="I1188">
        <v>1325.16</v>
      </c>
      <c r="J1188">
        <v>7000</v>
      </c>
      <c r="K1188" t="s">
        <v>27</v>
      </c>
      <c r="L1188">
        <v>7000</v>
      </c>
      <c r="M1188">
        <v>9.58</v>
      </c>
      <c r="N1188" t="s">
        <v>36</v>
      </c>
      <c r="O1188">
        <v>115</v>
      </c>
      <c r="P1188">
        <v>37</v>
      </c>
      <c r="Q1188">
        <v>1</v>
      </c>
      <c r="R1188">
        <v>2</v>
      </c>
      <c r="S1188" t="s">
        <v>65</v>
      </c>
      <c r="T1188" t="s">
        <v>50</v>
      </c>
      <c r="U1188" t="s">
        <v>31</v>
      </c>
      <c r="V1188" t="s">
        <v>32</v>
      </c>
      <c r="W1188">
        <v>1</v>
      </c>
      <c r="X1188">
        <v>0</v>
      </c>
      <c r="Y1188" s="2">
        <f>Table1[[#This Row],[premium_yearly]]*Table1[[#This Row],[tenure_years]]</f>
        <v>12695.032800000001</v>
      </c>
      <c r="Z1188" s="2">
        <f>Table1[[#This Row],[total_collected_premiums]]*(1-$AD$2)</f>
        <v>9267.3739440000008</v>
      </c>
      <c r="AA1188" s="2">
        <f>Table1[[#This Row],[retained_premium]]-Table1[[#This Row],[claim_amount_paid]]</f>
        <v>2267.3739440000008</v>
      </c>
    </row>
    <row r="1189" spans="1:27" x14ac:dyDescent="0.35">
      <c r="A1189" t="s">
        <v>3606</v>
      </c>
      <c r="B1189" t="s">
        <v>3607</v>
      </c>
      <c r="C1189" t="s">
        <v>3608</v>
      </c>
      <c r="D1189" s="1">
        <v>41321</v>
      </c>
      <c r="E1189" s="1">
        <v>44268</v>
      </c>
      <c r="F1189" s="1">
        <v>44273</v>
      </c>
      <c r="G1189">
        <v>5</v>
      </c>
      <c r="H1189">
        <v>82.58</v>
      </c>
      <c r="I1189">
        <v>990.96</v>
      </c>
      <c r="J1189">
        <v>10000</v>
      </c>
      <c r="K1189" t="s">
        <v>27</v>
      </c>
      <c r="L1189">
        <v>10000</v>
      </c>
      <c r="M1189">
        <v>0.5</v>
      </c>
      <c r="N1189" t="s">
        <v>36</v>
      </c>
      <c r="O1189">
        <v>6</v>
      </c>
      <c r="P1189">
        <v>55</v>
      </c>
      <c r="Q1189">
        <v>1</v>
      </c>
      <c r="R1189">
        <v>7</v>
      </c>
      <c r="S1189" t="s">
        <v>37</v>
      </c>
      <c r="T1189" t="s">
        <v>30</v>
      </c>
      <c r="U1189" t="s">
        <v>38</v>
      </c>
      <c r="V1189" t="s">
        <v>32</v>
      </c>
      <c r="W1189">
        <v>1</v>
      </c>
      <c r="X1189">
        <v>0</v>
      </c>
      <c r="Y1189" s="2">
        <f>Table1[[#This Row],[premium_yearly]]*Table1[[#This Row],[tenure_years]]</f>
        <v>495.48</v>
      </c>
      <c r="Z1189" s="2">
        <f>Table1[[#This Row],[total_collected_premiums]]*(1-$AD$2)</f>
        <v>361.7004</v>
      </c>
      <c r="AA1189" s="2">
        <f>Table1[[#This Row],[retained_premium]]-Table1[[#This Row],[claim_amount_paid]]</f>
        <v>-9638.2996000000003</v>
      </c>
    </row>
    <row r="1190" spans="1:27" x14ac:dyDescent="0.35">
      <c r="A1190" t="s">
        <v>3609</v>
      </c>
      <c r="B1190" t="s">
        <v>3610</v>
      </c>
      <c r="C1190" t="s">
        <v>3611</v>
      </c>
      <c r="D1190" s="1">
        <v>42005</v>
      </c>
      <c r="E1190" s="1">
        <v>44272</v>
      </c>
      <c r="F1190" s="1">
        <v>44277</v>
      </c>
      <c r="G1190">
        <v>5</v>
      </c>
      <c r="H1190">
        <v>105.08</v>
      </c>
      <c r="I1190">
        <v>1260.96</v>
      </c>
      <c r="J1190">
        <v>9000</v>
      </c>
      <c r="K1190" t="s">
        <v>27</v>
      </c>
      <c r="L1190">
        <v>9000</v>
      </c>
      <c r="M1190">
        <v>0.83</v>
      </c>
      <c r="N1190" t="s">
        <v>28</v>
      </c>
      <c r="O1190">
        <v>10</v>
      </c>
      <c r="P1190">
        <v>51</v>
      </c>
      <c r="Q1190">
        <v>1</v>
      </c>
      <c r="R1190">
        <v>6</v>
      </c>
      <c r="S1190" t="s">
        <v>37</v>
      </c>
      <c r="T1190" t="s">
        <v>30</v>
      </c>
      <c r="U1190" t="s">
        <v>58</v>
      </c>
      <c r="V1190" t="s">
        <v>32</v>
      </c>
      <c r="W1190">
        <v>1</v>
      </c>
      <c r="X1190">
        <v>1</v>
      </c>
      <c r="Y1190" s="2">
        <f>Table1[[#This Row],[premium_yearly]]*Table1[[#This Row],[tenure_years]]</f>
        <v>1046.5968</v>
      </c>
      <c r="Z1190" s="2">
        <f>Table1[[#This Row],[total_collected_premiums]]*(1-$AD$2)</f>
        <v>764.01566400000002</v>
      </c>
      <c r="AA1190" s="2">
        <f>Table1[[#This Row],[retained_premium]]-Table1[[#This Row],[claim_amount_paid]]</f>
        <v>-8235.9843359999995</v>
      </c>
    </row>
    <row r="1191" spans="1:27" x14ac:dyDescent="0.35">
      <c r="A1191" t="s">
        <v>3612</v>
      </c>
      <c r="B1191" t="s">
        <v>3613</v>
      </c>
      <c r="C1191" t="s">
        <v>3614</v>
      </c>
      <c r="D1191" s="1">
        <v>42985</v>
      </c>
      <c r="E1191" s="1">
        <v>44265</v>
      </c>
      <c r="F1191" s="1">
        <v>44270</v>
      </c>
      <c r="G1191">
        <v>5</v>
      </c>
      <c r="H1191">
        <v>109.39</v>
      </c>
      <c r="I1191">
        <v>1312.68</v>
      </c>
      <c r="J1191">
        <v>8000</v>
      </c>
      <c r="K1191" t="s">
        <v>27</v>
      </c>
      <c r="L1191">
        <v>8000</v>
      </c>
      <c r="M1191">
        <v>0.5</v>
      </c>
      <c r="N1191" t="s">
        <v>28</v>
      </c>
      <c r="O1191">
        <v>6</v>
      </c>
      <c r="P1191">
        <v>40</v>
      </c>
      <c r="Q1191">
        <v>1</v>
      </c>
      <c r="R1191">
        <v>7</v>
      </c>
      <c r="S1191" t="s">
        <v>29</v>
      </c>
      <c r="T1191" t="s">
        <v>30</v>
      </c>
      <c r="U1191" t="s">
        <v>38</v>
      </c>
      <c r="V1191" t="s">
        <v>45</v>
      </c>
      <c r="W1191">
        <v>1</v>
      </c>
      <c r="X1191">
        <v>0</v>
      </c>
      <c r="Y1191" s="2">
        <f>Table1[[#This Row],[premium_yearly]]*Table1[[#This Row],[tenure_years]]</f>
        <v>656.34</v>
      </c>
      <c r="Z1191" s="2">
        <f>Table1[[#This Row],[total_collected_premiums]]*(1-$AD$2)</f>
        <v>479.12819999999999</v>
      </c>
      <c r="AA1191" s="2">
        <f>Table1[[#This Row],[retained_premium]]-Table1[[#This Row],[claim_amount_paid]]</f>
        <v>-7520.8717999999999</v>
      </c>
    </row>
    <row r="1192" spans="1:27" x14ac:dyDescent="0.35">
      <c r="A1192" t="s">
        <v>3615</v>
      </c>
      <c r="B1192" t="s">
        <v>3616</v>
      </c>
      <c r="C1192" t="s">
        <v>3617</v>
      </c>
      <c r="D1192" s="1">
        <v>43515</v>
      </c>
      <c r="E1192" s="1">
        <v>44279</v>
      </c>
      <c r="F1192" s="1">
        <v>44280</v>
      </c>
      <c r="G1192">
        <v>1</v>
      </c>
      <c r="H1192">
        <v>121.48</v>
      </c>
      <c r="I1192">
        <v>1457.76</v>
      </c>
      <c r="J1192">
        <v>5000</v>
      </c>
      <c r="K1192" t="s">
        <v>27</v>
      </c>
      <c r="L1192">
        <v>5000</v>
      </c>
      <c r="M1192">
        <v>3</v>
      </c>
      <c r="N1192" t="s">
        <v>49</v>
      </c>
      <c r="O1192">
        <v>36</v>
      </c>
      <c r="P1192">
        <v>37</v>
      </c>
      <c r="Q1192">
        <v>1</v>
      </c>
      <c r="R1192">
        <v>2</v>
      </c>
      <c r="S1192" t="s">
        <v>65</v>
      </c>
      <c r="T1192" t="s">
        <v>44</v>
      </c>
      <c r="U1192" t="s">
        <v>38</v>
      </c>
      <c r="V1192" t="s">
        <v>39</v>
      </c>
      <c r="W1192">
        <v>0</v>
      </c>
      <c r="X1192">
        <v>1</v>
      </c>
      <c r="Y1192" s="2">
        <f>Table1[[#This Row],[premium_yearly]]*Table1[[#This Row],[tenure_years]]</f>
        <v>4373.28</v>
      </c>
      <c r="Z1192" s="2">
        <f>Table1[[#This Row],[total_collected_premiums]]*(1-$AD$2)</f>
        <v>3192.4943999999996</v>
      </c>
      <c r="AA1192" s="2">
        <f>Table1[[#This Row],[retained_premium]]-Table1[[#This Row],[claim_amount_paid]]</f>
        <v>-1807.5056000000004</v>
      </c>
    </row>
    <row r="1193" spans="1:27" x14ac:dyDescent="0.35">
      <c r="A1193" t="s">
        <v>3618</v>
      </c>
      <c r="B1193" t="s">
        <v>3619</v>
      </c>
      <c r="C1193" t="s">
        <v>3620</v>
      </c>
      <c r="D1193" s="1">
        <v>42684</v>
      </c>
      <c r="E1193" s="1">
        <v>44267</v>
      </c>
      <c r="F1193" s="1">
        <v>44272</v>
      </c>
      <c r="G1193">
        <v>5</v>
      </c>
      <c r="H1193">
        <v>87.28</v>
      </c>
      <c r="I1193">
        <v>1047.3599999999999</v>
      </c>
      <c r="J1193">
        <v>1000</v>
      </c>
      <c r="K1193" t="s">
        <v>27</v>
      </c>
      <c r="L1193">
        <v>1000</v>
      </c>
      <c r="M1193">
        <v>2.17</v>
      </c>
      <c r="N1193" t="s">
        <v>49</v>
      </c>
      <c r="O1193">
        <v>26</v>
      </c>
      <c r="P1193">
        <v>63</v>
      </c>
      <c r="Q1193">
        <v>1</v>
      </c>
      <c r="R1193">
        <v>3</v>
      </c>
      <c r="S1193" t="s">
        <v>65</v>
      </c>
      <c r="T1193" t="s">
        <v>30</v>
      </c>
      <c r="U1193" t="s">
        <v>38</v>
      </c>
      <c r="V1193" t="s">
        <v>39</v>
      </c>
      <c r="W1193">
        <v>0</v>
      </c>
      <c r="X1193">
        <v>0</v>
      </c>
      <c r="Y1193" s="2">
        <f>Table1[[#This Row],[premium_yearly]]*Table1[[#This Row],[tenure_years]]</f>
        <v>2272.7711999999997</v>
      </c>
      <c r="Z1193" s="2">
        <f>Table1[[#This Row],[total_collected_premiums]]*(1-$AD$2)</f>
        <v>1659.1229759999997</v>
      </c>
      <c r="AA1193" s="2">
        <f>Table1[[#This Row],[retained_premium]]-Table1[[#This Row],[claim_amount_paid]]</f>
        <v>659.12297599999965</v>
      </c>
    </row>
    <row r="1194" spans="1:27" x14ac:dyDescent="0.35">
      <c r="A1194" t="s">
        <v>3621</v>
      </c>
      <c r="B1194" t="s">
        <v>3622</v>
      </c>
      <c r="C1194" t="s">
        <v>3623</v>
      </c>
      <c r="D1194" s="1">
        <v>40599</v>
      </c>
      <c r="E1194" s="1">
        <v>44271</v>
      </c>
      <c r="F1194" s="1">
        <v>44276</v>
      </c>
      <c r="G1194">
        <v>5</v>
      </c>
      <c r="H1194">
        <v>135.18</v>
      </c>
      <c r="I1194">
        <v>1622.16</v>
      </c>
      <c r="J1194">
        <v>8000</v>
      </c>
      <c r="K1194" t="s">
        <v>27</v>
      </c>
      <c r="L1194">
        <v>8000</v>
      </c>
      <c r="M1194">
        <v>6.58</v>
      </c>
      <c r="N1194" t="s">
        <v>49</v>
      </c>
      <c r="O1194">
        <v>79</v>
      </c>
      <c r="P1194">
        <v>25</v>
      </c>
      <c r="Q1194">
        <v>0</v>
      </c>
      <c r="R1194">
        <v>2</v>
      </c>
      <c r="S1194" t="s">
        <v>29</v>
      </c>
      <c r="T1194" t="s">
        <v>50</v>
      </c>
      <c r="U1194" t="s">
        <v>31</v>
      </c>
      <c r="V1194" t="s">
        <v>39</v>
      </c>
      <c r="W1194">
        <v>1</v>
      </c>
      <c r="X1194">
        <v>1</v>
      </c>
      <c r="Y1194" s="2">
        <f>Table1[[#This Row],[premium_yearly]]*Table1[[#This Row],[tenure_years]]</f>
        <v>10673.812800000002</v>
      </c>
      <c r="Z1194" s="2">
        <f>Table1[[#This Row],[total_collected_premiums]]*(1-$AD$2)</f>
        <v>7791.8833440000008</v>
      </c>
      <c r="AA1194" s="2">
        <f>Table1[[#This Row],[retained_premium]]-Table1[[#This Row],[claim_amount_paid]]</f>
        <v>-208.11665599999924</v>
      </c>
    </row>
    <row r="1195" spans="1:27" x14ac:dyDescent="0.35">
      <c r="A1195" t="s">
        <v>3624</v>
      </c>
      <c r="B1195" t="s">
        <v>3625</v>
      </c>
      <c r="C1195" t="s">
        <v>3626</v>
      </c>
      <c r="D1195" s="1">
        <v>41708</v>
      </c>
      <c r="E1195" s="1">
        <v>44265</v>
      </c>
      <c r="F1195" s="1">
        <v>44270</v>
      </c>
      <c r="G1195">
        <v>5</v>
      </c>
      <c r="H1195">
        <v>108.2</v>
      </c>
      <c r="I1195">
        <v>1298.4000000000001</v>
      </c>
      <c r="J1195">
        <v>7000</v>
      </c>
      <c r="K1195" t="s">
        <v>27</v>
      </c>
      <c r="L1195">
        <v>7000</v>
      </c>
      <c r="M1195">
        <v>5.08</v>
      </c>
      <c r="N1195" t="s">
        <v>49</v>
      </c>
      <c r="O1195">
        <v>61</v>
      </c>
      <c r="P1195">
        <v>54</v>
      </c>
      <c r="Q1195">
        <v>1</v>
      </c>
      <c r="R1195">
        <v>7</v>
      </c>
      <c r="S1195" t="s">
        <v>65</v>
      </c>
      <c r="T1195" t="s">
        <v>30</v>
      </c>
      <c r="U1195" t="s">
        <v>66</v>
      </c>
      <c r="V1195" t="s">
        <v>39</v>
      </c>
      <c r="W1195">
        <v>1</v>
      </c>
      <c r="X1195">
        <v>0</v>
      </c>
      <c r="Y1195" s="2">
        <f>Table1[[#This Row],[premium_yearly]]*Table1[[#This Row],[tenure_years]]</f>
        <v>6595.8720000000003</v>
      </c>
      <c r="Z1195" s="2">
        <f>Table1[[#This Row],[total_collected_premiums]]*(1-$AD$2)</f>
        <v>4814.9865600000003</v>
      </c>
      <c r="AA1195" s="2">
        <f>Table1[[#This Row],[retained_premium]]-Table1[[#This Row],[claim_amount_paid]]</f>
        <v>-2185.0134399999997</v>
      </c>
    </row>
    <row r="1196" spans="1:27" x14ac:dyDescent="0.35">
      <c r="A1196" t="s">
        <v>3627</v>
      </c>
      <c r="B1196" t="s">
        <v>3628</v>
      </c>
      <c r="C1196" t="s">
        <v>3629</v>
      </c>
      <c r="D1196" s="1">
        <v>42963</v>
      </c>
      <c r="E1196" s="1">
        <v>44278</v>
      </c>
      <c r="F1196" s="1">
        <v>44280</v>
      </c>
      <c r="G1196">
        <v>2</v>
      </c>
      <c r="H1196">
        <v>96.44</v>
      </c>
      <c r="I1196">
        <v>1157.28</v>
      </c>
      <c r="J1196">
        <v>7000</v>
      </c>
      <c r="K1196" t="s">
        <v>27</v>
      </c>
      <c r="L1196">
        <v>7000</v>
      </c>
      <c r="M1196">
        <v>7.92</v>
      </c>
      <c r="N1196" t="s">
        <v>49</v>
      </c>
      <c r="O1196">
        <v>95</v>
      </c>
      <c r="P1196">
        <v>60</v>
      </c>
      <c r="Q1196">
        <v>1</v>
      </c>
      <c r="R1196">
        <v>2</v>
      </c>
      <c r="S1196" t="s">
        <v>29</v>
      </c>
      <c r="T1196" t="s">
        <v>30</v>
      </c>
      <c r="U1196" t="s">
        <v>38</v>
      </c>
      <c r="V1196" t="s">
        <v>39</v>
      </c>
      <c r="W1196">
        <v>1</v>
      </c>
      <c r="X1196">
        <v>1</v>
      </c>
      <c r="Y1196" s="2">
        <f>Table1[[#This Row],[premium_yearly]]*Table1[[#This Row],[tenure_years]]</f>
        <v>9165.6576000000005</v>
      </c>
      <c r="Z1196" s="2">
        <f>Table1[[#This Row],[total_collected_premiums]]*(1-$AD$2)</f>
        <v>6690.9300480000002</v>
      </c>
      <c r="AA1196" s="2">
        <f>Table1[[#This Row],[retained_premium]]-Table1[[#This Row],[claim_amount_paid]]</f>
        <v>-309.06995199999983</v>
      </c>
    </row>
    <row r="1197" spans="1:27" x14ac:dyDescent="0.35">
      <c r="A1197" t="s">
        <v>3630</v>
      </c>
      <c r="B1197" t="s">
        <v>3631</v>
      </c>
      <c r="C1197" t="s">
        <v>3632</v>
      </c>
      <c r="D1197" s="1">
        <v>41487</v>
      </c>
      <c r="E1197" s="1">
        <v>44270</v>
      </c>
      <c r="F1197" s="1">
        <v>44275</v>
      </c>
      <c r="G1197">
        <v>5</v>
      </c>
      <c r="H1197">
        <v>83.28</v>
      </c>
      <c r="I1197">
        <v>999.36</v>
      </c>
      <c r="J1197">
        <v>9000</v>
      </c>
      <c r="K1197" t="s">
        <v>27</v>
      </c>
      <c r="L1197">
        <v>9000</v>
      </c>
      <c r="M1197">
        <v>7.33</v>
      </c>
      <c r="N1197" t="s">
        <v>49</v>
      </c>
      <c r="O1197">
        <v>88</v>
      </c>
      <c r="P1197">
        <v>57</v>
      </c>
      <c r="Q1197">
        <v>0</v>
      </c>
      <c r="R1197">
        <v>4</v>
      </c>
      <c r="S1197" t="s">
        <v>65</v>
      </c>
      <c r="T1197" t="s">
        <v>30</v>
      </c>
      <c r="U1197" t="s">
        <v>38</v>
      </c>
      <c r="V1197" t="s">
        <v>45</v>
      </c>
      <c r="W1197">
        <v>1</v>
      </c>
      <c r="X1197">
        <v>1</v>
      </c>
      <c r="Y1197" s="2">
        <f>Table1[[#This Row],[premium_yearly]]*Table1[[#This Row],[tenure_years]]</f>
        <v>7325.3087999999998</v>
      </c>
      <c r="Z1197" s="2">
        <f>Table1[[#This Row],[total_collected_premiums]]*(1-$AD$2)</f>
        <v>5347.4754239999993</v>
      </c>
      <c r="AA1197" s="2">
        <f>Table1[[#This Row],[retained_premium]]-Table1[[#This Row],[claim_amount_paid]]</f>
        <v>-3652.5245760000007</v>
      </c>
    </row>
    <row r="1198" spans="1:27" x14ac:dyDescent="0.35">
      <c r="A1198" t="s">
        <v>3633</v>
      </c>
      <c r="B1198" t="s">
        <v>3634</v>
      </c>
      <c r="C1198" t="s">
        <v>3635</v>
      </c>
      <c r="D1198" s="1">
        <v>42527</v>
      </c>
      <c r="E1198" s="1">
        <v>44266</v>
      </c>
      <c r="F1198" s="1">
        <v>44271</v>
      </c>
      <c r="G1198">
        <v>5</v>
      </c>
      <c r="H1198">
        <v>90.03</v>
      </c>
      <c r="I1198">
        <v>1080.3599999999999</v>
      </c>
      <c r="J1198">
        <v>2000</v>
      </c>
      <c r="K1198" t="s">
        <v>27</v>
      </c>
      <c r="L1198">
        <v>2000</v>
      </c>
      <c r="M1198">
        <v>6.17</v>
      </c>
      <c r="N1198" t="s">
        <v>49</v>
      </c>
      <c r="O1198">
        <v>74</v>
      </c>
      <c r="P1198">
        <v>55</v>
      </c>
      <c r="Q1198">
        <v>1</v>
      </c>
      <c r="R1198">
        <v>7</v>
      </c>
      <c r="S1198" t="s">
        <v>65</v>
      </c>
      <c r="T1198" t="s">
        <v>44</v>
      </c>
      <c r="U1198" t="s">
        <v>51</v>
      </c>
      <c r="V1198" t="s">
        <v>39</v>
      </c>
      <c r="W1198">
        <v>1</v>
      </c>
      <c r="X1198">
        <v>0</v>
      </c>
      <c r="Y1198" s="2">
        <f>Table1[[#This Row],[premium_yearly]]*Table1[[#This Row],[tenure_years]]</f>
        <v>6665.8211999999994</v>
      </c>
      <c r="Z1198" s="2">
        <f>Table1[[#This Row],[total_collected_premiums]]*(1-$AD$2)</f>
        <v>4866.0494759999992</v>
      </c>
      <c r="AA1198" s="2">
        <f>Table1[[#This Row],[retained_premium]]-Table1[[#This Row],[claim_amount_paid]]</f>
        <v>2866.0494759999992</v>
      </c>
    </row>
    <row r="1199" spans="1:27" x14ac:dyDescent="0.35">
      <c r="A1199" t="s">
        <v>3636</v>
      </c>
      <c r="B1199" t="s">
        <v>3637</v>
      </c>
      <c r="C1199" t="s">
        <v>3638</v>
      </c>
      <c r="D1199" s="1">
        <v>43171</v>
      </c>
      <c r="E1199" s="1">
        <v>44279</v>
      </c>
      <c r="F1199" s="1">
        <v>44281</v>
      </c>
      <c r="G1199">
        <v>2</v>
      </c>
      <c r="H1199">
        <v>130.32</v>
      </c>
      <c r="I1199">
        <v>1563.84</v>
      </c>
      <c r="J1199">
        <v>7000</v>
      </c>
      <c r="K1199" t="s">
        <v>27</v>
      </c>
      <c r="L1199">
        <v>7000</v>
      </c>
      <c r="M1199">
        <v>6.58</v>
      </c>
      <c r="N1199" t="s">
        <v>49</v>
      </c>
      <c r="O1199">
        <v>79</v>
      </c>
      <c r="P1199">
        <v>29</v>
      </c>
      <c r="Q1199">
        <v>1</v>
      </c>
      <c r="R1199">
        <v>5</v>
      </c>
      <c r="S1199" t="s">
        <v>65</v>
      </c>
      <c r="T1199" t="s">
        <v>44</v>
      </c>
      <c r="U1199" t="s">
        <v>31</v>
      </c>
      <c r="V1199" t="s">
        <v>45</v>
      </c>
      <c r="W1199">
        <v>1</v>
      </c>
      <c r="X1199">
        <v>1</v>
      </c>
      <c r="Y1199" s="2">
        <f>Table1[[#This Row],[premium_yearly]]*Table1[[#This Row],[tenure_years]]</f>
        <v>10290.0672</v>
      </c>
      <c r="Z1199" s="2">
        <f>Table1[[#This Row],[total_collected_premiums]]*(1-$AD$2)</f>
        <v>7511.7490559999997</v>
      </c>
      <c r="AA1199" s="2">
        <f>Table1[[#This Row],[retained_premium]]-Table1[[#This Row],[claim_amount_paid]]</f>
        <v>511.74905599999965</v>
      </c>
    </row>
    <row r="1200" spans="1:27" x14ac:dyDescent="0.35">
      <c r="A1200" t="s">
        <v>3639</v>
      </c>
      <c r="B1200" t="s">
        <v>3640</v>
      </c>
      <c r="C1200" t="s">
        <v>3641</v>
      </c>
      <c r="D1200" s="1">
        <v>41849</v>
      </c>
      <c r="E1200" s="1">
        <v>44282</v>
      </c>
      <c r="F1200" s="1">
        <v>44283</v>
      </c>
      <c r="G1200">
        <v>1</v>
      </c>
      <c r="H1200">
        <v>120.87</v>
      </c>
      <c r="I1200">
        <v>1450.44</v>
      </c>
      <c r="J1200">
        <v>3000</v>
      </c>
      <c r="K1200" t="s">
        <v>27</v>
      </c>
      <c r="L1200">
        <v>3000</v>
      </c>
      <c r="M1200">
        <v>9.42</v>
      </c>
      <c r="N1200" t="s">
        <v>36</v>
      </c>
      <c r="O1200">
        <v>113</v>
      </c>
      <c r="P1200">
        <v>34</v>
      </c>
      <c r="Q1200">
        <v>1</v>
      </c>
      <c r="R1200">
        <v>5</v>
      </c>
      <c r="S1200" t="s">
        <v>65</v>
      </c>
      <c r="T1200" t="s">
        <v>44</v>
      </c>
      <c r="U1200" t="s">
        <v>66</v>
      </c>
      <c r="V1200" t="s">
        <v>45</v>
      </c>
      <c r="W1200">
        <v>1</v>
      </c>
      <c r="X1200">
        <v>1</v>
      </c>
      <c r="Y1200" s="2">
        <f>Table1[[#This Row],[premium_yearly]]*Table1[[#This Row],[tenure_years]]</f>
        <v>13663.1448</v>
      </c>
      <c r="Z1200" s="2">
        <f>Table1[[#This Row],[total_collected_premiums]]*(1-$AD$2)</f>
        <v>9974.0957039999994</v>
      </c>
      <c r="AA1200" s="2">
        <f>Table1[[#This Row],[retained_premium]]-Table1[[#This Row],[claim_amount_paid]]</f>
        <v>6974.0957039999994</v>
      </c>
    </row>
    <row r="1201" spans="1:27" x14ac:dyDescent="0.35">
      <c r="A1201" t="s">
        <v>3642</v>
      </c>
      <c r="B1201" t="s">
        <v>3643</v>
      </c>
      <c r="C1201" t="s">
        <v>3644</v>
      </c>
      <c r="D1201" s="1">
        <v>41872</v>
      </c>
      <c r="E1201" s="1">
        <v>44270</v>
      </c>
      <c r="F1201" s="1">
        <v>44275</v>
      </c>
      <c r="G1201">
        <v>5</v>
      </c>
      <c r="H1201">
        <v>108.36</v>
      </c>
      <c r="I1201">
        <v>1300.32</v>
      </c>
      <c r="J1201">
        <v>2000</v>
      </c>
      <c r="K1201" t="s">
        <v>27</v>
      </c>
      <c r="L1201">
        <v>2000</v>
      </c>
      <c r="M1201">
        <v>6.17</v>
      </c>
      <c r="N1201" t="s">
        <v>28</v>
      </c>
      <c r="O1201">
        <v>74</v>
      </c>
      <c r="P1201">
        <v>25</v>
      </c>
      <c r="Q1201">
        <v>1</v>
      </c>
      <c r="R1201">
        <v>5</v>
      </c>
      <c r="S1201" t="s">
        <v>65</v>
      </c>
      <c r="T1201" t="s">
        <v>44</v>
      </c>
      <c r="U1201" t="s">
        <v>38</v>
      </c>
      <c r="V1201" t="s">
        <v>45</v>
      </c>
      <c r="W1201">
        <v>1</v>
      </c>
      <c r="X1201">
        <v>1</v>
      </c>
      <c r="Y1201" s="2">
        <f>Table1[[#This Row],[premium_yearly]]*Table1[[#This Row],[tenure_years]]</f>
        <v>8022.9743999999992</v>
      </c>
      <c r="Z1201" s="2">
        <f>Table1[[#This Row],[total_collected_premiums]]*(1-$AD$2)</f>
        <v>5856.7713119999989</v>
      </c>
      <c r="AA1201" s="2">
        <f>Table1[[#This Row],[retained_premium]]-Table1[[#This Row],[claim_amount_paid]]</f>
        <v>3856.7713119999989</v>
      </c>
    </row>
    <row r="1202" spans="1:27" x14ac:dyDescent="0.35">
      <c r="A1202" t="s">
        <v>3645</v>
      </c>
      <c r="B1202" t="s">
        <v>3646</v>
      </c>
      <c r="C1202" t="s">
        <v>3647</v>
      </c>
      <c r="D1202" s="1">
        <v>42071</v>
      </c>
      <c r="E1202" s="1">
        <v>44285</v>
      </c>
      <c r="F1202" s="1">
        <v>44285</v>
      </c>
      <c r="G1202">
        <v>0</v>
      </c>
      <c r="H1202">
        <v>74.52</v>
      </c>
      <c r="I1202">
        <v>894.24</v>
      </c>
      <c r="J1202">
        <v>7000</v>
      </c>
      <c r="K1202" t="s">
        <v>27</v>
      </c>
      <c r="L1202">
        <v>7000</v>
      </c>
      <c r="M1202">
        <v>5.75</v>
      </c>
      <c r="N1202" t="s">
        <v>36</v>
      </c>
      <c r="O1202">
        <v>69</v>
      </c>
      <c r="P1202">
        <v>29</v>
      </c>
      <c r="Q1202">
        <v>1</v>
      </c>
      <c r="R1202">
        <v>5</v>
      </c>
      <c r="S1202" t="s">
        <v>65</v>
      </c>
      <c r="T1202" t="s">
        <v>30</v>
      </c>
      <c r="U1202" t="s">
        <v>38</v>
      </c>
      <c r="V1202" t="s">
        <v>39</v>
      </c>
      <c r="W1202">
        <v>1</v>
      </c>
      <c r="X1202">
        <v>0</v>
      </c>
      <c r="Y1202" s="2">
        <f>Table1[[#This Row],[premium_yearly]]*Table1[[#This Row],[tenure_years]]</f>
        <v>5141.88</v>
      </c>
      <c r="Z1202" s="2">
        <f>Table1[[#This Row],[total_collected_premiums]]*(1-$AD$2)</f>
        <v>3753.5724</v>
      </c>
      <c r="AA1202" s="2">
        <f>Table1[[#This Row],[retained_premium]]-Table1[[#This Row],[claim_amount_paid]]</f>
        <v>-3246.4276</v>
      </c>
    </row>
    <row r="1203" spans="1:27" x14ac:dyDescent="0.35">
      <c r="A1203" t="s">
        <v>3648</v>
      </c>
      <c r="B1203" t="s">
        <v>3649</v>
      </c>
      <c r="C1203" t="s">
        <v>3650</v>
      </c>
      <c r="D1203" s="1">
        <v>40723</v>
      </c>
      <c r="E1203" s="1">
        <v>44277</v>
      </c>
      <c r="F1203" s="1">
        <v>44280</v>
      </c>
      <c r="G1203">
        <v>3</v>
      </c>
      <c r="H1203">
        <v>94.36</v>
      </c>
      <c r="I1203">
        <v>1132.32</v>
      </c>
      <c r="J1203">
        <v>7000</v>
      </c>
      <c r="K1203" t="s">
        <v>27</v>
      </c>
      <c r="L1203">
        <v>7000</v>
      </c>
      <c r="M1203">
        <v>7.08</v>
      </c>
      <c r="N1203" t="s">
        <v>36</v>
      </c>
      <c r="O1203">
        <v>85</v>
      </c>
      <c r="P1203">
        <v>46</v>
      </c>
      <c r="Q1203">
        <v>1</v>
      </c>
      <c r="R1203">
        <v>3</v>
      </c>
      <c r="S1203" t="s">
        <v>29</v>
      </c>
      <c r="T1203" t="s">
        <v>30</v>
      </c>
      <c r="U1203" t="s">
        <v>31</v>
      </c>
      <c r="V1203" t="s">
        <v>39</v>
      </c>
      <c r="W1203">
        <v>1</v>
      </c>
      <c r="X1203">
        <v>1</v>
      </c>
      <c r="Y1203" s="2">
        <f>Table1[[#This Row],[premium_yearly]]*Table1[[#This Row],[tenure_years]]</f>
        <v>8016.8255999999992</v>
      </c>
      <c r="Z1203" s="2">
        <f>Table1[[#This Row],[total_collected_premiums]]*(1-$AD$2)</f>
        <v>5852.2826879999993</v>
      </c>
      <c r="AA1203" s="2">
        <f>Table1[[#This Row],[retained_premium]]-Table1[[#This Row],[claim_amount_paid]]</f>
        <v>-1147.7173120000007</v>
      </c>
    </row>
    <row r="1204" spans="1:27" x14ac:dyDescent="0.35">
      <c r="A1204" t="s">
        <v>3651</v>
      </c>
      <c r="B1204" t="s">
        <v>3652</v>
      </c>
      <c r="C1204" t="s">
        <v>3653</v>
      </c>
      <c r="D1204" s="1">
        <v>40660</v>
      </c>
      <c r="E1204" s="1">
        <v>44274</v>
      </c>
      <c r="F1204" s="1">
        <v>44279</v>
      </c>
      <c r="G1204">
        <v>5</v>
      </c>
      <c r="H1204">
        <v>96.91</v>
      </c>
      <c r="I1204">
        <v>1162.92</v>
      </c>
      <c r="J1204">
        <v>9000</v>
      </c>
      <c r="K1204" t="s">
        <v>27</v>
      </c>
      <c r="L1204">
        <v>9000</v>
      </c>
      <c r="M1204">
        <v>9.33</v>
      </c>
      <c r="N1204" t="s">
        <v>28</v>
      </c>
      <c r="O1204">
        <v>112</v>
      </c>
      <c r="P1204">
        <v>63</v>
      </c>
      <c r="Q1204">
        <v>1</v>
      </c>
      <c r="R1204">
        <v>2</v>
      </c>
      <c r="S1204" t="s">
        <v>29</v>
      </c>
      <c r="T1204" t="s">
        <v>30</v>
      </c>
      <c r="U1204" t="s">
        <v>31</v>
      </c>
      <c r="V1204" t="s">
        <v>45</v>
      </c>
      <c r="W1204">
        <v>1</v>
      </c>
      <c r="X1204">
        <v>0</v>
      </c>
      <c r="Y1204" s="2">
        <f>Table1[[#This Row],[premium_yearly]]*Table1[[#This Row],[tenure_years]]</f>
        <v>10850.043600000001</v>
      </c>
      <c r="Z1204" s="2">
        <f>Table1[[#This Row],[total_collected_premiums]]*(1-$AD$2)</f>
        <v>7920.5318280000001</v>
      </c>
      <c r="AA1204" s="2">
        <f>Table1[[#This Row],[retained_premium]]-Table1[[#This Row],[claim_amount_paid]]</f>
        <v>-1079.4681719999999</v>
      </c>
    </row>
    <row r="1205" spans="1:27" x14ac:dyDescent="0.35">
      <c r="A1205" t="s">
        <v>3654</v>
      </c>
      <c r="B1205" t="s">
        <v>3655</v>
      </c>
      <c r="C1205" t="s">
        <v>3656</v>
      </c>
      <c r="D1205" s="1">
        <v>42003</v>
      </c>
      <c r="E1205" s="1">
        <v>44269</v>
      </c>
      <c r="F1205" s="1">
        <v>44274</v>
      </c>
      <c r="G1205">
        <v>5</v>
      </c>
      <c r="H1205">
        <v>71.290000000000006</v>
      </c>
      <c r="I1205">
        <v>855.48</v>
      </c>
      <c r="J1205">
        <v>8000</v>
      </c>
      <c r="K1205" t="s">
        <v>27</v>
      </c>
      <c r="L1205">
        <v>8000</v>
      </c>
      <c r="M1205">
        <v>9.67</v>
      </c>
      <c r="N1205" t="s">
        <v>28</v>
      </c>
      <c r="O1205">
        <v>116</v>
      </c>
      <c r="P1205">
        <v>37</v>
      </c>
      <c r="Q1205">
        <v>1</v>
      </c>
      <c r="R1205">
        <v>3</v>
      </c>
      <c r="S1205" t="s">
        <v>65</v>
      </c>
      <c r="T1205" t="s">
        <v>30</v>
      </c>
      <c r="U1205" t="s">
        <v>38</v>
      </c>
      <c r="V1205" t="s">
        <v>32</v>
      </c>
      <c r="W1205">
        <v>0</v>
      </c>
      <c r="X1205">
        <v>1</v>
      </c>
      <c r="Y1205" s="2">
        <f>Table1[[#This Row],[premium_yearly]]*Table1[[#This Row],[tenure_years]]</f>
        <v>8272.4915999999994</v>
      </c>
      <c r="Z1205" s="2">
        <f>Table1[[#This Row],[total_collected_premiums]]*(1-$AD$2)</f>
        <v>6038.9188679999997</v>
      </c>
      <c r="AA1205" s="2">
        <f>Table1[[#This Row],[retained_premium]]-Table1[[#This Row],[claim_amount_paid]]</f>
        <v>-1961.0811320000003</v>
      </c>
    </row>
    <row r="1206" spans="1:27" x14ac:dyDescent="0.35">
      <c r="A1206" t="s">
        <v>3657</v>
      </c>
      <c r="B1206" t="s">
        <v>3658</v>
      </c>
      <c r="C1206" t="s">
        <v>3659</v>
      </c>
      <c r="D1206" s="1">
        <v>40716</v>
      </c>
      <c r="E1206" s="1">
        <v>44267</v>
      </c>
      <c r="F1206" s="1">
        <v>44272</v>
      </c>
      <c r="G1206">
        <v>5</v>
      </c>
      <c r="H1206">
        <v>132.38999999999999</v>
      </c>
      <c r="I1206">
        <v>1588.68</v>
      </c>
      <c r="J1206">
        <v>9000</v>
      </c>
      <c r="K1206" t="s">
        <v>27</v>
      </c>
      <c r="L1206">
        <v>9000</v>
      </c>
      <c r="M1206">
        <v>9.25</v>
      </c>
      <c r="N1206" t="s">
        <v>36</v>
      </c>
      <c r="O1206">
        <v>111</v>
      </c>
      <c r="P1206">
        <v>40</v>
      </c>
      <c r="Q1206">
        <v>1</v>
      </c>
      <c r="R1206">
        <v>4</v>
      </c>
      <c r="S1206" t="s">
        <v>65</v>
      </c>
      <c r="T1206" t="s">
        <v>30</v>
      </c>
      <c r="U1206" t="s">
        <v>38</v>
      </c>
      <c r="V1206" t="s">
        <v>45</v>
      </c>
      <c r="W1206">
        <v>1</v>
      </c>
      <c r="X1206">
        <v>0</v>
      </c>
      <c r="Y1206" s="2">
        <f>Table1[[#This Row],[premium_yearly]]*Table1[[#This Row],[tenure_years]]</f>
        <v>14695.29</v>
      </c>
      <c r="Z1206" s="2">
        <f>Table1[[#This Row],[total_collected_premiums]]*(1-$AD$2)</f>
        <v>10727.5617</v>
      </c>
      <c r="AA1206" s="2">
        <f>Table1[[#This Row],[retained_premium]]-Table1[[#This Row],[claim_amount_paid]]</f>
        <v>1727.5617000000002</v>
      </c>
    </row>
    <row r="1207" spans="1:27" x14ac:dyDescent="0.35">
      <c r="A1207" t="s">
        <v>3660</v>
      </c>
      <c r="B1207" t="s">
        <v>3661</v>
      </c>
      <c r="C1207" t="s">
        <v>3662</v>
      </c>
      <c r="D1207" s="1">
        <v>41853</v>
      </c>
      <c r="E1207" s="1">
        <v>44268</v>
      </c>
      <c r="F1207" s="1">
        <v>44273</v>
      </c>
      <c r="G1207">
        <v>5</v>
      </c>
      <c r="H1207">
        <v>138.72</v>
      </c>
      <c r="I1207">
        <v>1664.64</v>
      </c>
      <c r="J1207">
        <v>2000</v>
      </c>
      <c r="K1207" t="s">
        <v>27</v>
      </c>
      <c r="L1207">
        <v>2000</v>
      </c>
      <c r="M1207">
        <v>7.42</v>
      </c>
      <c r="N1207" t="s">
        <v>49</v>
      </c>
      <c r="O1207">
        <v>89</v>
      </c>
      <c r="P1207">
        <v>60</v>
      </c>
      <c r="Q1207">
        <v>1</v>
      </c>
      <c r="R1207">
        <v>2</v>
      </c>
      <c r="S1207" t="s">
        <v>29</v>
      </c>
      <c r="T1207" t="s">
        <v>30</v>
      </c>
      <c r="U1207" t="s">
        <v>66</v>
      </c>
      <c r="V1207" t="s">
        <v>39</v>
      </c>
      <c r="W1207">
        <v>0</v>
      </c>
      <c r="X1207">
        <v>1</v>
      </c>
      <c r="Y1207" s="2">
        <f>Table1[[#This Row],[premium_yearly]]*Table1[[#This Row],[tenure_years]]</f>
        <v>12351.6288</v>
      </c>
      <c r="Z1207" s="2">
        <f>Table1[[#This Row],[total_collected_premiums]]*(1-$AD$2)</f>
        <v>9016.6890239999993</v>
      </c>
      <c r="AA1207" s="2">
        <f>Table1[[#This Row],[retained_premium]]-Table1[[#This Row],[claim_amount_paid]]</f>
        <v>7016.6890239999993</v>
      </c>
    </row>
    <row r="1208" spans="1:27" x14ac:dyDescent="0.35">
      <c r="A1208" t="s">
        <v>3663</v>
      </c>
      <c r="B1208" t="s">
        <v>3664</v>
      </c>
      <c r="C1208" t="s">
        <v>3665</v>
      </c>
      <c r="D1208" s="1">
        <v>40632</v>
      </c>
      <c r="E1208" s="1">
        <v>44272</v>
      </c>
      <c r="F1208" s="1">
        <v>44277</v>
      </c>
      <c r="G1208">
        <v>5</v>
      </c>
      <c r="H1208">
        <v>104.68</v>
      </c>
      <c r="I1208">
        <v>1256.1600000000001</v>
      </c>
      <c r="J1208">
        <v>1000</v>
      </c>
      <c r="K1208" t="s">
        <v>27</v>
      </c>
      <c r="L1208">
        <v>1000</v>
      </c>
      <c r="M1208">
        <v>2.33</v>
      </c>
      <c r="N1208" t="s">
        <v>28</v>
      </c>
      <c r="O1208">
        <v>28</v>
      </c>
      <c r="P1208">
        <v>63</v>
      </c>
      <c r="Q1208">
        <v>0</v>
      </c>
      <c r="R1208">
        <v>2</v>
      </c>
      <c r="S1208" t="s">
        <v>65</v>
      </c>
      <c r="T1208" t="s">
        <v>30</v>
      </c>
      <c r="U1208" t="s">
        <v>38</v>
      </c>
      <c r="V1208" t="s">
        <v>32</v>
      </c>
      <c r="W1208">
        <v>1</v>
      </c>
      <c r="X1208">
        <v>1</v>
      </c>
      <c r="Y1208" s="2">
        <f>Table1[[#This Row],[premium_yearly]]*Table1[[#This Row],[tenure_years]]</f>
        <v>2926.8528000000001</v>
      </c>
      <c r="Z1208" s="2">
        <f>Table1[[#This Row],[total_collected_premiums]]*(1-$AD$2)</f>
        <v>2136.6025439999999</v>
      </c>
      <c r="AA1208" s="2">
        <f>Table1[[#This Row],[retained_premium]]-Table1[[#This Row],[claim_amount_paid]]</f>
        <v>1136.6025439999999</v>
      </c>
    </row>
    <row r="1209" spans="1:27" x14ac:dyDescent="0.35">
      <c r="A1209" t="s">
        <v>3666</v>
      </c>
      <c r="B1209" t="s">
        <v>3667</v>
      </c>
      <c r="C1209" t="s">
        <v>3668</v>
      </c>
      <c r="D1209" s="1">
        <v>43505</v>
      </c>
      <c r="E1209" s="1">
        <v>44278</v>
      </c>
      <c r="F1209" s="1">
        <v>44283</v>
      </c>
      <c r="G1209">
        <v>5</v>
      </c>
      <c r="H1209">
        <v>70.92</v>
      </c>
      <c r="I1209">
        <v>851.04</v>
      </c>
      <c r="J1209">
        <v>9000</v>
      </c>
      <c r="K1209" t="s">
        <v>27</v>
      </c>
      <c r="L1209">
        <v>9000</v>
      </c>
      <c r="M1209">
        <v>6.25</v>
      </c>
      <c r="N1209" t="s">
        <v>49</v>
      </c>
      <c r="O1209">
        <v>75</v>
      </c>
      <c r="P1209">
        <v>37</v>
      </c>
      <c r="Q1209">
        <v>0</v>
      </c>
      <c r="R1209">
        <v>3</v>
      </c>
      <c r="S1209" t="s">
        <v>29</v>
      </c>
      <c r="T1209" t="s">
        <v>30</v>
      </c>
      <c r="U1209" t="s">
        <v>31</v>
      </c>
      <c r="V1209" t="s">
        <v>39</v>
      </c>
      <c r="W1209">
        <v>0</v>
      </c>
      <c r="X1209">
        <v>0</v>
      </c>
      <c r="Y1209" s="2">
        <f>Table1[[#This Row],[premium_yearly]]*Table1[[#This Row],[tenure_years]]</f>
        <v>5319</v>
      </c>
      <c r="Z1209" s="2">
        <f>Table1[[#This Row],[total_collected_premiums]]*(1-$AD$2)</f>
        <v>3882.87</v>
      </c>
      <c r="AA1209" s="2">
        <f>Table1[[#This Row],[retained_premium]]-Table1[[#This Row],[claim_amount_paid]]</f>
        <v>-5117.13</v>
      </c>
    </row>
    <row r="1210" spans="1:27" x14ac:dyDescent="0.35">
      <c r="A1210" t="s">
        <v>3669</v>
      </c>
      <c r="B1210" t="s">
        <v>3670</v>
      </c>
      <c r="C1210" t="s">
        <v>3671</v>
      </c>
      <c r="D1210" s="1">
        <v>43588</v>
      </c>
      <c r="E1210" s="1">
        <v>44281</v>
      </c>
      <c r="F1210" s="1">
        <v>44284</v>
      </c>
      <c r="G1210">
        <v>3</v>
      </c>
      <c r="H1210">
        <v>89.5</v>
      </c>
      <c r="I1210">
        <v>1074</v>
      </c>
      <c r="J1210">
        <v>4000</v>
      </c>
      <c r="K1210" t="s">
        <v>27</v>
      </c>
      <c r="L1210">
        <v>4000</v>
      </c>
      <c r="M1210">
        <v>2.33</v>
      </c>
      <c r="N1210" t="s">
        <v>36</v>
      </c>
      <c r="O1210">
        <v>28</v>
      </c>
      <c r="P1210">
        <v>36</v>
      </c>
      <c r="Q1210">
        <v>1</v>
      </c>
      <c r="R1210">
        <v>4</v>
      </c>
      <c r="S1210" t="s">
        <v>29</v>
      </c>
      <c r="T1210" t="s">
        <v>44</v>
      </c>
      <c r="U1210" t="s">
        <v>66</v>
      </c>
      <c r="V1210" t="s">
        <v>32</v>
      </c>
      <c r="W1210">
        <v>0</v>
      </c>
      <c r="X1210">
        <v>1</v>
      </c>
      <c r="Y1210" s="2">
        <f>Table1[[#This Row],[premium_yearly]]*Table1[[#This Row],[tenure_years]]</f>
        <v>2502.42</v>
      </c>
      <c r="Z1210" s="2">
        <f>Table1[[#This Row],[total_collected_premiums]]*(1-$AD$2)</f>
        <v>1826.7665999999999</v>
      </c>
      <c r="AA1210" s="2">
        <f>Table1[[#This Row],[retained_premium]]-Table1[[#This Row],[claim_amount_paid]]</f>
        <v>-2173.2334000000001</v>
      </c>
    </row>
    <row r="1211" spans="1:27" x14ac:dyDescent="0.35">
      <c r="A1211" t="s">
        <v>3672</v>
      </c>
      <c r="B1211" t="s">
        <v>3673</v>
      </c>
      <c r="C1211" t="s">
        <v>3674</v>
      </c>
      <c r="D1211" s="1">
        <v>42988</v>
      </c>
      <c r="E1211" s="1">
        <v>44274</v>
      </c>
      <c r="F1211" s="1">
        <v>44279</v>
      </c>
      <c r="G1211">
        <v>5</v>
      </c>
      <c r="H1211">
        <v>80.17</v>
      </c>
      <c r="I1211">
        <v>962.04</v>
      </c>
      <c r="J1211">
        <v>4000</v>
      </c>
      <c r="K1211" t="s">
        <v>27</v>
      </c>
      <c r="L1211">
        <v>4000</v>
      </c>
      <c r="M1211">
        <v>6.5</v>
      </c>
      <c r="N1211" t="s">
        <v>28</v>
      </c>
      <c r="O1211">
        <v>78</v>
      </c>
      <c r="P1211">
        <v>52</v>
      </c>
      <c r="Q1211">
        <v>0</v>
      </c>
      <c r="R1211">
        <v>6</v>
      </c>
      <c r="S1211" t="s">
        <v>29</v>
      </c>
      <c r="T1211" t="s">
        <v>44</v>
      </c>
      <c r="U1211" t="s">
        <v>66</v>
      </c>
      <c r="V1211" t="s">
        <v>39</v>
      </c>
      <c r="W1211">
        <v>0</v>
      </c>
      <c r="X1211">
        <v>1</v>
      </c>
      <c r="Y1211" s="2">
        <f>Table1[[#This Row],[premium_yearly]]*Table1[[#This Row],[tenure_years]]</f>
        <v>6253.26</v>
      </c>
      <c r="Z1211" s="2">
        <f>Table1[[#This Row],[total_collected_premiums]]*(1-$AD$2)</f>
        <v>4564.8797999999997</v>
      </c>
      <c r="AA1211" s="2">
        <f>Table1[[#This Row],[retained_premium]]-Table1[[#This Row],[claim_amount_paid]]</f>
        <v>564.8797999999997</v>
      </c>
    </row>
    <row r="1212" spans="1:27" x14ac:dyDescent="0.35">
      <c r="A1212" t="s">
        <v>3675</v>
      </c>
      <c r="B1212" t="s">
        <v>3676</v>
      </c>
      <c r="C1212" t="s">
        <v>3677</v>
      </c>
      <c r="D1212" s="1">
        <v>41671</v>
      </c>
      <c r="E1212" s="1">
        <v>44278</v>
      </c>
      <c r="F1212" s="1">
        <v>44283</v>
      </c>
      <c r="G1212">
        <v>5</v>
      </c>
      <c r="H1212">
        <v>134.56</v>
      </c>
      <c r="I1212">
        <v>1614.72</v>
      </c>
      <c r="J1212">
        <v>2000</v>
      </c>
      <c r="K1212" t="s">
        <v>27</v>
      </c>
      <c r="L1212">
        <v>2000</v>
      </c>
      <c r="M1212">
        <v>7.42</v>
      </c>
      <c r="N1212" t="s">
        <v>28</v>
      </c>
      <c r="O1212">
        <v>89</v>
      </c>
      <c r="P1212">
        <v>42</v>
      </c>
      <c r="Q1212">
        <v>0</v>
      </c>
      <c r="R1212">
        <v>5</v>
      </c>
      <c r="S1212" t="s">
        <v>65</v>
      </c>
      <c r="T1212" t="s">
        <v>30</v>
      </c>
      <c r="U1212" t="s">
        <v>88</v>
      </c>
      <c r="V1212" t="s">
        <v>32</v>
      </c>
      <c r="W1212">
        <v>0</v>
      </c>
      <c r="X1212">
        <v>0</v>
      </c>
      <c r="Y1212" s="2">
        <f>Table1[[#This Row],[premium_yearly]]*Table1[[#This Row],[tenure_years]]</f>
        <v>11981.222400000001</v>
      </c>
      <c r="Z1212" s="2">
        <f>Table1[[#This Row],[total_collected_premiums]]*(1-$AD$2)</f>
        <v>8746.2923520000004</v>
      </c>
      <c r="AA1212" s="2">
        <f>Table1[[#This Row],[retained_premium]]-Table1[[#This Row],[claim_amount_paid]]</f>
        <v>6746.2923520000004</v>
      </c>
    </row>
    <row r="1213" spans="1:27" x14ac:dyDescent="0.35">
      <c r="A1213" t="s">
        <v>3678</v>
      </c>
      <c r="B1213" t="s">
        <v>3679</v>
      </c>
      <c r="C1213" t="s">
        <v>3680</v>
      </c>
      <c r="D1213" s="1">
        <v>41703</v>
      </c>
      <c r="E1213" s="1">
        <v>44278</v>
      </c>
      <c r="F1213" s="1">
        <v>44283</v>
      </c>
      <c r="G1213">
        <v>5</v>
      </c>
      <c r="H1213">
        <v>119.44</v>
      </c>
      <c r="I1213">
        <v>1433.28</v>
      </c>
      <c r="J1213">
        <v>7000</v>
      </c>
      <c r="K1213" t="s">
        <v>27</v>
      </c>
      <c r="L1213">
        <v>7000</v>
      </c>
      <c r="M1213">
        <v>5.25</v>
      </c>
      <c r="N1213" t="s">
        <v>28</v>
      </c>
      <c r="O1213">
        <v>63</v>
      </c>
      <c r="P1213">
        <v>26</v>
      </c>
      <c r="Q1213">
        <v>1</v>
      </c>
      <c r="R1213">
        <v>2</v>
      </c>
      <c r="S1213" t="s">
        <v>29</v>
      </c>
      <c r="T1213" t="s">
        <v>50</v>
      </c>
      <c r="U1213" t="s">
        <v>38</v>
      </c>
      <c r="V1213" t="s">
        <v>32</v>
      </c>
      <c r="W1213">
        <v>0</v>
      </c>
      <c r="X1213">
        <v>1</v>
      </c>
      <c r="Y1213" s="2">
        <f>Table1[[#This Row],[premium_yearly]]*Table1[[#This Row],[tenure_years]]</f>
        <v>7524.72</v>
      </c>
      <c r="Z1213" s="2">
        <f>Table1[[#This Row],[total_collected_premiums]]*(1-$AD$2)</f>
        <v>5493.0456000000004</v>
      </c>
      <c r="AA1213" s="2">
        <f>Table1[[#This Row],[retained_premium]]-Table1[[#This Row],[claim_amount_paid]]</f>
        <v>-1506.9543999999996</v>
      </c>
    </row>
    <row r="1214" spans="1:27" x14ac:dyDescent="0.35">
      <c r="A1214" t="s">
        <v>3681</v>
      </c>
      <c r="B1214" t="s">
        <v>3682</v>
      </c>
      <c r="C1214" t="s">
        <v>3683</v>
      </c>
      <c r="D1214" s="1">
        <v>42330</v>
      </c>
      <c r="E1214" s="1">
        <v>44284</v>
      </c>
      <c r="F1214" s="1">
        <v>44286</v>
      </c>
      <c r="G1214">
        <v>2</v>
      </c>
      <c r="H1214">
        <v>129.18</v>
      </c>
      <c r="I1214">
        <v>1550.16</v>
      </c>
      <c r="J1214">
        <v>7000</v>
      </c>
      <c r="K1214" t="s">
        <v>27</v>
      </c>
      <c r="L1214">
        <v>7000</v>
      </c>
      <c r="M1214">
        <v>4</v>
      </c>
      <c r="N1214" t="s">
        <v>49</v>
      </c>
      <c r="O1214">
        <v>48</v>
      </c>
      <c r="P1214">
        <v>53</v>
      </c>
      <c r="Q1214">
        <v>1</v>
      </c>
      <c r="R1214">
        <v>6</v>
      </c>
      <c r="S1214" t="s">
        <v>29</v>
      </c>
      <c r="T1214" t="s">
        <v>44</v>
      </c>
      <c r="U1214" t="s">
        <v>107</v>
      </c>
      <c r="V1214" t="s">
        <v>39</v>
      </c>
      <c r="W1214">
        <v>1</v>
      </c>
      <c r="X1214">
        <v>1</v>
      </c>
      <c r="Y1214" s="2">
        <f>Table1[[#This Row],[premium_yearly]]*Table1[[#This Row],[tenure_years]]</f>
        <v>6200.64</v>
      </c>
      <c r="Z1214" s="2">
        <f>Table1[[#This Row],[total_collected_premiums]]*(1-$AD$2)</f>
        <v>4526.4672</v>
      </c>
      <c r="AA1214" s="2">
        <f>Table1[[#This Row],[retained_premium]]-Table1[[#This Row],[claim_amount_paid]]</f>
        <v>-2473.5328</v>
      </c>
    </row>
    <row r="1215" spans="1:27" x14ac:dyDescent="0.35">
      <c r="A1215" t="s">
        <v>3684</v>
      </c>
      <c r="B1215" t="s">
        <v>3685</v>
      </c>
      <c r="C1215" t="s">
        <v>3686</v>
      </c>
      <c r="D1215" s="1">
        <v>43776</v>
      </c>
      <c r="E1215" s="1">
        <v>44274</v>
      </c>
      <c r="F1215" s="1">
        <v>44279</v>
      </c>
      <c r="G1215">
        <v>5</v>
      </c>
      <c r="H1215">
        <v>97.75</v>
      </c>
      <c r="I1215">
        <v>1173</v>
      </c>
      <c r="J1215">
        <v>3000</v>
      </c>
      <c r="K1215" t="s">
        <v>27</v>
      </c>
      <c r="L1215">
        <v>3000</v>
      </c>
      <c r="M1215">
        <v>2.33</v>
      </c>
      <c r="N1215" t="s">
        <v>49</v>
      </c>
      <c r="O1215">
        <v>28</v>
      </c>
      <c r="P1215">
        <v>28</v>
      </c>
      <c r="Q1215">
        <v>0</v>
      </c>
      <c r="R1215">
        <v>3</v>
      </c>
      <c r="S1215" t="s">
        <v>37</v>
      </c>
      <c r="T1215" t="s">
        <v>50</v>
      </c>
      <c r="U1215" t="s">
        <v>58</v>
      </c>
      <c r="V1215" t="s">
        <v>39</v>
      </c>
      <c r="W1215">
        <v>0</v>
      </c>
      <c r="X1215">
        <v>1</v>
      </c>
      <c r="Y1215" s="2">
        <f>Table1[[#This Row],[premium_yearly]]*Table1[[#This Row],[tenure_years]]</f>
        <v>2733.09</v>
      </c>
      <c r="Z1215" s="2">
        <f>Table1[[#This Row],[total_collected_premiums]]*(1-$AD$2)</f>
        <v>1995.1557</v>
      </c>
      <c r="AA1215" s="2">
        <f>Table1[[#This Row],[retained_premium]]-Table1[[#This Row],[claim_amount_paid]]</f>
        <v>-1004.8443</v>
      </c>
    </row>
    <row r="1216" spans="1:27" x14ac:dyDescent="0.35">
      <c r="A1216" t="s">
        <v>3687</v>
      </c>
      <c r="B1216" t="s">
        <v>3688</v>
      </c>
      <c r="C1216" t="s">
        <v>3689</v>
      </c>
      <c r="D1216" s="1">
        <v>42064</v>
      </c>
      <c r="E1216" s="1">
        <v>44281</v>
      </c>
      <c r="F1216" s="1">
        <v>44284</v>
      </c>
      <c r="G1216">
        <v>3</v>
      </c>
      <c r="H1216">
        <v>123.18</v>
      </c>
      <c r="I1216">
        <v>1478.16</v>
      </c>
      <c r="J1216">
        <v>2000</v>
      </c>
      <c r="K1216" t="s">
        <v>27</v>
      </c>
      <c r="L1216">
        <v>2000</v>
      </c>
      <c r="M1216">
        <v>6.67</v>
      </c>
      <c r="N1216" t="s">
        <v>28</v>
      </c>
      <c r="O1216">
        <v>80</v>
      </c>
      <c r="P1216">
        <v>25</v>
      </c>
      <c r="Q1216">
        <v>1</v>
      </c>
      <c r="R1216">
        <v>3</v>
      </c>
      <c r="S1216" t="s">
        <v>29</v>
      </c>
      <c r="T1216" t="s">
        <v>50</v>
      </c>
      <c r="U1216" t="s">
        <v>38</v>
      </c>
      <c r="V1216" t="s">
        <v>39</v>
      </c>
      <c r="W1216">
        <v>1</v>
      </c>
      <c r="X1216">
        <v>1</v>
      </c>
      <c r="Y1216" s="2">
        <f>Table1[[#This Row],[premium_yearly]]*Table1[[#This Row],[tenure_years]]</f>
        <v>9859.3271999999997</v>
      </c>
      <c r="Z1216" s="2">
        <f>Table1[[#This Row],[total_collected_premiums]]*(1-$AD$2)</f>
        <v>7197.3088559999997</v>
      </c>
      <c r="AA1216" s="2">
        <f>Table1[[#This Row],[retained_premium]]-Table1[[#This Row],[claim_amount_paid]]</f>
        <v>5197.3088559999997</v>
      </c>
    </row>
    <row r="1217" spans="1:27" x14ac:dyDescent="0.35">
      <c r="A1217" t="s">
        <v>3690</v>
      </c>
      <c r="B1217" t="s">
        <v>3691</v>
      </c>
      <c r="C1217" t="s">
        <v>3692</v>
      </c>
      <c r="D1217" s="1">
        <v>41692</v>
      </c>
      <c r="E1217" s="1">
        <v>44275</v>
      </c>
      <c r="F1217" s="1">
        <v>44280</v>
      </c>
      <c r="G1217">
        <v>5</v>
      </c>
      <c r="H1217">
        <v>100.37</v>
      </c>
      <c r="I1217">
        <v>1204.44</v>
      </c>
      <c r="J1217">
        <v>6000</v>
      </c>
      <c r="K1217" t="s">
        <v>27</v>
      </c>
      <c r="L1217">
        <v>6000</v>
      </c>
      <c r="M1217">
        <v>1.92</v>
      </c>
      <c r="N1217" t="s">
        <v>36</v>
      </c>
      <c r="O1217">
        <v>23</v>
      </c>
      <c r="P1217">
        <v>44</v>
      </c>
      <c r="Q1217">
        <v>1</v>
      </c>
      <c r="R1217">
        <v>2</v>
      </c>
      <c r="S1217" t="s">
        <v>65</v>
      </c>
      <c r="T1217" t="s">
        <v>44</v>
      </c>
      <c r="U1217" t="s">
        <v>31</v>
      </c>
      <c r="V1217" t="s">
        <v>39</v>
      </c>
      <c r="W1217">
        <v>1</v>
      </c>
      <c r="X1217">
        <v>1</v>
      </c>
      <c r="Y1217" s="2">
        <f>Table1[[#This Row],[premium_yearly]]*Table1[[#This Row],[tenure_years]]</f>
        <v>2312.5248000000001</v>
      </c>
      <c r="Z1217" s="2">
        <f>Table1[[#This Row],[total_collected_premiums]]*(1-$AD$2)</f>
        <v>1688.143104</v>
      </c>
      <c r="AA1217" s="2">
        <f>Table1[[#This Row],[retained_premium]]-Table1[[#This Row],[claim_amount_paid]]</f>
        <v>-4311.8568960000002</v>
      </c>
    </row>
    <row r="1218" spans="1:27" x14ac:dyDescent="0.35">
      <c r="A1218" t="s">
        <v>3693</v>
      </c>
      <c r="B1218" t="s">
        <v>3694</v>
      </c>
      <c r="C1218" t="s">
        <v>3695</v>
      </c>
      <c r="D1218" s="1">
        <v>43292</v>
      </c>
      <c r="E1218" s="1">
        <v>44278</v>
      </c>
      <c r="F1218" s="1">
        <v>44283</v>
      </c>
      <c r="G1218">
        <v>5</v>
      </c>
      <c r="H1218">
        <v>108.78</v>
      </c>
      <c r="I1218">
        <v>1305.3599999999999</v>
      </c>
      <c r="J1218">
        <v>6000</v>
      </c>
      <c r="K1218" t="s">
        <v>27</v>
      </c>
      <c r="L1218">
        <v>6000</v>
      </c>
      <c r="M1218">
        <v>5.67</v>
      </c>
      <c r="N1218" t="s">
        <v>49</v>
      </c>
      <c r="O1218">
        <v>68</v>
      </c>
      <c r="P1218">
        <v>27</v>
      </c>
      <c r="Q1218">
        <v>1</v>
      </c>
      <c r="R1218">
        <v>6</v>
      </c>
      <c r="S1218" t="s">
        <v>65</v>
      </c>
      <c r="T1218" t="s">
        <v>50</v>
      </c>
      <c r="U1218" t="s">
        <v>38</v>
      </c>
      <c r="V1218" t="s">
        <v>45</v>
      </c>
      <c r="W1218">
        <v>1</v>
      </c>
      <c r="X1218">
        <v>0</v>
      </c>
      <c r="Y1218" s="2">
        <f>Table1[[#This Row],[premium_yearly]]*Table1[[#This Row],[tenure_years]]</f>
        <v>7401.3911999999991</v>
      </c>
      <c r="Z1218" s="2">
        <f>Table1[[#This Row],[total_collected_premiums]]*(1-$AD$2)</f>
        <v>5403.0155759999989</v>
      </c>
      <c r="AA1218" s="2">
        <f>Table1[[#This Row],[retained_premium]]-Table1[[#This Row],[claim_amount_paid]]</f>
        <v>-596.98442400000113</v>
      </c>
    </row>
    <row r="1219" spans="1:27" x14ac:dyDescent="0.35">
      <c r="A1219" t="s">
        <v>3696</v>
      </c>
      <c r="B1219" t="s">
        <v>3697</v>
      </c>
      <c r="C1219" t="s">
        <v>3698</v>
      </c>
      <c r="D1219" s="1">
        <v>43295</v>
      </c>
      <c r="E1219" s="1">
        <v>44286</v>
      </c>
      <c r="F1219" s="1">
        <v>44287</v>
      </c>
      <c r="G1219">
        <v>1</v>
      </c>
      <c r="H1219">
        <v>94.94</v>
      </c>
      <c r="I1219">
        <v>1139.28</v>
      </c>
      <c r="J1219">
        <v>2000</v>
      </c>
      <c r="K1219" t="s">
        <v>27</v>
      </c>
      <c r="L1219">
        <v>2000</v>
      </c>
      <c r="M1219">
        <v>1</v>
      </c>
      <c r="N1219" t="s">
        <v>28</v>
      </c>
      <c r="O1219">
        <v>12</v>
      </c>
      <c r="P1219">
        <v>60</v>
      </c>
      <c r="Q1219">
        <v>1</v>
      </c>
      <c r="R1219">
        <v>5</v>
      </c>
      <c r="S1219" t="s">
        <v>29</v>
      </c>
      <c r="T1219" t="s">
        <v>50</v>
      </c>
      <c r="U1219" t="s">
        <v>58</v>
      </c>
      <c r="V1219" t="s">
        <v>32</v>
      </c>
      <c r="W1219">
        <v>1</v>
      </c>
      <c r="X1219">
        <v>0</v>
      </c>
      <c r="Y1219" s="2">
        <f>Table1[[#This Row],[premium_yearly]]*Table1[[#This Row],[tenure_years]]</f>
        <v>1139.28</v>
      </c>
      <c r="Z1219" s="2">
        <f>Table1[[#This Row],[total_collected_premiums]]*(1-$AD$2)</f>
        <v>831.67439999999999</v>
      </c>
      <c r="AA1219" s="2">
        <f>Table1[[#This Row],[retained_premium]]-Table1[[#This Row],[claim_amount_paid]]</f>
        <v>-1168.3256000000001</v>
      </c>
    </row>
    <row r="1220" spans="1:27" x14ac:dyDescent="0.35">
      <c r="A1220" t="s">
        <v>3699</v>
      </c>
      <c r="B1220" t="s">
        <v>3700</v>
      </c>
      <c r="C1220" t="s">
        <v>3701</v>
      </c>
      <c r="D1220" s="1">
        <v>43752</v>
      </c>
      <c r="E1220" s="1">
        <v>44273</v>
      </c>
      <c r="F1220" s="1">
        <v>44278</v>
      </c>
      <c r="G1220">
        <v>5</v>
      </c>
      <c r="H1220">
        <v>83.24</v>
      </c>
      <c r="I1220">
        <v>998.88</v>
      </c>
      <c r="J1220">
        <v>5000</v>
      </c>
      <c r="K1220" t="s">
        <v>27</v>
      </c>
      <c r="L1220">
        <v>5000</v>
      </c>
      <c r="M1220">
        <v>5.83</v>
      </c>
      <c r="N1220" t="s">
        <v>28</v>
      </c>
      <c r="O1220">
        <v>70</v>
      </c>
      <c r="P1220">
        <v>55</v>
      </c>
      <c r="Q1220">
        <v>1</v>
      </c>
      <c r="R1220">
        <v>2</v>
      </c>
      <c r="S1220" t="s">
        <v>65</v>
      </c>
      <c r="T1220" t="s">
        <v>30</v>
      </c>
      <c r="U1220" t="s">
        <v>31</v>
      </c>
      <c r="V1220" t="s">
        <v>32</v>
      </c>
      <c r="W1220">
        <v>1</v>
      </c>
      <c r="X1220">
        <v>1</v>
      </c>
      <c r="Y1220" s="2">
        <f>Table1[[#This Row],[premium_yearly]]*Table1[[#This Row],[tenure_years]]</f>
        <v>5823.4704000000002</v>
      </c>
      <c r="Z1220" s="2">
        <f>Table1[[#This Row],[total_collected_premiums]]*(1-$AD$2)</f>
        <v>4251.1333919999997</v>
      </c>
      <c r="AA1220" s="2">
        <f>Table1[[#This Row],[retained_premium]]-Table1[[#This Row],[claim_amount_paid]]</f>
        <v>-748.86660800000027</v>
      </c>
    </row>
    <row r="1221" spans="1:27" x14ac:dyDescent="0.35">
      <c r="A1221" t="s">
        <v>3702</v>
      </c>
      <c r="B1221" t="s">
        <v>3703</v>
      </c>
      <c r="C1221" t="s">
        <v>3704</v>
      </c>
      <c r="D1221" s="1">
        <v>41891</v>
      </c>
      <c r="E1221" s="1">
        <v>44283</v>
      </c>
      <c r="F1221" s="1">
        <v>44286</v>
      </c>
      <c r="G1221">
        <v>3</v>
      </c>
      <c r="H1221">
        <v>91.66</v>
      </c>
      <c r="I1221">
        <v>1099.92</v>
      </c>
      <c r="J1221">
        <v>9000</v>
      </c>
      <c r="K1221" t="s">
        <v>27</v>
      </c>
      <c r="L1221">
        <v>9000</v>
      </c>
      <c r="M1221">
        <v>6.25</v>
      </c>
      <c r="N1221" t="s">
        <v>36</v>
      </c>
      <c r="O1221">
        <v>75</v>
      </c>
      <c r="P1221">
        <v>61</v>
      </c>
      <c r="Q1221">
        <v>1</v>
      </c>
      <c r="R1221">
        <v>2</v>
      </c>
      <c r="S1221" t="s">
        <v>65</v>
      </c>
      <c r="T1221" t="s">
        <v>50</v>
      </c>
      <c r="U1221" t="s">
        <v>38</v>
      </c>
      <c r="V1221" t="s">
        <v>32</v>
      </c>
      <c r="W1221">
        <v>1</v>
      </c>
      <c r="X1221">
        <v>1</v>
      </c>
      <c r="Y1221" s="2">
        <f>Table1[[#This Row],[premium_yearly]]*Table1[[#This Row],[tenure_years]]</f>
        <v>6874.5</v>
      </c>
      <c r="Z1221" s="2">
        <f>Table1[[#This Row],[total_collected_premiums]]*(1-$AD$2)</f>
        <v>5018.3850000000002</v>
      </c>
      <c r="AA1221" s="2">
        <f>Table1[[#This Row],[retained_premium]]-Table1[[#This Row],[claim_amount_paid]]</f>
        <v>-3981.6149999999998</v>
      </c>
    </row>
    <row r="1222" spans="1:27" x14ac:dyDescent="0.35">
      <c r="A1222" t="s">
        <v>3705</v>
      </c>
      <c r="B1222" t="s">
        <v>3706</v>
      </c>
      <c r="C1222" t="s">
        <v>3707</v>
      </c>
      <c r="D1222" s="1">
        <v>40645</v>
      </c>
      <c r="E1222" s="1">
        <v>44276</v>
      </c>
      <c r="F1222" s="1">
        <v>44281</v>
      </c>
      <c r="G1222">
        <v>5</v>
      </c>
      <c r="H1222">
        <v>131.91999999999999</v>
      </c>
      <c r="I1222">
        <v>1583.04</v>
      </c>
      <c r="J1222">
        <v>3000</v>
      </c>
      <c r="K1222" t="s">
        <v>27</v>
      </c>
      <c r="L1222">
        <v>3000</v>
      </c>
      <c r="M1222">
        <v>1.25</v>
      </c>
      <c r="N1222" t="s">
        <v>36</v>
      </c>
      <c r="O1222">
        <v>15</v>
      </c>
      <c r="P1222">
        <v>27</v>
      </c>
      <c r="Q1222">
        <v>1</v>
      </c>
      <c r="R1222">
        <v>4</v>
      </c>
      <c r="S1222" t="s">
        <v>65</v>
      </c>
      <c r="T1222" t="s">
        <v>44</v>
      </c>
      <c r="U1222" t="s">
        <v>51</v>
      </c>
      <c r="V1222" t="s">
        <v>39</v>
      </c>
      <c r="W1222">
        <v>0</v>
      </c>
      <c r="X1222">
        <v>0</v>
      </c>
      <c r="Y1222" s="2">
        <f>Table1[[#This Row],[premium_yearly]]*Table1[[#This Row],[tenure_years]]</f>
        <v>1978.8</v>
      </c>
      <c r="Z1222" s="2">
        <f>Table1[[#This Row],[total_collected_premiums]]*(1-$AD$2)</f>
        <v>1444.5239999999999</v>
      </c>
      <c r="AA1222" s="2">
        <f>Table1[[#This Row],[retained_premium]]-Table1[[#This Row],[claim_amount_paid]]</f>
        <v>-1555.4760000000001</v>
      </c>
    </row>
    <row r="1223" spans="1:27" x14ac:dyDescent="0.35">
      <c r="A1223" t="s">
        <v>3708</v>
      </c>
      <c r="B1223" t="s">
        <v>3709</v>
      </c>
      <c r="C1223" t="s">
        <v>3710</v>
      </c>
      <c r="D1223" s="1">
        <v>41610</v>
      </c>
      <c r="E1223" s="1">
        <v>44290</v>
      </c>
      <c r="F1223" s="1">
        <v>44290</v>
      </c>
      <c r="G1223">
        <v>0</v>
      </c>
      <c r="H1223">
        <v>117.77</v>
      </c>
      <c r="I1223">
        <v>1413.24</v>
      </c>
      <c r="J1223">
        <v>6000</v>
      </c>
      <c r="K1223" t="s">
        <v>27</v>
      </c>
      <c r="L1223">
        <v>6000</v>
      </c>
      <c r="M1223">
        <v>7.67</v>
      </c>
      <c r="N1223" t="s">
        <v>49</v>
      </c>
      <c r="O1223">
        <v>92</v>
      </c>
      <c r="P1223">
        <v>38</v>
      </c>
      <c r="Q1223">
        <v>1</v>
      </c>
      <c r="R1223">
        <v>7</v>
      </c>
      <c r="S1223" t="s">
        <v>65</v>
      </c>
      <c r="T1223" t="s">
        <v>30</v>
      </c>
      <c r="U1223" t="s">
        <v>51</v>
      </c>
      <c r="V1223" t="s">
        <v>39</v>
      </c>
      <c r="W1223">
        <v>1</v>
      </c>
      <c r="X1223">
        <v>0</v>
      </c>
      <c r="Y1223" s="2">
        <f>Table1[[#This Row],[premium_yearly]]*Table1[[#This Row],[tenure_years]]</f>
        <v>10839.550799999999</v>
      </c>
      <c r="Z1223" s="2">
        <f>Table1[[#This Row],[total_collected_premiums]]*(1-$AD$2)</f>
        <v>7912.8720839999987</v>
      </c>
      <c r="AA1223" s="2">
        <f>Table1[[#This Row],[retained_premium]]-Table1[[#This Row],[claim_amount_paid]]</f>
        <v>1912.8720839999987</v>
      </c>
    </row>
    <row r="1224" spans="1:27" x14ac:dyDescent="0.35">
      <c r="A1224" t="s">
        <v>3711</v>
      </c>
      <c r="B1224" t="s">
        <v>3712</v>
      </c>
      <c r="C1224" t="s">
        <v>3713</v>
      </c>
      <c r="D1224" s="1">
        <v>40707</v>
      </c>
      <c r="E1224" s="1">
        <v>44281</v>
      </c>
      <c r="F1224" s="1">
        <v>44286</v>
      </c>
      <c r="G1224">
        <v>5</v>
      </c>
      <c r="H1224">
        <v>93.52</v>
      </c>
      <c r="I1224">
        <v>1122.24</v>
      </c>
      <c r="J1224">
        <v>4000</v>
      </c>
      <c r="K1224" t="s">
        <v>27</v>
      </c>
      <c r="L1224">
        <v>4000</v>
      </c>
      <c r="M1224">
        <v>0.57999999999999996</v>
      </c>
      <c r="N1224" t="s">
        <v>36</v>
      </c>
      <c r="O1224">
        <v>7</v>
      </c>
      <c r="P1224">
        <v>34</v>
      </c>
      <c r="Q1224">
        <v>0</v>
      </c>
      <c r="R1224">
        <v>2</v>
      </c>
      <c r="S1224" t="s">
        <v>29</v>
      </c>
      <c r="T1224" t="s">
        <v>30</v>
      </c>
      <c r="U1224" t="s">
        <v>31</v>
      </c>
      <c r="V1224" t="s">
        <v>45</v>
      </c>
      <c r="W1224">
        <v>1</v>
      </c>
      <c r="X1224">
        <v>1</v>
      </c>
      <c r="Y1224" s="2">
        <f>Table1[[#This Row],[premium_yearly]]*Table1[[#This Row],[tenure_years]]</f>
        <v>650.89919999999995</v>
      </c>
      <c r="Z1224" s="2">
        <f>Table1[[#This Row],[total_collected_premiums]]*(1-$AD$2)</f>
        <v>475.15641599999998</v>
      </c>
      <c r="AA1224" s="2">
        <f>Table1[[#This Row],[retained_premium]]-Table1[[#This Row],[claim_amount_paid]]</f>
        <v>-3524.8435840000002</v>
      </c>
    </row>
    <row r="1225" spans="1:27" x14ac:dyDescent="0.35">
      <c r="A1225" t="s">
        <v>3714</v>
      </c>
      <c r="B1225" t="s">
        <v>3715</v>
      </c>
      <c r="C1225" t="s">
        <v>3716</v>
      </c>
      <c r="D1225" s="1">
        <v>42686</v>
      </c>
      <c r="E1225" s="1">
        <v>44282</v>
      </c>
      <c r="F1225" s="1">
        <v>44285</v>
      </c>
      <c r="G1225">
        <v>3</v>
      </c>
      <c r="H1225">
        <v>81.12</v>
      </c>
      <c r="I1225">
        <v>973.44</v>
      </c>
      <c r="J1225">
        <v>5000</v>
      </c>
      <c r="K1225" t="s">
        <v>27</v>
      </c>
      <c r="L1225">
        <v>5000</v>
      </c>
      <c r="M1225">
        <v>6.42</v>
      </c>
      <c r="N1225" t="s">
        <v>49</v>
      </c>
      <c r="O1225">
        <v>77</v>
      </c>
      <c r="P1225">
        <v>42</v>
      </c>
      <c r="Q1225">
        <v>1</v>
      </c>
      <c r="R1225">
        <v>3</v>
      </c>
      <c r="S1225" t="s">
        <v>65</v>
      </c>
      <c r="T1225" t="s">
        <v>30</v>
      </c>
      <c r="U1225" t="s">
        <v>38</v>
      </c>
      <c r="V1225" t="s">
        <v>45</v>
      </c>
      <c r="W1225">
        <v>1</v>
      </c>
      <c r="X1225">
        <v>1</v>
      </c>
      <c r="Y1225" s="2">
        <f>Table1[[#This Row],[premium_yearly]]*Table1[[#This Row],[tenure_years]]</f>
        <v>6249.4848000000002</v>
      </c>
      <c r="Z1225" s="2">
        <f>Table1[[#This Row],[total_collected_premiums]]*(1-$AD$2)</f>
        <v>4562.123904</v>
      </c>
      <c r="AA1225" s="2">
        <f>Table1[[#This Row],[retained_premium]]-Table1[[#This Row],[claim_amount_paid]]</f>
        <v>-437.87609599999996</v>
      </c>
    </row>
    <row r="1226" spans="1:27" x14ac:dyDescent="0.35">
      <c r="A1226" t="s">
        <v>3717</v>
      </c>
      <c r="B1226" t="s">
        <v>3718</v>
      </c>
      <c r="C1226" t="s">
        <v>3719</v>
      </c>
      <c r="D1226" s="1">
        <v>40919</v>
      </c>
      <c r="E1226" s="1">
        <v>44284</v>
      </c>
      <c r="F1226" s="1">
        <v>44287</v>
      </c>
      <c r="G1226">
        <v>3</v>
      </c>
      <c r="H1226">
        <v>99.69</v>
      </c>
      <c r="I1226">
        <v>1196.28</v>
      </c>
      <c r="J1226">
        <v>10000</v>
      </c>
      <c r="K1226" t="s">
        <v>27</v>
      </c>
      <c r="L1226">
        <v>10000</v>
      </c>
      <c r="M1226">
        <v>8.25</v>
      </c>
      <c r="N1226" t="s">
        <v>36</v>
      </c>
      <c r="O1226">
        <v>99</v>
      </c>
      <c r="P1226">
        <v>52</v>
      </c>
      <c r="Q1226">
        <v>0</v>
      </c>
      <c r="R1226">
        <v>4</v>
      </c>
      <c r="S1226" t="s">
        <v>65</v>
      </c>
      <c r="T1226" t="s">
        <v>30</v>
      </c>
      <c r="U1226" t="s">
        <v>58</v>
      </c>
      <c r="V1226" t="s">
        <v>39</v>
      </c>
      <c r="W1226">
        <v>1</v>
      </c>
      <c r="X1226">
        <v>1</v>
      </c>
      <c r="Y1226" s="2">
        <f>Table1[[#This Row],[premium_yearly]]*Table1[[#This Row],[tenure_years]]</f>
        <v>9869.31</v>
      </c>
      <c r="Z1226" s="2">
        <f>Table1[[#This Row],[total_collected_premiums]]*(1-$AD$2)</f>
        <v>7204.5962999999992</v>
      </c>
      <c r="AA1226" s="2">
        <f>Table1[[#This Row],[retained_premium]]-Table1[[#This Row],[claim_amount_paid]]</f>
        <v>-2795.4037000000008</v>
      </c>
    </row>
    <row r="1227" spans="1:27" x14ac:dyDescent="0.35">
      <c r="A1227" t="s">
        <v>3720</v>
      </c>
      <c r="B1227" t="s">
        <v>3721</v>
      </c>
      <c r="C1227" t="s">
        <v>3722</v>
      </c>
      <c r="D1227" s="1">
        <v>42579</v>
      </c>
      <c r="E1227" s="1">
        <v>44275</v>
      </c>
      <c r="F1227" s="1">
        <v>44280</v>
      </c>
      <c r="G1227">
        <v>5</v>
      </c>
      <c r="H1227">
        <v>128.16</v>
      </c>
      <c r="I1227">
        <v>1537.92</v>
      </c>
      <c r="J1227">
        <v>7000</v>
      </c>
      <c r="K1227" t="s">
        <v>27</v>
      </c>
      <c r="L1227">
        <v>7000</v>
      </c>
      <c r="M1227">
        <v>1.92</v>
      </c>
      <c r="N1227" t="s">
        <v>49</v>
      </c>
      <c r="O1227">
        <v>23</v>
      </c>
      <c r="P1227">
        <v>51</v>
      </c>
      <c r="Q1227">
        <v>1</v>
      </c>
      <c r="R1227">
        <v>2</v>
      </c>
      <c r="S1227" t="s">
        <v>65</v>
      </c>
      <c r="T1227" t="s">
        <v>44</v>
      </c>
      <c r="U1227" t="s">
        <v>38</v>
      </c>
      <c r="V1227" t="s">
        <v>32</v>
      </c>
      <c r="W1227">
        <v>1</v>
      </c>
      <c r="X1227">
        <v>1</v>
      </c>
      <c r="Y1227" s="2">
        <f>Table1[[#This Row],[premium_yearly]]*Table1[[#This Row],[tenure_years]]</f>
        <v>2952.8063999999999</v>
      </c>
      <c r="Z1227" s="2">
        <f>Table1[[#This Row],[total_collected_premiums]]*(1-$AD$2)</f>
        <v>2155.5486719999999</v>
      </c>
      <c r="AA1227" s="2">
        <f>Table1[[#This Row],[retained_premium]]-Table1[[#This Row],[claim_amount_paid]]</f>
        <v>-4844.4513280000001</v>
      </c>
    </row>
    <row r="1228" spans="1:27" x14ac:dyDescent="0.35">
      <c r="A1228" t="s">
        <v>3723</v>
      </c>
      <c r="B1228" t="s">
        <v>3724</v>
      </c>
      <c r="C1228" t="s">
        <v>3725</v>
      </c>
      <c r="D1228" s="1">
        <v>41742</v>
      </c>
      <c r="E1228" s="1">
        <v>44274</v>
      </c>
      <c r="F1228" s="1">
        <v>44279</v>
      </c>
      <c r="G1228">
        <v>5</v>
      </c>
      <c r="H1228">
        <v>76.86</v>
      </c>
      <c r="I1228">
        <v>922.32</v>
      </c>
      <c r="J1228">
        <v>10000</v>
      </c>
      <c r="K1228" t="s">
        <v>27</v>
      </c>
      <c r="L1228">
        <v>10000</v>
      </c>
      <c r="M1228">
        <v>1.17</v>
      </c>
      <c r="N1228" t="s">
        <v>36</v>
      </c>
      <c r="O1228">
        <v>14</v>
      </c>
      <c r="P1228">
        <v>50</v>
      </c>
      <c r="Q1228">
        <v>1</v>
      </c>
      <c r="R1228">
        <v>3</v>
      </c>
      <c r="S1228" t="s">
        <v>65</v>
      </c>
      <c r="T1228" t="s">
        <v>30</v>
      </c>
      <c r="U1228" t="s">
        <v>38</v>
      </c>
      <c r="V1228" t="s">
        <v>39</v>
      </c>
      <c r="W1228">
        <v>1</v>
      </c>
      <c r="X1228">
        <v>1</v>
      </c>
      <c r="Y1228" s="2">
        <f>Table1[[#This Row],[premium_yearly]]*Table1[[#This Row],[tenure_years]]</f>
        <v>1079.1143999999999</v>
      </c>
      <c r="Z1228" s="2">
        <f>Table1[[#This Row],[total_collected_premiums]]*(1-$AD$2)</f>
        <v>787.75351199999989</v>
      </c>
      <c r="AA1228" s="2">
        <f>Table1[[#This Row],[retained_premium]]-Table1[[#This Row],[claim_amount_paid]]</f>
        <v>-9212.2464880000007</v>
      </c>
    </row>
    <row r="1229" spans="1:27" x14ac:dyDescent="0.35">
      <c r="A1229" t="s">
        <v>3726</v>
      </c>
      <c r="B1229" t="s">
        <v>3727</v>
      </c>
      <c r="C1229" t="s">
        <v>3728</v>
      </c>
      <c r="D1229" s="1">
        <v>42013</v>
      </c>
      <c r="E1229" s="1">
        <v>44277</v>
      </c>
      <c r="F1229" s="1">
        <v>44282</v>
      </c>
      <c r="G1229">
        <v>5</v>
      </c>
      <c r="H1229">
        <v>86.11</v>
      </c>
      <c r="I1229">
        <v>1033.32</v>
      </c>
      <c r="J1229">
        <v>5000</v>
      </c>
      <c r="K1229" t="s">
        <v>27</v>
      </c>
      <c r="L1229">
        <v>5000</v>
      </c>
      <c r="M1229">
        <v>5.67</v>
      </c>
      <c r="N1229" t="s">
        <v>36</v>
      </c>
      <c r="O1229">
        <v>68</v>
      </c>
      <c r="P1229">
        <v>53</v>
      </c>
      <c r="Q1229">
        <v>1</v>
      </c>
      <c r="R1229">
        <v>6</v>
      </c>
      <c r="S1229" t="s">
        <v>29</v>
      </c>
      <c r="T1229" t="s">
        <v>44</v>
      </c>
      <c r="U1229" t="s">
        <v>107</v>
      </c>
      <c r="V1229" t="s">
        <v>39</v>
      </c>
      <c r="W1229">
        <v>0</v>
      </c>
      <c r="X1229">
        <v>1</v>
      </c>
      <c r="Y1229" s="2">
        <f>Table1[[#This Row],[premium_yearly]]*Table1[[#This Row],[tenure_years]]</f>
        <v>5858.9243999999999</v>
      </c>
      <c r="Z1229" s="2">
        <f>Table1[[#This Row],[total_collected_premiums]]*(1-$AD$2)</f>
        <v>4277.0148119999994</v>
      </c>
      <c r="AA1229" s="2">
        <f>Table1[[#This Row],[retained_premium]]-Table1[[#This Row],[claim_amount_paid]]</f>
        <v>-722.98518800000056</v>
      </c>
    </row>
    <row r="1230" spans="1:27" x14ac:dyDescent="0.35">
      <c r="A1230" t="s">
        <v>3729</v>
      </c>
      <c r="B1230" t="s">
        <v>3730</v>
      </c>
      <c r="C1230" t="s">
        <v>3731</v>
      </c>
      <c r="D1230" s="1">
        <v>41872</v>
      </c>
      <c r="E1230" s="1">
        <v>44290</v>
      </c>
      <c r="F1230" s="1">
        <v>44290</v>
      </c>
      <c r="G1230">
        <v>0</v>
      </c>
      <c r="H1230">
        <v>81.73</v>
      </c>
      <c r="I1230">
        <v>980.76</v>
      </c>
      <c r="J1230">
        <v>2000</v>
      </c>
      <c r="K1230" t="s">
        <v>27</v>
      </c>
      <c r="L1230">
        <v>2000</v>
      </c>
      <c r="M1230">
        <v>8.75</v>
      </c>
      <c r="N1230" t="s">
        <v>49</v>
      </c>
      <c r="O1230">
        <v>105</v>
      </c>
      <c r="P1230">
        <v>64</v>
      </c>
      <c r="Q1230">
        <v>0</v>
      </c>
      <c r="R1230">
        <v>2</v>
      </c>
      <c r="S1230" t="s">
        <v>65</v>
      </c>
      <c r="T1230" t="s">
        <v>30</v>
      </c>
      <c r="U1230" t="s">
        <v>31</v>
      </c>
      <c r="V1230" t="s">
        <v>39</v>
      </c>
      <c r="W1230">
        <v>0</v>
      </c>
      <c r="X1230">
        <v>0</v>
      </c>
      <c r="Y1230" s="2">
        <f>Table1[[#This Row],[premium_yearly]]*Table1[[#This Row],[tenure_years]]</f>
        <v>8581.65</v>
      </c>
      <c r="Z1230" s="2">
        <f>Table1[[#This Row],[total_collected_premiums]]*(1-$AD$2)</f>
        <v>6264.6044999999995</v>
      </c>
      <c r="AA1230" s="2">
        <f>Table1[[#This Row],[retained_premium]]-Table1[[#This Row],[claim_amount_paid]]</f>
        <v>4264.6044999999995</v>
      </c>
    </row>
    <row r="1231" spans="1:27" x14ac:dyDescent="0.35">
      <c r="A1231" t="s">
        <v>3732</v>
      </c>
      <c r="B1231" t="s">
        <v>3733</v>
      </c>
      <c r="C1231" t="s">
        <v>3734</v>
      </c>
      <c r="D1231" s="1">
        <v>42487</v>
      </c>
      <c r="E1231" s="1">
        <v>44281</v>
      </c>
      <c r="F1231" s="1">
        <v>44286</v>
      </c>
      <c r="G1231">
        <v>5</v>
      </c>
      <c r="H1231">
        <v>130.59</v>
      </c>
      <c r="I1231">
        <v>1567.08</v>
      </c>
      <c r="J1231">
        <v>7000</v>
      </c>
      <c r="K1231" t="s">
        <v>27</v>
      </c>
      <c r="L1231">
        <v>7000</v>
      </c>
      <c r="M1231">
        <v>4.83</v>
      </c>
      <c r="N1231" t="s">
        <v>36</v>
      </c>
      <c r="O1231">
        <v>58</v>
      </c>
      <c r="P1231">
        <v>55</v>
      </c>
      <c r="Q1231">
        <v>0</v>
      </c>
      <c r="R1231">
        <v>3</v>
      </c>
      <c r="S1231" t="s">
        <v>65</v>
      </c>
      <c r="T1231" t="s">
        <v>30</v>
      </c>
      <c r="U1231" t="s">
        <v>38</v>
      </c>
      <c r="V1231" t="s">
        <v>39</v>
      </c>
      <c r="W1231">
        <v>1</v>
      </c>
      <c r="X1231">
        <v>1</v>
      </c>
      <c r="Y1231" s="2">
        <f>Table1[[#This Row],[premium_yearly]]*Table1[[#This Row],[tenure_years]]</f>
        <v>7568.9964</v>
      </c>
      <c r="Z1231" s="2">
        <f>Table1[[#This Row],[total_collected_premiums]]*(1-$AD$2)</f>
        <v>5525.3673719999997</v>
      </c>
      <c r="AA1231" s="2">
        <f>Table1[[#This Row],[retained_premium]]-Table1[[#This Row],[claim_amount_paid]]</f>
        <v>-1474.6326280000003</v>
      </c>
    </row>
    <row r="1232" spans="1:27" x14ac:dyDescent="0.35">
      <c r="A1232" t="s">
        <v>3735</v>
      </c>
      <c r="B1232" t="s">
        <v>3736</v>
      </c>
      <c r="C1232" t="s">
        <v>3737</v>
      </c>
      <c r="D1232" s="1">
        <v>43151</v>
      </c>
      <c r="E1232" s="1">
        <v>44279</v>
      </c>
      <c r="F1232" s="1">
        <v>44284</v>
      </c>
      <c r="G1232">
        <v>5</v>
      </c>
      <c r="H1232">
        <v>73.52</v>
      </c>
      <c r="I1232">
        <v>882.24</v>
      </c>
      <c r="J1232">
        <v>1000</v>
      </c>
      <c r="K1232" t="s">
        <v>27</v>
      </c>
      <c r="L1232">
        <v>1000</v>
      </c>
      <c r="M1232">
        <v>5.67</v>
      </c>
      <c r="N1232" t="s">
        <v>28</v>
      </c>
      <c r="O1232">
        <v>68</v>
      </c>
      <c r="P1232">
        <v>60</v>
      </c>
      <c r="Q1232">
        <v>1</v>
      </c>
      <c r="R1232">
        <v>5</v>
      </c>
      <c r="S1232" t="s">
        <v>29</v>
      </c>
      <c r="T1232" t="s">
        <v>30</v>
      </c>
      <c r="U1232" t="s">
        <v>38</v>
      </c>
      <c r="V1232" t="s">
        <v>39</v>
      </c>
      <c r="W1232">
        <v>1</v>
      </c>
      <c r="X1232">
        <v>0</v>
      </c>
      <c r="Y1232" s="2">
        <f>Table1[[#This Row],[premium_yearly]]*Table1[[#This Row],[tenure_years]]</f>
        <v>5002.3008</v>
      </c>
      <c r="Z1232" s="2">
        <f>Table1[[#This Row],[total_collected_premiums]]*(1-$AD$2)</f>
        <v>3651.679584</v>
      </c>
      <c r="AA1232" s="2">
        <f>Table1[[#This Row],[retained_premium]]-Table1[[#This Row],[claim_amount_paid]]</f>
        <v>2651.679584</v>
      </c>
    </row>
    <row r="1233" spans="1:27" x14ac:dyDescent="0.35">
      <c r="A1233" t="s">
        <v>3738</v>
      </c>
      <c r="B1233" t="s">
        <v>3739</v>
      </c>
      <c r="C1233" t="s">
        <v>3740</v>
      </c>
      <c r="D1233" s="1">
        <v>43079</v>
      </c>
      <c r="E1233" s="1">
        <v>44280</v>
      </c>
      <c r="F1233" s="1">
        <v>44285</v>
      </c>
      <c r="G1233">
        <v>5</v>
      </c>
      <c r="H1233">
        <v>71.41</v>
      </c>
      <c r="I1233">
        <v>856.92</v>
      </c>
      <c r="J1233">
        <v>10000</v>
      </c>
      <c r="K1233" t="s">
        <v>43</v>
      </c>
      <c r="L1233">
        <v>0</v>
      </c>
      <c r="M1233">
        <v>1.67</v>
      </c>
      <c r="N1233" t="s">
        <v>28</v>
      </c>
      <c r="O1233">
        <v>20</v>
      </c>
      <c r="P1233">
        <v>43</v>
      </c>
      <c r="Q1233">
        <v>1</v>
      </c>
      <c r="R1233">
        <v>3</v>
      </c>
      <c r="S1233" t="s">
        <v>65</v>
      </c>
      <c r="T1233" t="s">
        <v>50</v>
      </c>
      <c r="U1233" t="s">
        <v>38</v>
      </c>
      <c r="V1233" t="s">
        <v>39</v>
      </c>
      <c r="W1233">
        <v>1</v>
      </c>
      <c r="X1233">
        <v>0</v>
      </c>
      <c r="Y1233" s="2">
        <f>Table1[[#This Row],[premium_yearly]]*Table1[[#This Row],[tenure_years]]</f>
        <v>1431.0563999999999</v>
      </c>
      <c r="Z1233" s="2">
        <f>Table1[[#This Row],[total_collected_premiums]]*(1-$AD$2)</f>
        <v>1044.6711719999998</v>
      </c>
      <c r="AA1233" s="2">
        <f>Table1[[#This Row],[retained_premium]]-Table1[[#This Row],[claim_amount_paid]]</f>
        <v>1044.6711719999998</v>
      </c>
    </row>
    <row r="1234" spans="1:27" x14ac:dyDescent="0.35">
      <c r="A1234" t="s">
        <v>3741</v>
      </c>
      <c r="B1234" t="s">
        <v>3742</v>
      </c>
      <c r="C1234" t="s">
        <v>3743</v>
      </c>
      <c r="D1234" s="1">
        <v>40841</v>
      </c>
      <c r="E1234" s="1">
        <v>44279</v>
      </c>
      <c r="F1234" s="1">
        <v>44284</v>
      </c>
      <c r="G1234">
        <v>5</v>
      </c>
      <c r="H1234">
        <v>81.36</v>
      </c>
      <c r="I1234">
        <v>976.32</v>
      </c>
      <c r="J1234">
        <v>3000</v>
      </c>
      <c r="K1234" t="s">
        <v>27</v>
      </c>
      <c r="L1234">
        <v>3000</v>
      </c>
      <c r="M1234">
        <v>4.17</v>
      </c>
      <c r="N1234" t="s">
        <v>49</v>
      </c>
      <c r="O1234">
        <v>50</v>
      </c>
      <c r="P1234">
        <v>39</v>
      </c>
      <c r="Q1234">
        <v>1</v>
      </c>
      <c r="R1234">
        <v>5</v>
      </c>
      <c r="S1234" t="s">
        <v>65</v>
      </c>
      <c r="T1234" t="s">
        <v>30</v>
      </c>
      <c r="U1234" t="s">
        <v>38</v>
      </c>
      <c r="V1234" t="s">
        <v>32</v>
      </c>
      <c r="W1234">
        <v>0</v>
      </c>
      <c r="X1234">
        <v>1</v>
      </c>
      <c r="Y1234" s="2">
        <f>Table1[[#This Row],[premium_yearly]]*Table1[[#This Row],[tenure_years]]</f>
        <v>4071.2544000000003</v>
      </c>
      <c r="Z1234" s="2">
        <f>Table1[[#This Row],[total_collected_premiums]]*(1-$AD$2)</f>
        <v>2972.0157119999999</v>
      </c>
      <c r="AA1234" s="2">
        <f>Table1[[#This Row],[retained_premium]]-Table1[[#This Row],[claim_amount_paid]]</f>
        <v>-27.984288000000106</v>
      </c>
    </row>
    <row r="1235" spans="1:27" x14ac:dyDescent="0.35">
      <c r="A1235" t="s">
        <v>3744</v>
      </c>
      <c r="B1235" t="s">
        <v>3745</v>
      </c>
      <c r="C1235" t="s">
        <v>3746</v>
      </c>
      <c r="D1235" s="1">
        <v>40641</v>
      </c>
      <c r="E1235" s="1">
        <v>44290</v>
      </c>
      <c r="F1235" s="1">
        <v>44291</v>
      </c>
      <c r="G1235">
        <v>1</v>
      </c>
      <c r="H1235">
        <v>125.96</v>
      </c>
      <c r="I1235">
        <v>1511.52</v>
      </c>
      <c r="J1235">
        <v>10000</v>
      </c>
      <c r="K1235" t="s">
        <v>27</v>
      </c>
      <c r="L1235">
        <v>10000</v>
      </c>
      <c r="M1235">
        <v>4.5</v>
      </c>
      <c r="N1235" t="s">
        <v>36</v>
      </c>
      <c r="O1235">
        <v>54</v>
      </c>
      <c r="P1235">
        <v>27</v>
      </c>
      <c r="Q1235">
        <v>0</v>
      </c>
      <c r="R1235">
        <v>7</v>
      </c>
      <c r="S1235" t="s">
        <v>29</v>
      </c>
      <c r="T1235" t="s">
        <v>30</v>
      </c>
      <c r="U1235" t="s">
        <v>38</v>
      </c>
      <c r="V1235" t="s">
        <v>39</v>
      </c>
      <c r="W1235">
        <v>1</v>
      </c>
      <c r="X1235">
        <v>1</v>
      </c>
      <c r="Y1235" s="2">
        <f>Table1[[#This Row],[premium_yearly]]*Table1[[#This Row],[tenure_years]]</f>
        <v>6801.84</v>
      </c>
      <c r="Z1235" s="2">
        <f>Table1[[#This Row],[total_collected_premiums]]*(1-$AD$2)</f>
        <v>4965.3432000000003</v>
      </c>
      <c r="AA1235" s="2">
        <f>Table1[[#This Row],[retained_premium]]-Table1[[#This Row],[claim_amount_paid]]</f>
        <v>-5034.6567999999997</v>
      </c>
    </row>
    <row r="1236" spans="1:27" x14ac:dyDescent="0.35">
      <c r="A1236" t="s">
        <v>3747</v>
      </c>
      <c r="B1236" t="s">
        <v>3748</v>
      </c>
      <c r="C1236" t="s">
        <v>3749</v>
      </c>
      <c r="D1236" s="1">
        <v>43835</v>
      </c>
      <c r="E1236" s="1">
        <v>44293</v>
      </c>
      <c r="F1236" s="1">
        <v>44293</v>
      </c>
      <c r="G1236">
        <v>0</v>
      </c>
      <c r="H1236">
        <v>91.06</v>
      </c>
      <c r="I1236">
        <v>1092.72</v>
      </c>
      <c r="J1236">
        <v>2000</v>
      </c>
      <c r="K1236" t="s">
        <v>43</v>
      </c>
      <c r="L1236">
        <v>0</v>
      </c>
      <c r="M1236">
        <v>3.92</v>
      </c>
      <c r="N1236" t="s">
        <v>49</v>
      </c>
      <c r="O1236">
        <v>47</v>
      </c>
      <c r="P1236">
        <v>29</v>
      </c>
      <c r="Q1236">
        <v>0</v>
      </c>
      <c r="R1236">
        <v>6</v>
      </c>
      <c r="S1236" t="s">
        <v>65</v>
      </c>
      <c r="T1236" t="s">
        <v>44</v>
      </c>
      <c r="U1236" t="s">
        <v>38</v>
      </c>
      <c r="V1236" t="s">
        <v>32</v>
      </c>
      <c r="W1236">
        <v>1</v>
      </c>
      <c r="X1236">
        <v>1</v>
      </c>
      <c r="Y1236" s="2">
        <f>Table1[[#This Row],[premium_yearly]]*Table1[[#This Row],[tenure_years]]</f>
        <v>4283.4624000000003</v>
      </c>
      <c r="Z1236" s="2">
        <f>Table1[[#This Row],[total_collected_premiums]]*(1-$AD$2)</f>
        <v>3126.9275520000001</v>
      </c>
      <c r="AA1236" s="2">
        <f>Table1[[#This Row],[retained_premium]]-Table1[[#This Row],[claim_amount_paid]]</f>
        <v>3126.9275520000001</v>
      </c>
    </row>
    <row r="1237" spans="1:27" x14ac:dyDescent="0.35">
      <c r="A1237" t="s">
        <v>3750</v>
      </c>
      <c r="B1237" t="s">
        <v>3751</v>
      </c>
      <c r="C1237" t="s">
        <v>3752</v>
      </c>
      <c r="D1237" s="1">
        <v>43679</v>
      </c>
      <c r="E1237" s="1">
        <v>44294</v>
      </c>
      <c r="F1237" s="1">
        <v>44294</v>
      </c>
      <c r="G1237">
        <v>0</v>
      </c>
      <c r="H1237">
        <v>101.34</v>
      </c>
      <c r="I1237">
        <v>1216.08</v>
      </c>
      <c r="J1237">
        <v>6000</v>
      </c>
      <c r="K1237" t="s">
        <v>27</v>
      </c>
      <c r="L1237">
        <v>6000</v>
      </c>
      <c r="M1237">
        <v>8.5</v>
      </c>
      <c r="N1237" t="s">
        <v>49</v>
      </c>
      <c r="O1237">
        <v>102</v>
      </c>
      <c r="P1237">
        <v>55</v>
      </c>
      <c r="Q1237">
        <v>1</v>
      </c>
      <c r="R1237">
        <v>2</v>
      </c>
      <c r="S1237" t="s">
        <v>65</v>
      </c>
      <c r="T1237" t="s">
        <v>30</v>
      </c>
      <c r="U1237" t="s">
        <v>66</v>
      </c>
      <c r="V1237" t="s">
        <v>39</v>
      </c>
      <c r="W1237">
        <v>0</v>
      </c>
      <c r="X1237">
        <v>1</v>
      </c>
      <c r="Y1237" s="2">
        <f>Table1[[#This Row],[premium_yearly]]*Table1[[#This Row],[tenure_years]]</f>
        <v>10336.68</v>
      </c>
      <c r="Z1237" s="2">
        <f>Table1[[#This Row],[total_collected_premiums]]*(1-$AD$2)</f>
        <v>7545.7763999999997</v>
      </c>
      <c r="AA1237" s="2">
        <f>Table1[[#This Row],[retained_premium]]-Table1[[#This Row],[claim_amount_paid]]</f>
        <v>1545.7763999999997</v>
      </c>
    </row>
    <row r="1238" spans="1:27" x14ac:dyDescent="0.35">
      <c r="A1238" t="s">
        <v>3753</v>
      </c>
      <c r="B1238" t="s">
        <v>3754</v>
      </c>
      <c r="C1238" t="s">
        <v>3755</v>
      </c>
      <c r="D1238" s="1">
        <v>40346</v>
      </c>
      <c r="E1238" s="1">
        <v>44290</v>
      </c>
      <c r="F1238" s="1">
        <v>44291</v>
      </c>
      <c r="G1238">
        <v>1</v>
      </c>
      <c r="H1238">
        <v>79.48</v>
      </c>
      <c r="I1238">
        <v>953.76</v>
      </c>
      <c r="J1238">
        <v>8000</v>
      </c>
      <c r="K1238" t="s">
        <v>27</v>
      </c>
      <c r="L1238">
        <v>8000</v>
      </c>
      <c r="M1238">
        <v>6.08</v>
      </c>
      <c r="N1238" t="s">
        <v>49</v>
      </c>
      <c r="O1238">
        <v>73</v>
      </c>
      <c r="P1238">
        <v>32</v>
      </c>
      <c r="Q1238">
        <v>1</v>
      </c>
      <c r="R1238">
        <v>7</v>
      </c>
      <c r="S1238" t="s">
        <v>29</v>
      </c>
      <c r="T1238" t="s">
        <v>50</v>
      </c>
      <c r="U1238" t="s">
        <v>107</v>
      </c>
      <c r="V1238" t="s">
        <v>32</v>
      </c>
      <c r="W1238">
        <v>1</v>
      </c>
      <c r="X1238">
        <v>1</v>
      </c>
      <c r="Y1238" s="2">
        <f>Table1[[#This Row],[premium_yearly]]*Table1[[#This Row],[tenure_years]]</f>
        <v>5798.8608000000004</v>
      </c>
      <c r="Z1238" s="2">
        <f>Table1[[#This Row],[total_collected_premiums]]*(1-$AD$2)</f>
        <v>4233.1683840000005</v>
      </c>
      <c r="AA1238" s="2">
        <f>Table1[[#This Row],[retained_premium]]-Table1[[#This Row],[claim_amount_paid]]</f>
        <v>-3766.8316159999995</v>
      </c>
    </row>
    <row r="1239" spans="1:27" x14ac:dyDescent="0.35">
      <c r="A1239" t="s">
        <v>3756</v>
      </c>
      <c r="B1239" t="s">
        <v>3757</v>
      </c>
      <c r="C1239" t="s">
        <v>3758</v>
      </c>
      <c r="D1239" s="1">
        <v>41361</v>
      </c>
      <c r="E1239" s="1">
        <v>44293</v>
      </c>
      <c r="F1239" s="1">
        <v>44293</v>
      </c>
      <c r="G1239">
        <v>0</v>
      </c>
      <c r="H1239">
        <v>87.71</v>
      </c>
      <c r="I1239">
        <v>1052.52</v>
      </c>
      <c r="J1239">
        <v>8000</v>
      </c>
      <c r="K1239" t="s">
        <v>27</v>
      </c>
      <c r="L1239">
        <v>8000</v>
      </c>
      <c r="M1239">
        <v>5.67</v>
      </c>
      <c r="N1239" t="s">
        <v>28</v>
      </c>
      <c r="O1239">
        <v>68</v>
      </c>
      <c r="P1239">
        <v>52</v>
      </c>
      <c r="Q1239">
        <v>0</v>
      </c>
      <c r="R1239">
        <v>7</v>
      </c>
      <c r="S1239" t="s">
        <v>29</v>
      </c>
      <c r="T1239" t="s">
        <v>30</v>
      </c>
      <c r="U1239" t="s">
        <v>58</v>
      </c>
      <c r="V1239" t="s">
        <v>39</v>
      </c>
      <c r="W1239">
        <v>1</v>
      </c>
      <c r="X1239">
        <v>1</v>
      </c>
      <c r="Y1239" s="2">
        <f>Table1[[#This Row],[premium_yearly]]*Table1[[#This Row],[tenure_years]]</f>
        <v>5967.7883999999995</v>
      </c>
      <c r="Z1239" s="2">
        <f>Table1[[#This Row],[total_collected_premiums]]*(1-$AD$2)</f>
        <v>4356.4855319999997</v>
      </c>
      <c r="AA1239" s="2">
        <f>Table1[[#This Row],[retained_premium]]-Table1[[#This Row],[claim_amount_paid]]</f>
        <v>-3643.5144680000003</v>
      </c>
    </row>
    <row r="1240" spans="1:27" x14ac:dyDescent="0.35">
      <c r="A1240" t="s">
        <v>3759</v>
      </c>
      <c r="B1240" t="s">
        <v>3760</v>
      </c>
      <c r="C1240" t="s">
        <v>3761</v>
      </c>
      <c r="D1240" s="1">
        <v>41267</v>
      </c>
      <c r="E1240" s="1">
        <v>44286</v>
      </c>
      <c r="F1240" s="1">
        <v>44289</v>
      </c>
      <c r="G1240">
        <v>3</v>
      </c>
      <c r="H1240">
        <v>119.05</v>
      </c>
      <c r="I1240">
        <v>1428.6</v>
      </c>
      <c r="J1240">
        <v>3000</v>
      </c>
      <c r="K1240" t="s">
        <v>27</v>
      </c>
      <c r="L1240">
        <v>3000</v>
      </c>
      <c r="M1240">
        <v>6.92</v>
      </c>
      <c r="N1240" t="s">
        <v>36</v>
      </c>
      <c r="O1240">
        <v>83</v>
      </c>
      <c r="P1240">
        <v>40</v>
      </c>
      <c r="Q1240">
        <v>0</v>
      </c>
      <c r="R1240">
        <v>5</v>
      </c>
      <c r="S1240" t="s">
        <v>37</v>
      </c>
      <c r="T1240" t="s">
        <v>50</v>
      </c>
      <c r="U1240" t="s">
        <v>31</v>
      </c>
      <c r="V1240" t="s">
        <v>32</v>
      </c>
      <c r="W1240">
        <v>1</v>
      </c>
      <c r="X1240">
        <v>1</v>
      </c>
      <c r="Y1240" s="2">
        <f>Table1[[#This Row],[premium_yearly]]*Table1[[#This Row],[tenure_years]]</f>
        <v>9885.9119999999984</v>
      </c>
      <c r="Z1240" s="2">
        <f>Table1[[#This Row],[total_collected_premiums]]*(1-$AD$2)</f>
        <v>7216.7157599999991</v>
      </c>
      <c r="AA1240" s="2">
        <f>Table1[[#This Row],[retained_premium]]-Table1[[#This Row],[claim_amount_paid]]</f>
        <v>4216.7157599999991</v>
      </c>
    </row>
    <row r="1241" spans="1:27" x14ac:dyDescent="0.35">
      <c r="A1241" t="s">
        <v>3762</v>
      </c>
      <c r="B1241" t="s">
        <v>3763</v>
      </c>
      <c r="C1241" t="s">
        <v>3764</v>
      </c>
      <c r="D1241" s="1">
        <v>42683</v>
      </c>
      <c r="E1241" s="1">
        <v>44284</v>
      </c>
      <c r="F1241" s="1">
        <v>44289</v>
      </c>
      <c r="G1241">
        <v>5</v>
      </c>
      <c r="H1241">
        <v>130.88999999999999</v>
      </c>
      <c r="I1241">
        <v>1570.68</v>
      </c>
      <c r="J1241">
        <v>1000</v>
      </c>
      <c r="K1241" t="s">
        <v>27</v>
      </c>
      <c r="L1241">
        <v>1000</v>
      </c>
      <c r="M1241">
        <v>9.92</v>
      </c>
      <c r="N1241" t="s">
        <v>49</v>
      </c>
      <c r="O1241">
        <v>119</v>
      </c>
      <c r="P1241">
        <v>62</v>
      </c>
      <c r="Q1241">
        <v>1</v>
      </c>
      <c r="R1241">
        <v>5</v>
      </c>
      <c r="S1241" t="s">
        <v>29</v>
      </c>
      <c r="T1241" t="s">
        <v>44</v>
      </c>
      <c r="U1241" t="s">
        <v>66</v>
      </c>
      <c r="V1241" t="s">
        <v>32</v>
      </c>
      <c r="W1241">
        <v>1</v>
      </c>
      <c r="X1241">
        <v>1</v>
      </c>
      <c r="Y1241" s="2">
        <f>Table1[[#This Row],[premium_yearly]]*Table1[[#This Row],[tenure_years]]</f>
        <v>15581.1456</v>
      </c>
      <c r="Z1241" s="2">
        <f>Table1[[#This Row],[total_collected_premiums]]*(1-$AD$2)</f>
        <v>11374.236288</v>
      </c>
      <c r="AA1241" s="2">
        <f>Table1[[#This Row],[retained_premium]]-Table1[[#This Row],[claim_amount_paid]]</f>
        <v>10374.236288</v>
      </c>
    </row>
    <row r="1242" spans="1:27" x14ac:dyDescent="0.35">
      <c r="A1242" t="s">
        <v>3765</v>
      </c>
      <c r="B1242" t="s">
        <v>3766</v>
      </c>
      <c r="C1242" t="s">
        <v>3767</v>
      </c>
      <c r="D1242" s="1">
        <v>43310</v>
      </c>
      <c r="E1242" s="1">
        <v>44285</v>
      </c>
      <c r="F1242" s="1">
        <v>44288</v>
      </c>
      <c r="G1242">
        <v>3</v>
      </c>
      <c r="H1242">
        <v>108.01</v>
      </c>
      <c r="I1242">
        <v>1296.1199999999999</v>
      </c>
      <c r="J1242">
        <v>1000</v>
      </c>
      <c r="K1242" t="s">
        <v>27</v>
      </c>
      <c r="L1242">
        <v>1000</v>
      </c>
      <c r="M1242">
        <v>2.25</v>
      </c>
      <c r="N1242" t="s">
        <v>36</v>
      </c>
      <c r="O1242">
        <v>27</v>
      </c>
      <c r="P1242">
        <v>29</v>
      </c>
      <c r="Q1242">
        <v>0</v>
      </c>
      <c r="R1242">
        <v>7</v>
      </c>
      <c r="S1242" t="s">
        <v>65</v>
      </c>
      <c r="T1242" t="s">
        <v>50</v>
      </c>
      <c r="U1242" t="s">
        <v>38</v>
      </c>
      <c r="V1242" t="s">
        <v>39</v>
      </c>
      <c r="W1242">
        <v>1</v>
      </c>
      <c r="X1242">
        <v>0</v>
      </c>
      <c r="Y1242" s="2">
        <f>Table1[[#This Row],[premium_yearly]]*Table1[[#This Row],[tenure_years]]</f>
        <v>2916.2699999999995</v>
      </c>
      <c r="Z1242" s="2">
        <f>Table1[[#This Row],[total_collected_premiums]]*(1-$AD$2)</f>
        <v>2128.8770999999997</v>
      </c>
      <c r="AA1242" s="2">
        <f>Table1[[#This Row],[retained_premium]]-Table1[[#This Row],[claim_amount_paid]]</f>
        <v>1128.8770999999997</v>
      </c>
    </row>
    <row r="1243" spans="1:27" x14ac:dyDescent="0.35">
      <c r="A1243" t="s">
        <v>3768</v>
      </c>
      <c r="B1243" t="s">
        <v>3769</v>
      </c>
      <c r="C1243" t="s">
        <v>3770</v>
      </c>
      <c r="D1243" s="1">
        <v>42934</v>
      </c>
      <c r="E1243" s="1">
        <v>44286</v>
      </c>
      <c r="F1243" s="1">
        <v>44289</v>
      </c>
      <c r="G1243">
        <v>3</v>
      </c>
      <c r="H1243">
        <v>93.88</v>
      </c>
      <c r="I1243">
        <v>1126.56</v>
      </c>
      <c r="J1243">
        <v>9000</v>
      </c>
      <c r="K1243" t="s">
        <v>27</v>
      </c>
      <c r="L1243">
        <v>9000</v>
      </c>
      <c r="M1243">
        <v>6.5</v>
      </c>
      <c r="N1243" t="s">
        <v>28</v>
      </c>
      <c r="O1243">
        <v>78</v>
      </c>
      <c r="P1243">
        <v>57</v>
      </c>
      <c r="Q1243">
        <v>0</v>
      </c>
      <c r="R1243">
        <v>6</v>
      </c>
      <c r="S1243" t="s">
        <v>65</v>
      </c>
      <c r="T1243" t="s">
        <v>44</v>
      </c>
      <c r="U1243" t="s">
        <v>31</v>
      </c>
      <c r="V1243" t="s">
        <v>32</v>
      </c>
      <c r="W1243">
        <v>0</v>
      </c>
      <c r="X1243">
        <v>1</v>
      </c>
      <c r="Y1243" s="2">
        <f>Table1[[#This Row],[premium_yearly]]*Table1[[#This Row],[tenure_years]]</f>
        <v>7322.6399999999994</v>
      </c>
      <c r="Z1243" s="2">
        <f>Table1[[#This Row],[total_collected_premiums]]*(1-$AD$2)</f>
        <v>5345.5271999999995</v>
      </c>
      <c r="AA1243" s="2">
        <f>Table1[[#This Row],[retained_premium]]-Table1[[#This Row],[claim_amount_paid]]</f>
        <v>-3654.4728000000005</v>
      </c>
    </row>
    <row r="1244" spans="1:27" x14ac:dyDescent="0.35">
      <c r="A1244" t="s">
        <v>3771</v>
      </c>
      <c r="B1244" t="s">
        <v>3772</v>
      </c>
      <c r="C1244" t="s">
        <v>3773</v>
      </c>
      <c r="D1244" s="1">
        <v>43086</v>
      </c>
      <c r="E1244" s="1">
        <v>44281</v>
      </c>
      <c r="F1244" s="1">
        <v>44286</v>
      </c>
      <c r="G1244">
        <v>5</v>
      </c>
      <c r="H1244">
        <v>137.02000000000001</v>
      </c>
      <c r="I1244">
        <v>1644.24</v>
      </c>
      <c r="J1244">
        <v>1000</v>
      </c>
      <c r="K1244" t="s">
        <v>27</v>
      </c>
      <c r="L1244">
        <v>1000</v>
      </c>
      <c r="M1244">
        <v>1.58</v>
      </c>
      <c r="N1244" t="s">
        <v>49</v>
      </c>
      <c r="O1244">
        <v>19</v>
      </c>
      <c r="P1244">
        <v>46</v>
      </c>
      <c r="Q1244">
        <v>1</v>
      </c>
      <c r="R1244">
        <v>5</v>
      </c>
      <c r="S1244" t="s">
        <v>37</v>
      </c>
      <c r="T1244" t="s">
        <v>44</v>
      </c>
      <c r="U1244" t="s">
        <v>38</v>
      </c>
      <c r="V1244" t="s">
        <v>39</v>
      </c>
      <c r="W1244">
        <v>1</v>
      </c>
      <c r="X1244">
        <v>1</v>
      </c>
      <c r="Y1244" s="2">
        <f>Table1[[#This Row],[premium_yearly]]*Table1[[#This Row],[tenure_years]]</f>
        <v>2597.8992000000003</v>
      </c>
      <c r="Z1244" s="2">
        <f>Table1[[#This Row],[total_collected_premiums]]*(1-$AD$2)</f>
        <v>1896.4664160000002</v>
      </c>
      <c r="AA1244" s="2">
        <f>Table1[[#This Row],[retained_premium]]-Table1[[#This Row],[claim_amount_paid]]</f>
        <v>896.46641600000021</v>
      </c>
    </row>
    <row r="1245" spans="1:27" x14ac:dyDescent="0.35">
      <c r="A1245" t="s">
        <v>3774</v>
      </c>
      <c r="B1245" t="s">
        <v>3775</v>
      </c>
      <c r="C1245" t="s">
        <v>3776</v>
      </c>
      <c r="D1245" s="1">
        <v>40695</v>
      </c>
      <c r="E1245" s="1">
        <v>44280</v>
      </c>
      <c r="F1245" s="1">
        <v>44285</v>
      </c>
      <c r="G1245">
        <v>5</v>
      </c>
      <c r="H1245">
        <v>78.5</v>
      </c>
      <c r="I1245">
        <v>942</v>
      </c>
      <c r="J1245">
        <v>4000</v>
      </c>
      <c r="K1245" t="s">
        <v>27</v>
      </c>
      <c r="L1245">
        <v>4000</v>
      </c>
      <c r="M1245">
        <v>1.25</v>
      </c>
      <c r="N1245" t="s">
        <v>28</v>
      </c>
      <c r="O1245">
        <v>15</v>
      </c>
      <c r="P1245">
        <v>30</v>
      </c>
      <c r="Q1245">
        <v>1</v>
      </c>
      <c r="R1245">
        <v>3</v>
      </c>
      <c r="S1245" t="s">
        <v>29</v>
      </c>
      <c r="T1245" t="s">
        <v>30</v>
      </c>
      <c r="U1245" t="s">
        <v>31</v>
      </c>
      <c r="V1245" t="s">
        <v>45</v>
      </c>
      <c r="W1245">
        <v>1</v>
      </c>
      <c r="X1245">
        <v>1</v>
      </c>
      <c r="Y1245" s="2">
        <f>Table1[[#This Row],[premium_yearly]]*Table1[[#This Row],[tenure_years]]</f>
        <v>1177.5</v>
      </c>
      <c r="Z1245" s="2">
        <f>Table1[[#This Row],[total_collected_premiums]]*(1-$AD$2)</f>
        <v>859.57499999999993</v>
      </c>
      <c r="AA1245" s="2">
        <f>Table1[[#This Row],[retained_premium]]-Table1[[#This Row],[claim_amount_paid]]</f>
        <v>-3140.4250000000002</v>
      </c>
    </row>
    <row r="1246" spans="1:27" x14ac:dyDescent="0.35">
      <c r="A1246" t="s">
        <v>3777</v>
      </c>
      <c r="B1246" t="s">
        <v>3778</v>
      </c>
      <c r="C1246" t="s">
        <v>3779</v>
      </c>
      <c r="D1246" s="1">
        <v>41665</v>
      </c>
      <c r="E1246" s="1">
        <v>44287</v>
      </c>
      <c r="F1246" s="1">
        <v>44290</v>
      </c>
      <c r="G1246">
        <v>3</v>
      </c>
      <c r="H1246">
        <v>93.66</v>
      </c>
      <c r="I1246">
        <v>1123.92</v>
      </c>
      <c r="J1246">
        <v>10000</v>
      </c>
      <c r="K1246" t="s">
        <v>27</v>
      </c>
      <c r="L1246">
        <v>10000</v>
      </c>
      <c r="M1246">
        <v>5.33</v>
      </c>
      <c r="N1246" t="s">
        <v>28</v>
      </c>
      <c r="O1246">
        <v>64</v>
      </c>
      <c r="P1246">
        <v>43</v>
      </c>
      <c r="Q1246">
        <v>1</v>
      </c>
      <c r="R1246">
        <v>2</v>
      </c>
      <c r="S1246" t="s">
        <v>29</v>
      </c>
      <c r="T1246" t="s">
        <v>44</v>
      </c>
      <c r="U1246" t="s">
        <v>38</v>
      </c>
      <c r="V1246" t="s">
        <v>39</v>
      </c>
      <c r="W1246">
        <v>1</v>
      </c>
      <c r="X1246">
        <v>1</v>
      </c>
      <c r="Y1246" s="2">
        <f>Table1[[#This Row],[premium_yearly]]*Table1[[#This Row],[tenure_years]]</f>
        <v>5990.4936000000007</v>
      </c>
      <c r="Z1246" s="2">
        <f>Table1[[#This Row],[total_collected_premiums]]*(1-$AD$2)</f>
        <v>4373.0603280000005</v>
      </c>
      <c r="AA1246" s="2">
        <f>Table1[[#This Row],[retained_premium]]-Table1[[#This Row],[claim_amount_paid]]</f>
        <v>-5626.9396719999995</v>
      </c>
    </row>
    <row r="1247" spans="1:27" x14ac:dyDescent="0.35">
      <c r="A1247" t="s">
        <v>3780</v>
      </c>
      <c r="B1247" t="s">
        <v>3781</v>
      </c>
      <c r="C1247" t="s">
        <v>3782</v>
      </c>
      <c r="D1247" s="1">
        <v>40410</v>
      </c>
      <c r="E1247" s="1">
        <v>44287</v>
      </c>
      <c r="F1247" s="1">
        <v>44290</v>
      </c>
      <c r="G1247">
        <v>3</v>
      </c>
      <c r="H1247">
        <v>116.34</v>
      </c>
      <c r="I1247">
        <v>1396.08</v>
      </c>
      <c r="J1247">
        <v>5000</v>
      </c>
      <c r="K1247" t="s">
        <v>27</v>
      </c>
      <c r="L1247">
        <v>5000</v>
      </c>
      <c r="M1247">
        <v>5.08</v>
      </c>
      <c r="N1247" t="s">
        <v>28</v>
      </c>
      <c r="O1247">
        <v>61</v>
      </c>
      <c r="P1247">
        <v>32</v>
      </c>
      <c r="Q1247">
        <v>1</v>
      </c>
      <c r="R1247">
        <v>4</v>
      </c>
      <c r="S1247" t="s">
        <v>37</v>
      </c>
      <c r="T1247" t="s">
        <v>44</v>
      </c>
      <c r="U1247" t="s">
        <v>38</v>
      </c>
      <c r="V1247" t="s">
        <v>45</v>
      </c>
      <c r="W1247">
        <v>1</v>
      </c>
      <c r="X1247">
        <v>0</v>
      </c>
      <c r="Y1247" s="2">
        <f>Table1[[#This Row],[premium_yearly]]*Table1[[#This Row],[tenure_years]]</f>
        <v>7092.0864000000001</v>
      </c>
      <c r="Z1247" s="2">
        <f>Table1[[#This Row],[total_collected_premiums]]*(1-$AD$2)</f>
        <v>5177.2230719999998</v>
      </c>
      <c r="AA1247" s="2">
        <f>Table1[[#This Row],[retained_premium]]-Table1[[#This Row],[claim_amount_paid]]</f>
        <v>177.22307199999977</v>
      </c>
    </row>
    <row r="1248" spans="1:27" x14ac:dyDescent="0.35">
      <c r="A1248" t="s">
        <v>3783</v>
      </c>
      <c r="B1248" t="s">
        <v>3784</v>
      </c>
      <c r="C1248" t="s">
        <v>3785</v>
      </c>
      <c r="D1248" s="1">
        <v>43203</v>
      </c>
      <c r="E1248" s="1">
        <v>44277</v>
      </c>
      <c r="F1248" s="1">
        <v>44282</v>
      </c>
      <c r="G1248">
        <v>5</v>
      </c>
      <c r="H1248">
        <v>73.489999999999995</v>
      </c>
      <c r="I1248">
        <v>881.88</v>
      </c>
      <c r="J1248">
        <v>3000</v>
      </c>
      <c r="K1248" t="s">
        <v>27</v>
      </c>
      <c r="L1248">
        <v>3000</v>
      </c>
      <c r="M1248">
        <v>9.83</v>
      </c>
      <c r="N1248" t="s">
        <v>28</v>
      </c>
      <c r="O1248">
        <v>118</v>
      </c>
      <c r="P1248">
        <v>56</v>
      </c>
      <c r="Q1248">
        <v>1</v>
      </c>
      <c r="R1248">
        <v>7</v>
      </c>
      <c r="S1248" t="s">
        <v>29</v>
      </c>
      <c r="T1248" t="s">
        <v>44</v>
      </c>
      <c r="U1248" t="s">
        <v>66</v>
      </c>
      <c r="V1248" t="s">
        <v>32</v>
      </c>
      <c r="W1248">
        <v>1</v>
      </c>
      <c r="X1248">
        <v>1</v>
      </c>
      <c r="Y1248" s="2">
        <f>Table1[[#This Row],[premium_yearly]]*Table1[[#This Row],[tenure_years]]</f>
        <v>8668.8804</v>
      </c>
      <c r="Z1248" s="2">
        <f>Table1[[#This Row],[total_collected_premiums]]*(1-$AD$2)</f>
        <v>6328.2826919999998</v>
      </c>
      <c r="AA1248" s="2">
        <f>Table1[[#This Row],[retained_premium]]-Table1[[#This Row],[claim_amount_paid]]</f>
        <v>3328.2826919999998</v>
      </c>
    </row>
    <row r="1249" spans="1:27" x14ac:dyDescent="0.35">
      <c r="A1249" t="s">
        <v>3786</v>
      </c>
      <c r="B1249" t="s">
        <v>3787</v>
      </c>
      <c r="C1249" t="s">
        <v>3788</v>
      </c>
      <c r="D1249" s="1">
        <v>40722</v>
      </c>
      <c r="E1249" s="1">
        <v>44278</v>
      </c>
      <c r="F1249" s="1">
        <v>44283</v>
      </c>
      <c r="G1249">
        <v>5</v>
      </c>
      <c r="H1249">
        <v>104.07</v>
      </c>
      <c r="I1249">
        <v>1248.8399999999999</v>
      </c>
      <c r="J1249">
        <v>7000</v>
      </c>
      <c r="K1249" t="s">
        <v>27</v>
      </c>
      <c r="L1249">
        <v>7000</v>
      </c>
      <c r="M1249">
        <v>7</v>
      </c>
      <c r="N1249" t="s">
        <v>49</v>
      </c>
      <c r="O1249">
        <v>84</v>
      </c>
      <c r="P1249">
        <v>57</v>
      </c>
      <c r="Q1249">
        <v>1</v>
      </c>
      <c r="R1249">
        <v>5</v>
      </c>
      <c r="S1249" t="s">
        <v>29</v>
      </c>
      <c r="T1249" t="s">
        <v>50</v>
      </c>
      <c r="U1249" t="s">
        <v>88</v>
      </c>
      <c r="V1249" t="s">
        <v>39</v>
      </c>
      <c r="W1249">
        <v>0</v>
      </c>
      <c r="X1249">
        <v>1</v>
      </c>
      <c r="Y1249" s="2">
        <f>Table1[[#This Row],[premium_yearly]]*Table1[[#This Row],[tenure_years]]</f>
        <v>8741.8799999999992</v>
      </c>
      <c r="Z1249" s="2">
        <f>Table1[[#This Row],[total_collected_premiums]]*(1-$AD$2)</f>
        <v>6381.5723999999991</v>
      </c>
      <c r="AA1249" s="2">
        <f>Table1[[#This Row],[retained_premium]]-Table1[[#This Row],[claim_amount_paid]]</f>
        <v>-618.42760000000089</v>
      </c>
    </row>
    <row r="1250" spans="1:27" x14ac:dyDescent="0.35">
      <c r="A1250" t="s">
        <v>3789</v>
      </c>
      <c r="B1250" t="s">
        <v>3790</v>
      </c>
      <c r="C1250" t="s">
        <v>3791</v>
      </c>
      <c r="D1250" s="1">
        <v>43545</v>
      </c>
      <c r="E1250" s="1">
        <v>44282</v>
      </c>
      <c r="F1250" s="1">
        <v>44287</v>
      </c>
      <c r="G1250">
        <v>5</v>
      </c>
      <c r="H1250">
        <v>78.930000000000007</v>
      </c>
      <c r="I1250">
        <v>947.16</v>
      </c>
      <c r="J1250">
        <v>9000</v>
      </c>
      <c r="K1250" t="s">
        <v>27</v>
      </c>
      <c r="L1250">
        <v>9000</v>
      </c>
      <c r="M1250">
        <v>5.75</v>
      </c>
      <c r="N1250" t="s">
        <v>36</v>
      </c>
      <c r="O1250">
        <v>69</v>
      </c>
      <c r="P1250">
        <v>28</v>
      </c>
      <c r="Q1250">
        <v>1</v>
      </c>
      <c r="R1250">
        <v>3</v>
      </c>
      <c r="S1250" t="s">
        <v>29</v>
      </c>
      <c r="T1250" t="s">
        <v>50</v>
      </c>
      <c r="U1250" t="s">
        <v>38</v>
      </c>
      <c r="V1250" t="s">
        <v>39</v>
      </c>
      <c r="W1250">
        <v>0</v>
      </c>
      <c r="X1250">
        <v>1</v>
      </c>
      <c r="Y1250" s="2">
        <f>Table1[[#This Row],[premium_yearly]]*Table1[[#This Row],[tenure_years]]</f>
        <v>5446.17</v>
      </c>
      <c r="Z1250" s="2">
        <f>Table1[[#This Row],[total_collected_premiums]]*(1-$AD$2)</f>
        <v>3975.7040999999999</v>
      </c>
      <c r="AA1250" s="2">
        <f>Table1[[#This Row],[retained_premium]]-Table1[[#This Row],[claim_amount_paid]]</f>
        <v>-5024.2959000000001</v>
      </c>
    </row>
    <row r="1251" spans="1:27" x14ac:dyDescent="0.35">
      <c r="A1251" t="s">
        <v>3792</v>
      </c>
      <c r="B1251" t="s">
        <v>3793</v>
      </c>
      <c r="C1251" t="s">
        <v>3794</v>
      </c>
      <c r="D1251" s="1">
        <v>43661</v>
      </c>
      <c r="E1251" s="1">
        <v>44290</v>
      </c>
      <c r="F1251" s="1">
        <v>44292</v>
      </c>
      <c r="G1251">
        <v>2</v>
      </c>
      <c r="H1251">
        <v>84.09</v>
      </c>
      <c r="I1251">
        <v>1009.08</v>
      </c>
      <c r="J1251">
        <v>3000</v>
      </c>
      <c r="K1251" t="s">
        <v>27</v>
      </c>
      <c r="L1251">
        <v>3000</v>
      </c>
      <c r="M1251">
        <v>3.25</v>
      </c>
      <c r="N1251" t="s">
        <v>36</v>
      </c>
      <c r="O1251">
        <v>39</v>
      </c>
      <c r="P1251">
        <v>33</v>
      </c>
      <c r="Q1251">
        <v>1</v>
      </c>
      <c r="R1251">
        <v>4</v>
      </c>
      <c r="S1251" t="s">
        <v>65</v>
      </c>
      <c r="T1251" t="s">
        <v>50</v>
      </c>
      <c r="U1251" t="s">
        <v>31</v>
      </c>
      <c r="V1251" t="s">
        <v>32</v>
      </c>
      <c r="W1251">
        <v>1</v>
      </c>
      <c r="X1251">
        <v>0</v>
      </c>
      <c r="Y1251" s="2">
        <f>Table1[[#This Row],[premium_yearly]]*Table1[[#This Row],[tenure_years]]</f>
        <v>3279.51</v>
      </c>
      <c r="Z1251" s="2">
        <f>Table1[[#This Row],[total_collected_premiums]]*(1-$AD$2)</f>
        <v>2394.0423000000001</v>
      </c>
      <c r="AA1251" s="2">
        <f>Table1[[#This Row],[retained_premium]]-Table1[[#This Row],[claim_amount_paid]]</f>
        <v>-605.95769999999993</v>
      </c>
    </row>
    <row r="1252" spans="1:27" x14ac:dyDescent="0.35">
      <c r="A1252" t="s">
        <v>3795</v>
      </c>
      <c r="B1252" t="s">
        <v>3796</v>
      </c>
      <c r="C1252" t="s">
        <v>3797</v>
      </c>
      <c r="D1252" s="1">
        <v>42302</v>
      </c>
      <c r="E1252" s="1">
        <v>44278</v>
      </c>
      <c r="F1252" s="1">
        <v>44283</v>
      </c>
      <c r="G1252">
        <v>5</v>
      </c>
      <c r="H1252">
        <v>72.03</v>
      </c>
      <c r="I1252">
        <v>864.36</v>
      </c>
      <c r="J1252">
        <v>9000</v>
      </c>
      <c r="K1252" t="s">
        <v>27</v>
      </c>
      <c r="L1252">
        <v>9000</v>
      </c>
      <c r="M1252">
        <v>9.5</v>
      </c>
      <c r="N1252" t="s">
        <v>28</v>
      </c>
      <c r="O1252">
        <v>114</v>
      </c>
      <c r="P1252">
        <v>51</v>
      </c>
      <c r="Q1252">
        <v>1</v>
      </c>
      <c r="R1252">
        <v>6</v>
      </c>
      <c r="S1252" t="s">
        <v>65</v>
      </c>
      <c r="T1252" t="s">
        <v>30</v>
      </c>
      <c r="U1252" t="s">
        <v>31</v>
      </c>
      <c r="V1252" t="s">
        <v>32</v>
      </c>
      <c r="W1252">
        <v>1</v>
      </c>
      <c r="X1252">
        <v>0</v>
      </c>
      <c r="Y1252" s="2">
        <f>Table1[[#This Row],[premium_yearly]]*Table1[[#This Row],[tenure_years]]</f>
        <v>8211.42</v>
      </c>
      <c r="Z1252" s="2">
        <f>Table1[[#This Row],[total_collected_premiums]]*(1-$AD$2)</f>
        <v>5994.3365999999996</v>
      </c>
      <c r="AA1252" s="2">
        <f>Table1[[#This Row],[retained_premium]]-Table1[[#This Row],[claim_amount_paid]]</f>
        <v>-3005.6634000000004</v>
      </c>
    </row>
    <row r="1253" spans="1:27" x14ac:dyDescent="0.35">
      <c r="A1253" t="s">
        <v>3798</v>
      </c>
      <c r="B1253" t="s">
        <v>3799</v>
      </c>
      <c r="C1253" t="s">
        <v>3800</v>
      </c>
      <c r="D1253" s="1">
        <v>40349</v>
      </c>
      <c r="E1253" s="1">
        <v>44286</v>
      </c>
      <c r="F1253" s="1">
        <v>44291</v>
      </c>
      <c r="G1253">
        <v>5</v>
      </c>
      <c r="H1253">
        <v>70.56</v>
      </c>
      <c r="I1253">
        <v>846.72</v>
      </c>
      <c r="J1253">
        <v>10000</v>
      </c>
      <c r="K1253" t="s">
        <v>27</v>
      </c>
      <c r="L1253">
        <v>10000</v>
      </c>
      <c r="M1253">
        <v>8.08</v>
      </c>
      <c r="N1253" t="s">
        <v>36</v>
      </c>
      <c r="O1253">
        <v>97</v>
      </c>
      <c r="P1253">
        <v>58</v>
      </c>
      <c r="Q1253">
        <v>1</v>
      </c>
      <c r="R1253">
        <v>4</v>
      </c>
      <c r="S1253" t="s">
        <v>65</v>
      </c>
      <c r="T1253" t="s">
        <v>50</v>
      </c>
      <c r="U1253" t="s">
        <v>38</v>
      </c>
      <c r="V1253" t="s">
        <v>45</v>
      </c>
      <c r="W1253">
        <v>1</v>
      </c>
      <c r="X1253">
        <v>1</v>
      </c>
      <c r="Y1253" s="2">
        <f>Table1[[#This Row],[premium_yearly]]*Table1[[#This Row],[tenure_years]]</f>
        <v>6841.4976000000006</v>
      </c>
      <c r="Z1253" s="2">
        <f>Table1[[#This Row],[total_collected_premiums]]*(1-$AD$2)</f>
        <v>4994.2932479999999</v>
      </c>
      <c r="AA1253" s="2">
        <f>Table1[[#This Row],[retained_premium]]-Table1[[#This Row],[claim_amount_paid]]</f>
        <v>-5005.7067520000001</v>
      </c>
    </row>
    <row r="1254" spans="1:27" x14ac:dyDescent="0.35">
      <c r="A1254" t="s">
        <v>3801</v>
      </c>
      <c r="B1254" t="s">
        <v>3802</v>
      </c>
      <c r="C1254" t="s">
        <v>3803</v>
      </c>
      <c r="D1254" s="1">
        <v>40555</v>
      </c>
      <c r="E1254" s="1">
        <v>44291</v>
      </c>
      <c r="F1254" s="1">
        <v>44293</v>
      </c>
      <c r="G1254">
        <v>2</v>
      </c>
      <c r="H1254">
        <v>84.45</v>
      </c>
      <c r="I1254">
        <v>1013.4</v>
      </c>
      <c r="J1254">
        <v>10000</v>
      </c>
      <c r="K1254" t="s">
        <v>27</v>
      </c>
      <c r="L1254">
        <v>10000</v>
      </c>
      <c r="M1254">
        <v>9.58</v>
      </c>
      <c r="N1254" t="s">
        <v>28</v>
      </c>
      <c r="O1254">
        <v>115</v>
      </c>
      <c r="P1254">
        <v>53</v>
      </c>
      <c r="Q1254">
        <v>0</v>
      </c>
      <c r="R1254">
        <v>3</v>
      </c>
      <c r="S1254" t="s">
        <v>65</v>
      </c>
      <c r="T1254" t="s">
        <v>50</v>
      </c>
      <c r="U1254" t="s">
        <v>88</v>
      </c>
      <c r="V1254" t="s">
        <v>45</v>
      </c>
      <c r="W1254">
        <v>0</v>
      </c>
      <c r="X1254">
        <v>1</v>
      </c>
      <c r="Y1254" s="2">
        <f>Table1[[#This Row],[premium_yearly]]*Table1[[#This Row],[tenure_years]]</f>
        <v>9708.3719999999994</v>
      </c>
      <c r="Z1254" s="2">
        <f>Table1[[#This Row],[total_collected_premiums]]*(1-$AD$2)</f>
        <v>7087.1115599999994</v>
      </c>
      <c r="AA1254" s="2">
        <f>Table1[[#This Row],[retained_premium]]-Table1[[#This Row],[claim_amount_paid]]</f>
        <v>-2912.8884400000006</v>
      </c>
    </row>
    <row r="1255" spans="1:27" x14ac:dyDescent="0.35">
      <c r="A1255" t="s">
        <v>3804</v>
      </c>
      <c r="B1255" t="s">
        <v>3805</v>
      </c>
      <c r="C1255" t="s">
        <v>3806</v>
      </c>
      <c r="D1255" s="1">
        <v>40341</v>
      </c>
      <c r="E1255" s="1">
        <v>44295</v>
      </c>
      <c r="F1255" s="1">
        <v>44295</v>
      </c>
      <c r="G1255">
        <v>0</v>
      </c>
      <c r="H1255">
        <v>99.51</v>
      </c>
      <c r="I1255">
        <v>1194.1199999999999</v>
      </c>
      <c r="J1255">
        <v>3000</v>
      </c>
      <c r="K1255" t="s">
        <v>27</v>
      </c>
      <c r="L1255">
        <v>3000</v>
      </c>
      <c r="M1255">
        <v>9.5</v>
      </c>
      <c r="N1255" t="s">
        <v>36</v>
      </c>
      <c r="O1255">
        <v>114</v>
      </c>
      <c r="P1255">
        <v>39</v>
      </c>
      <c r="Q1255">
        <v>1</v>
      </c>
      <c r="R1255">
        <v>2</v>
      </c>
      <c r="S1255" t="s">
        <v>65</v>
      </c>
      <c r="T1255" t="s">
        <v>44</v>
      </c>
      <c r="U1255" t="s">
        <v>38</v>
      </c>
      <c r="V1255" t="s">
        <v>39</v>
      </c>
      <c r="W1255">
        <v>1</v>
      </c>
      <c r="X1255">
        <v>1</v>
      </c>
      <c r="Y1255" s="2">
        <f>Table1[[#This Row],[premium_yearly]]*Table1[[#This Row],[tenure_years]]</f>
        <v>11344.14</v>
      </c>
      <c r="Z1255" s="2">
        <f>Table1[[#This Row],[total_collected_premiums]]*(1-$AD$2)</f>
        <v>8281.2222000000002</v>
      </c>
      <c r="AA1255" s="2">
        <f>Table1[[#This Row],[retained_premium]]-Table1[[#This Row],[claim_amount_paid]]</f>
        <v>5281.2222000000002</v>
      </c>
    </row>
    <row r="1256" spans="1:27" x14ac:dyDescent="0.35">
      <c r="A1256" t="s">
        <v>3807</v>
      </c>
      <c r="B1256" t="s">
        <v>3808</v>
      </c>
      <c r="C1256" t="s">
        <v>3809</v>
      </c>
      <c r="D1256" s="1">
        <v>41386</v>
      </c>
      <c r="E1256" s="1">
        <v>44278</v>
      </c>
      <c r="F1256" s="1">
        <v>44283</v>
      </c>
      <c r="G1256">
        <v>5</v>
      </c>
      <c r="H1256">
        <v>131.56</v>
      </c>
      <c r="I1256">
        <v>1578.72</v>
      </c>
      <c r="J1256">
        <v>7000</v>
      </c>
      <c r="K1256" t="s">
        <v>27</v>
      </c>
      <c r="L1256">
        <v>7000</v>
      </c>
      <c r="M1256">
        <v>4</v>
      </c>
      <c r="N1256" t="s">
        <v>49</v>
      </c>
      <c r="O1256">
        <v>48</v>
      </c>
      <c r="P1256">
        <v>64</v>
      </c>
      <c r="Q1256">
        <v>1</v>
      </c>
      <c r="R1256">
        <v>2</v>
      </c>
      <c r="S1256" t="s">
        <v>29</v>
      </c>
      <c r="T1256" t="s">
        <v>50</v>
      </c>
      <c r="U1256" t="s">
        <v>38</v>
      </c>
      <c r="V1256" t="s">
        <v>32</v>
      </c>
      <c r="W1256">
        <v>1</v>
      </c>
      <c r="X1256">
        <v>1</v>
      </c>
      <c r="Y1256" s="2">
        <f>Table1[[#This Row],[premium_yearly]]*Table1[[#This Row],[tenure_years]]</f>
        <v>6314.88</v>
      </c>
      <c r="Z1256" s="2">
        <f>Table1[[#This Row],[total_collected_premiums]]*(1-$AD$2)</f>
        <v>4609.8624</v>
      </c>
      <c r="AA1256" s="2">
        <f>Table1[[#This Row],[retained_premium]]-Table1[[#This Row],[claim_amount_paid]]</f>
        <v>-2390.1376</v>
      </c>
    </row>
    <row r="1257" spans="1:27" x14ac:dyDescent="0.35">
      <c r="A1257" t="s">
        <v>3810</v>
      </c>
      <c r="B1257" t="s">
        <v>3811</v>
      </c>
      <c r="C1257" t="s">
        <v>3812</v>
      </c>
      <c r="D1257" s="1">
        <v>42563</v>
      </c>
      <c r="E1257" s="1">
        <v>44278</v>
      </c>
      <c r="F1257" s="1">
        <v>44283</v>
      </c>
      <c r="G1257">
        <v>5</v>
      </c>
      <c r="H1257">
        <v>103.53</v>
      </c>
      <c r="I1257">
        <v>1242.3599999999999</v>
      </c>
      <c r="J1257">
        <v>4000</v>
      </c>
      <c r="K1257" t="s">
        <v>27</v>
      </c>
      <c r="L1257">
        <v>4000</v>
      </c>
      <c r="M1257">
        <v>5.08</v>
      </c>
      <c r="N1257" t="s">
        <v>36</v>
      </c>
      <c r="O1257">
        <v>61</v>
      </c>
      <c r="P1257">
        <v>50</v>
      </c>
      <c r="Q1257">
        <v>0</v>
      </c>
      <c r="R1257">
        <v>4</v>
      </c>
      <c r="S1257" t="s">
        <v>37</v>
      </c>
      <c r="T1257" t="s">
        <v>50</v>
      </c>
      <c r="U1257" t="s">
        <v>38</v>
      </c>
      <c r="V1257" t="s">
        <v>39</v>
      </c>
      <c r="W1257">
        <v>1</v>
      </c>
      <c r="X1257">
        <v>1</v>
      </c>
      <c r="Y1257" s="2">
        <f>Table1[[#This Row],[premium_yearly]]*Table1[[#This Row],[tenure_years]]</f>
        <v>6311.1887999999999</v>
      </c>
      <c r="Z1257" s="2">
        <f>Table1[[#This Row],[total_collected_premiums]]*(1-$AD$2)</f>
        <v>4607.1678240000001</v>
      </c>
      <c r="AA1257" s="2">
        <f>Table1[[#This Row],[retained_premium]]-Table1[[#This Row],[claim_amount_paid]]</f>
        <v>607.16782400000011</v>
      </c>
    </row>
    <row r="1258" spans="1:27" x14ac:dyDescent="0.35">
      <c r="A1258" t="s">
        <v>3813</v>
      </c>
      <c r="B1258" t="s">
        <v>3814</v>
      </c>
      <c r="C1258" t="s">
        <v>3815</v>
      </c>
      <c r="D1258" s="1">
        <v>42701</v>
      </c>
      <c r="E1258" s="1">
        <v>44281</v>
      </c>
      <c r="F1258" s="1">
        <v>44286</v>
      </c>
      <c r="G1258">
        <v>5</v>
      </c>
      <c r="H1258">
        <v>91.8</v>
      </c>
      <c r="I1258">
        <v>1101.5999999999999</v>
      </c>
      <c r="J1258">
        <v>1000</v>
      </c>
      <c r="K1258" t="s">
        <v>27</v>
      </c>
      <c r="L1258">
        <v>1000</v>
      </c>
      <c r="M1258">
        <v>8.42</v>
      </c>
      <c r="N1258" t="s">
        <v>49</v>
      </c>
      <c r="O1258">
        <v>101</v>
      </c>
      <c r="P1258">
        <v>38</v>
      </c>
      <c r="Q1258">
        <v>1</v>
      </c>
      <c r="R1258">
        <v>5</v>
      </c>
      <c r="S1258" t="s">
        <v>37</v>
      </c>
      <c r="T1258" t="s">
        <v>44</v>
      </c>
      <c r="U1258" t="s">
        <v>58</v>
      </c>
      <c r="V1258" t="s">
        <v>39</v>
      </c>
      <c r="W1258">
        <v>1</v>
      </c>
      <c r="X1258">
        <v>1</v>
      </c>
      <c r="Y1258" s="2">
        <f>Table1[[#This Row],[premium_yearly]]*Table1[[#This Row],[tenure_years]]</f>
        <v>9275.4719999999998</v>
      </c>
      <c r="Z1258" s="2">
        <f>Table1[[#This Row],[total_collected_premiums]]*(1-$AD$2)</f>
        <v>6771.0945599999995</v>
      </c>
      <c r="AA1258" s="2">
        <f>Table1[[#This Row],[retained_premium]]-Table1[[#This Row],[claim_amount_paid]]</f>
        <v>5771.0945599999995</v>
      </c>
    </row>
    <row r="1259" spans="1:27" x14ac:dyDescent="0.35">
      <c r="A1259" t="s">
        <v>3816</v>
      </c>
      <c r="B1259" t="s">
        <v>3817</v>
      </c>
      <c r="C1259" t="s">
        <v>3818</v>
      </c>
      <c r="D1259" s="1">
        <v>41835</v>
      </c>
      <c r="E1259" s="1">
        <v>44281</v>
      </c>
      <c r="F1259" s="1">
        <v>44286</v>
      </c>
      <c r="G1259">
        <v>5</v>
      </c>
      <c r="H1259">
        <v>114.97</v>
      </c>
      <c r="I1259">
        <v>1379.64</v>
      </c>
      <c r="J1259">
        <v>8000</v>
      </c>
      <c r="K1259" t="s">
        <v>27</v>
      </c>
      <c r="L1259">
        <v>8000</v>
      </c>
      <c r="M1259">
        <v>2.58</v>
      </c>
      <c r="N1259" t="s">
        <v>36</v>
      </c>
      <c r="O1259">
        <v>31</v>
      </c>
      <c r="P1259">
        <v>41</v>
      </c>
      <c r="Q1259">
        <v>1</v>
      </c>
      <c r="R1259">
        <v>6</v>
      </c>
      <c r="S1259" t="s">
        <v>29</v>
      </c>
      <c r="T1259" t="s">
        <v>30</v>
      </c>
      <c r="U1259" t="s">
        <v>38</v>
      </c>
      <c r="V1259" t="s">
        <v>32</v>
      </c>
      <c r="W1259">
        <v>1</v>
      </c>
      <c r="X1259">
        <v>1</v>
      </c>
      <c r="Y1259" s="2">
        <f>Table1[[#This Row],[premium_yearly]]*Table1[[#This Row],[tenure_years]]</f>
        <v>3559.4712000000004</v>
      </c>
      <c r="Z1259" s="2">
        <f>Table1[[#This Row],[total_collected_premiums]]*(1-$AD$2)</f>
        <v>2598.4139760000003</v>
      </c>
      <c r="AA1259" s="2">
        <f>Table1[[#This Row],[retained_premium]]-Table1[[#This Row],[claim_amount_paid]]</f>
        <v>-5401.5860240000002</v>
      </c>
    </row>
    <row r="1260" spans="1:27" x14ac:dyDescent="0.35">
      <c r="A1260" t="s">
        <v>3819</v>
      </c>
      <c r="B1260" t="s">
        <v>3820</v>
      </c>
      <c r="C1260" t="s">
        <v>3821</v>
      </c>
      <c r="D1260" s="1">
        <v>41354</v>
      </c>
      <c r="E1260" s="1">
        <v>44285</v>
      </c>
      <c r="F1260" s="1">
        <v>44290</v>
      </c>
      <c r="G1260">
        <v>5</v>
      </c>
      <c r="H1260">
        <v>103.19</v>
      </c>
      <c r="I1260">
        <v>1238.28</v>
      </c>
      <c r="J1260">
        <v>3000</v>
      </c>
      <c r="K1260" t="s">
        <v>27</v>
      </c>
      <c r="L1260">
        <v>3000</v>
      </c>
      <c r="M1260">
        <v>5.83</v>
      </c>
      <c r="N1260" t="s">
        <v>28</v>
      </c>
      <c r="O1260">
        <v>70</v>
      </c>
      <c r="P1260">
        <v>26</v>
      </c>
      <c r="Q1260">
        <v>1</v>
      </c>
      <c r="R1260">
        <v>6</v>
      </c>
      <c r="S1260" t="s">
        <v>29</v>
      </c>
      <c r="T1260" t="s">
        <v>44</v>
      </c>
      <c r="U1260" t="s">
        <v>31</v>
      </c>
      <c r="V1260" t="s">
        <v>32</v>
      </c>
      <c r="W1260">
        <v>1</v>
      </c>
      <c r="X1260">
        <v>1</v>
      </c>
      <c r="Y1260" s="2">
        <f>Table1[[#This Row],[premium_yearly]]*Table1[[#This Row],[tenure_years]]</f>
        <v>7219.1724000000004</v>
      </c>
      <c r="Z1260" s="2">
        <f>Table1[[#This Row],[total_collected_premiums]]*(1-$AD$2)</f>
        <v>5269.995852</v>
      </c>
      <c r="AA1260" s="2">
        <f>Table1[[#This Row],[retained_premium]]-Table1[[#This Row],[claim_amount_paid]]</f>
        <v>2269.995852</v>
      </c>
    </row>
    <row r="1261" spans="1:27" x14ac:dyDescent="0.35">
      <c r="A1261" t="s">
        <v>3822</v>
      </c>
      <c r="B1261" t="s">
        <v>3823</v>
      </c>
      <c r="C1261" t="s">
        <v>3824</v>
      </c>
      <c r="D1261" s="1">
        <v>43562</v>
      </c>
      <c r="E1261" s="1">
        <v>44289</v>
      </c>
      <c r="F1261" s="1">
        <v>44292</v>
      </c>
      <c r="G1261">
        <v>3</v>
      </c>
      <c r="H1261">
        <v>139.05000000000001</v>
      </c>
      <c r="I1261">
        <v>1668.6</v>
      </c>
      <c r="J1261">
        <v>2000</v>
      </c>
      <c r="K1261" t="s">
        <v>27</v>
      </c>
      <c r="L1261">
        <v>2000</v>
      </c>
      <c r="M1261">
        <v>4.67</v>
      </c>
      <c r="N1261" t="s">
        <v>49</v>
      </c>
      <c r="O1261">
        <v>56</v>
      </c>
      <c r="P1261">
        <v>44</v>
      </c>
      <c r="Q1261">
        <v>1</v>
      </c>
      <c r="R1261">
        <v>2</v>
      </c>
      <c r="S1261" t="s">
        <v>65</v>
      </c>
      <c r="T1261" t="s">
        <v>44</v>
      </c>
      <c r="U1261" t="s">
        <v>38</v>
      </c>
      <c r="V1261" t="s">
        <v>39</v>
      </c>
      <c r="W1261">
        <v>0</v>
      </c>
      <c r="X1261">
        <v>1</v>
      </c>
      <c r="Y1261" s="2">
        <f>Table1[[#This Row],[premium_yearly]]*Table1[[#This Row],[tenure_years]]</f>
        <v>7792.3619999999992</v>
      </c>
      <c r="Z1261" s="2">
        <f>Table1[[#This Row],[total_collected_premiums]]*(1-$AD$2)</f>
        <v>5688.4242599999989</v>
      </c>
      <c r="AA1261" s="2">
        <f>Table1[[#This Row],[retained_premium]]-Table1[[#This Row],[claim_amount_paid]]</f>
        <v>3688.4242599999989</v>
      </c>
    </row>
    <row r="1262" spans="1:27" x14ac:dyDescent="0.35">
      <c r="A1262" t="s">
        <v>3825</v>
      </c>
      <c r="B1262" t="s">
        <v>3826</v>
      </c>
      <c r="C1262" t="s">
        <v>3827</v>
      </c>
      <c r="D1262" s="1">
        <v>40596</v>
      </c>
      <c r="E1262" s="1">
        <v>44295</v>
      </c>
      <c r="F1262" s="1">
        <v>44296</v>
      </c>
      <c r="G1262">
        <v>1</v>
      </c>
      <c r="H1262">
        <v>72.52</v>
      </c>
      <c r="I1262">
        <v>870.24</v>
      </c>
      <c r="J1262">
        <v>4000</v>
      </c>
      <c r="K1262" t="s">
        <v>27</v>
      </c>
      <c r="L1262">
        <v>4000</v>
      </c>
      <c r="M1262">
        <v>0.5</v>
      </c>
      <c r="N1262" t="s">
        <v>28</v>
      </c>
      <c r="O1262">
        <v>6</v>
      </c>
      <c r="P1262">
        <v>56</v>
      </c>
      <c r="Q1262">
        <v>0</v>
      </c>
      <c r="R1262">
        <v>6</v>
      </c>
      <c r="S1262" t="s">
        <v>65</v>
      </c>
      <c r="T1262" t="s">
        <v>44</v>
      </c>
      <c r="U1262" t="s">
        <v>58</v>
      </c>
      <c r="V1262" t="s">
        <v>45</v>
      </c>
      <c r="W1262">
        <v>1</v>
      </c>
      <c r="X1262">
        <v>1</v>
      </c>
      <c r="Y1262" s="2">
        <f>Table1[[#This Row],[premium_yearly]]*Table1[[#This Row],[tenure_years]]</f>
        <v>435.12</v>
      </c>
      <c r="Z1262" s="2">
        <f>Table1[[#This Row],[total_collected_premiums]]*(1-$AD$2)</f>
        <v>317.63760000000002</v>
      </c>
      <c r="AA1262" s="2">
        <f>Table1[[#This Row],[retained_premium]]-Table1[[#This Row],[claim_amount_paid]]</f>
        <v>-3682.3624</v>
      </c>
    </row>
    <row r="1263" spans="1:27" x14ac:dyDescent="0.35">
      <c r="A1263" t="s">
        <v>3828</v>
      </c>
      <c r="B1263" t="s">
        <v>3829</v>
      </c>
      <c r="C1263" t="s">
        <v>3830</v>
      </c>
      <c r="D1263" s="1">
        <v>41581</v>
      </c>
      <c r="E1263" s="1">
        <v>44284</v>
      </c>
      <c r="F1263" s="1">
        <v>44289</v>
      </c>
      <c r="G1263">
        <v>5</v>
      </c>
      <c r="H1263">
        <v>125.89</v>
      </c>
      <c r="I1263">
        <v>1510.68</v>
      </c>
      <c r="J1263">
        <v>6000</v>
      </c>
      <c r="K1263" t="s">
        <v>27</v>
      </c>
      <c r="L1263">
        <v>6000</v>
      </c>
      <c r="M1263">
        <v>9.58</v>
      </c>
      <c r="N1263" t="s">
        <v>49</v>
      </c>
      <c r="O1263">
        <v>115</v>
      </c>
      <c r="P1263">
        <v>39</v>
      </c>
      <c r="Q1263">
        <v>1</v>
      </c>
      <c r="R1263">
        <v>7</v>
      </c>
      <c r="S1263" t="s">
        <v>29</v>
      </c>
      <c r="T1263" t="s">
        <v>50</v>
      </c>
      <c r="U1263" t="s">
        <v>31</v>
      </c>
      <c r="V1263" t="s">
        <v>39</v>
      </c>
      <c r="W1263">
        <v>1</v>
      </c>
      <c r="X1263">
        <v>1</v>
      </c>
      <c r="Y1263" s="2">
        <f>Table1[[#This Row],[premium_yearly]]*Table1[[#This Row],[tenure_years]]</f>
        <v>14472.314400000001</v>
      </c>
      <c r="Z1263" s="2">
        <f>Table1[[#This Row],[total_collected_premiums]]*(1-$AD$2)</f>
        <v>10564.789512000001</v>
      </c>
      <c r="AA1263" s="2">
        <f>Table1[[#This Row],[retained_premium]]-Table1[[#This Row],[claim_amount_paid]]</f>
        <v>4564.7895120000012</v>
      </c>
    </row>
    <row r="1264" spans="1:27" x14ac:dyDescent="0.35">
      <c r="A1264" t="s">
        <v>3831</v>
      </c>
      <c r="B1264" t="s">
        <v>3832</v>
      </c>
      <c r="C1264" t="s">
        <v>3833</v>
      </c>
      <c r="D1264" s="1">
        <v>43391</v>
      </c>
      <c r="E1264" s="1">
        <v>44282</v>
      </c>
      <c r="F1264" s="1">
        <v>44287</v>
      </c>
      <c r="G1264">
        <v>5</v>
      </c>
      <c r="H1264">
        <v>138.12</v>
      </c>
      <c r="I1264">
        <v>1657.44</v>
      </c>
      <c r="J1264">
        <v>9000</v>
      </c>
      <c r="K1264" t="s">
        <v>27</v>
      </c>
      <c r="L1264">
        <v>9000</v>
      </c>
      <c r="M1264">
        <v>7.75</v>
      </c>
      <c r="N1264" t="s">
        <v>28</v>
      </c>
      <c r="O1264">
        <v>93</v>
      </c>
      <c r="P1264">
        <v>27</v>
      </c>
      <c r="Q1264">
        <v>1</v>
      </c>
      <c r="R1264">
        <v>4</v>
      </c>
      <c r="S1264" t="s">
        <v>65</v>
      </c>
      <c r="T1264" t="s">
        <v>50</v>
      </c>
      <c r="U1264" t="s">
        <v>31</v>
      </c>
      <c r="V1264" t="s">
        <v>39</v>
      </c>
      <c r="W1264">
        <v>0</v>
      </c>
      <c r="X1264">
        <v>1</v>
      </c>
      <c r="Y1264" s="2">
        <f>Table1[[#This Row],[premium_yearly]]*Table1[[#This Row],[tenure_years]]</f>
        <v>12845.16</v>
      </c>
      <c r="Z1264" s="2">
        <f>Table1[[#This Row],[total_collected_premiums]]*(1-$AD$2)</f>
        <v>9376.9668000000001</v>
      </c>
      <c r="AA1264" s="2">
        <f>Table1[[#This Row],[retained_premium]]-Table1[[#This Row],[claim_amount_paid]]</f>
        <v>376.96680000000015</v>
      </c>
    </row>
    <row r="1265" spans="1:27" x14ac:dyDescent="0.35">
      <c r="A1265" t="s">
        <v>3834</v>
      </c>
      <c r="B1265" t="s">
        <v>3835</v>
      </c>
      <c r="C1265" t="s">
        <v>3836</v>
      </c>
      <c r="D1265" s="1">
        <v>42873</v>
      </c>
      <c r="E1265" s="1">
        <v>44282</v>
      </c>
      <c r="F1265" s="1">
        <v>44287</v>
      </c>
      <c r="G1265">
        <v>5</v>
      </c>
      <c r="H1265">
        <v>129.84</v>
      </c>
      <c r="I1265">
        <v>1558.08</v>
      </c>
      <c r="J1265">
        <v>10000</v>
      </c>
      <c r="K1265" t="s">
        <v>27</v>
      </c>
      <c r="L1265">
        <v>10000</v>
      </c>
      <c r="M1265">
        <v>0.92</v>
      </c>
      <c r="N1265" t="s">
        <v>49</v>
      </c>
      <c r="O1265">
        <v>11</v>
      </c>
      <c r="P1265">
        <v>33</v>
      </c>
      <c r="Q1265">
        <v>1</v>
      </c>
      <c r="R1265">
        <v>3</v>
      </c>
      <c r="S1265" t="s">
        <v>37</v>
      </c>
      <c r="T1265" t="s">
        <v>30</v>
      </c>
      <c r="U1265" t="s">
        <v>66</v>
      </c>
      <c r="V1265" t="s">
        <v>45</v>
      </c>
      <c r="W1265">
        <v>0</v>
      </c>
      <c r="X1265">
        <v>1</v>
      </c>
      <c r="Y1265" s="2">
        <f>Table1[[#This Row],[premium_yearly]]*Table1[[#This Row],[tenure_years]]</f>
        <v>1433.4336000000001</v>
      </c>
      <c r="Z1265" s="2">
        <f>Table1[[#This Row],[total_collected_premiums]]*(1-$AD$2)</f>
        <v>1046.406528</v>
      </c>
      <c r="AA1265" s="2">
        <f>Table1[[#This Row],[retained_premium]]-Table1[[#This Row],[claim_amount_paid]]</f>
        <v>-8953.5934720000005</v>
      </c>
    </row>
    <row r="1266" spans="1:27" x14ac:dyDescent="0.35">
      <c r="A1266" t="s">
        <v>3837</v>
      </c>
      <c r="B1266" t="s">
        <v>3838</v>
      </c>
      <c r="C1266" t="s">
        <v>3839</v>
      </c>
      <c r="D1266" s="1">
        <v>40841</v>
      </c>
      <c r="E1266" s="1">
        <v>44286</v>
      </c>
      <c r="F1266" s="1">
        <v>44291</v>
      </c>
      <c r="G1266">
        <v>5</v>
      </c>
      <c r="H1266">
        <v>91.8</v>
      </c>
      <c r="I1266">
        <v>1101.5999999999999</v>
      </c>
      <c r="J1266">
        <v>5000</v>
      </c>
      <c r="K1266" t="s">
        <v>27</v>
      </c>
      <c r="L1266">
        <v>5000</v>
      </c>
      <c r="M1266">
        <v>4.58</v>
      </c>
      <c r="N1266" t="s">
        <v>36</v>
      </c>
      <c r="O1266">
        <v>55</v>
      </c>
      <c r="P1266">
        <v>33</v>
      </c>
      <c r="Q1266">
        <v>0</v>
      </c>
      <c r="R1266">
        <v>2</v>
      </c>
      <c r="S1266" t="s">
        <v>29</v>
      </c>
      <c r="T1266" t="s">
        <v>44</v>
      </c>
      <c r="U1266" t="s">
        <v>58</v>
      </c>
      <c r="V1266" t="s">
        <v>32</v>
      </c>
      <c r="W1266">
        <v>0</v>
      </c>
      <c r="X1266">
        <v>1</v>
      </c>
      <c r="Y1266" s="2">
        <f>Table1[[#This Row],[premium_yearly]]*Table1[[#This Row],[tenure_years]]</f>
        <v>5045.3279999999995</v>
      </c>
      <c r="Z1266" s="2">
        <f>Table1[[#This Row],[total_collected_premiums]]*(1-$AD$2)</f>
        <v>3683.0894399999997</v>
      </c>
      <c r="AA1266" s="2">
        <f>Table1[[#This Row],[retained_premium]]-Table1[[#This Row],[claim_amount_paid]]</f>
        <v>-1316.9105600000003</v>
      </c>
    </row>
    <row r="1267" spans="1:27" x14ac:dyDescent="0.35">
      <c r="A1267" t="s">
        <v>3840</v>
      </c>
      <c r="B1267" t="s">
        <v>3841</v>
      </c>
      <c r="C1267" t="s">
        <v>3842</v>
      </c>
      <c r="D1267" s="1">
        <v>42784</v>
      </c>
      <c r="E1267" s="1">
        <v>44288</v>
      </c>
      <c r="F1267" s="1">
        <v>44293</v>
      </c>
      <c r="G1267">
        <v>5</v>
      </c>
      <c r="H1267">
        <v>102.22</v>
      </c>
      <c r="I1267">
        <v>1226.6400000000001</v>
      </c>
      <c r="J1267">
        <v>2000</v>
      </c>
      <c r="K1267" t="s">
        <v>27</v>
      </c>
      <c r="L1267">
        <v>2000</v>
      </c>
      <c r="M1267">
        <v>7.17</v>
      </c>
      <c r="N1267" t="s">
        <v>49</v>
      </c>
      <c r="O1267">
        <v>86</v>
      </c>
      <c r="P1267">
        <v>63</v>
      </c>
      <c r="Q1267">
        <v>1</v>
      </c>
      <c r="R1267">
        <v>4</v>
      </c>
      <c r="S1267" t="s">
        <v>65</v>
      </c>
      <c r="T1267" t="s">
        <v>50</v>
      </c>
      <c r="U1267" t="s">
        <v>38</v>
      </c>
      <c r="V1267" t="s">
        <v>45</v>
      </c>
      <c r="W1267">
        <v>1</v>
      </c>
      <c r="X1267">
        <v>0</v>
      </c>
      <c r="Y1267" s="2">
        <f>Table1[[#This Row],[premium_yearly]]*Table1[[#This Row],[tenure_years]]</f>
        <v>8795.0088000000014</v>
      </c>
      <c r="Z1267" s="2">
        <f>Table1[[#This Row],[total_collected_premiums]]*(1-$AD$2)</f>
        <v>6420.3564240000005</v>
      </c>
      <c r="AA1267" s="2">
        <f>Table1[[#This Row],[retained_premium]]-Table1[[#This Row],[claim_amount_paid]]</f>
        <v>4420.3564240000005</v>
      </c>
    </row>
    <row r="1268" spans="1:27" x14ac:dyDescent="0.35">
      <c r="A1268" t="s">
        <v>3843</v>
      </c>
      <c r="B1268" t="s">
        <v>3844</v>
      </c>
      <c r="C1268" t="s">
        <v>3845</v>
      </c>
      <c r="D1268" s="1">
        <v>41477</v>
      </c>
      <c r="E1268" s="1">
        <v>44287</v>
      </c>
      <c r="F1268" s="1">
        <v>44292</v>
      </c>
      <c r="G1268">
        <v>5</v>
      </c>
      <c r="H1268">
        <v>104.07</v>
      </c>
      <c r="I1268">
        <v>1248.8399999999999</v>
      </c>
      <c r="J1268">
        <v>5000</v>
      </c>
      <c r="K1268" t="s">
        <v>27</v>
      </c>
      <c r="L1268">
        <v>5000</v>
      </c>
      <c r="M1268">
        <v>4.5</v>
      </c>
      <c r="N1268" t="s">
        <v>49</v>
      </c>
      <c r="O1268">
        <v>54</v>
      </c>
      <c r="P1268">
        <v>60</v>
      </c>
      <c r="Q1268">
        <v>1</v>
      </c>
      <c r="R1268">
        <v>6</v>
      </c>
      <c r="S1268" t="s">
        <v>29</v>
      </c>
      <c r="T1268" t="s">
        <v>44</v>
      </c>
      <c r="U1268" t="s">
        <v>38</v>
      </c>
      <c r="V1268" t="s">
        <v>32</v>
      </c>
      <c r="W1268">
        <v>1</v>
      </c>
      <c r="X1268">
        <v>0</v>
      </c>
      <c r="Y1268" s="2">
        <f>Table1[[#This Row],[premium_yearly]]*Table1[[#This Row],[tenure_years]]</f>
        <v>5619.78</v>
      </c>
      <c r="Z1268" s="2">
        <f>Table1[[#This Row],[total_collected_premiums]]*(1-$AD$2)</f>
        <v>4102.4393999999993</v>
      </c>
      <c r="AA1268" s="2">
        <f>Table1[[#This Row],[retained_premium]]-Table1[[#This Row],[claim_amount_paid]]</f>
        <v>-897.5606000000007</v>
      </c>
    </row>
    <row r="1269" spans="1:27" x14ac:dyDescent="0.35">
      <c r="A1269" t="s">
        <v>3846</v>
      </c>
      <c r="B1269" t="s">
        <v>3847</v>
      </c>
      <c r="C1269" t="s">
        <v>3848</v>
      </c>
      <c r="D1269" s="1">
        <v>42008</v>
      </c>
      <c r="E1269" s="1">
        <v>44299</v>
      </c>
      <c r="F1269" s="1">
        <v>44299</v>
      </c>
      <c r="G1269">
        <v>0</v>
      </c>
      <c r="H1269">
        <v>111.08</v>
      </c>
      <c r="I1269">
        <v>1332.96</v>
      </c>
      <c r="J1269">
        <v>7000</v>
      </c>
      <c r="K1269" t="s">
        <v>27</v>
      </c>
      <c r="L1269">
        <v>7000</v>
      </c>
      <c r="M1269">
        <v>4</v>
      </c>
      <c r="N1269" t="s">
        <v>49</v>
      </c>
      <c r="O1269">
        <v>48</v>
      </c>
      <c r="P1269">
        <v>53</v>
      </c>
      <c r="Q1269">
        <v>1</v>
      </c>
      <c r="R1269">
        <v>7</v>
      </c>
      <c r="S1269" t="s">
        <v>65</v>
      </c>
      <c r="T1269" t="s">
        <v>50</v>
      </c>
      <c r="U1269" t="s">
        <v>66</v>
      </c>
      <c r="V1269" t="s">
        <v>45</v>
      </c>
      <c r="W1269">
        <v>0</v>
      </c>
      <c r="X1269">
        <v>1</v>
      </c>
      <c r="Y1269" s="2">
        <f>Table1[[#This Row],[premium_yearly]]*Table1[[#This Row],[tenure_years]]</f>
        <v>5331.84</v>
      </c>
      <c r="Z1269" s="2">
        <f>Table1[[#This Row],[total_collected_premiums]]*(1-$AD$2)</f>
        <v>3892.2431999999999</v>
      </c>
      <c r="AA1269" s="2">
        <f>Table1[[#This Row],[retained_premium]]-Table1[[#This Row],[claim_amount_paid]]</f>
        <v>-3107.7568000000001</v>
      </c>
    </row>
    <row r="1270" spans="1:27" x14ac:dyDescent="0.35">
      <c r="A1270" t="s">
        <v>3849</v>
      </c>
      <c r="B1270" t="s">
        <v>3850</v>
      </c>
      <c r="C1270" t="s">
        <v>3851</v>
      </c>
      <c r="D1270" s="1">
        <v>43234</v>
      </c>
      <c r="E1270" s="1">
        <v>44295</v>
      </c>
      <c r="F1270" s="1">
        <v>44297</v>
      </c>
      <c r="G1270">
        <v>2</v>
      </c>
      <c r="H1270">
        <v>83.16</v>
      </c>
      <c r="I1270">
        <v>997.92</v>
      </c>
      <c r="J1270">
        <v>1000</v>
      </c>
      <c r="K1270" t="s">
        <v>27</v>
      </c>
      <c r="L1270">
        <v>1000</v>
      </c>
      <c r="M1270">
        <v>6.58</v>
      </c>
      <c r="N1270" t="s">
        <v>49</v>
      </c>
      <c r="O1270">
        <v>79</v>
      </c>
      <c r="P1270">
        <v>54</v>
      </c>
      <c r="Q1270">
        <v>1</v>
      </c>
      <c r="R1270">
        <v>7</v>
      </c>
      <c r="S1270" t="s">
        <v>65</v>
      </c>
      <c r="T1270" t="s">
        <v>30</v>
      </c>
      <c r="U1270" t="s">
        <v>66</v>
      </c>
      <c r="V1270" t="s">
        <v>39</v>
      </c>
      <c r="W1270">
        <v>1</v>
      </c>
      <c r="X1270">
        <v>1</v>
      </c>
      <c r="Y1270" s="2">
        <f>Table1[[#This Row],[premium_yearly]]*Table1[[#This Row],[tenure_years]]</f>
        <v>6566.3135999999995</v>
      </c>
      <c r="Z1270" s="2">
        <f>Table1[[#This Row],[total_collected_premiums]]*(1-$AD$2)</f>
        <v>4793.4089279999998</v>
      </c>
      <c r="AA1270" s="2">
        <f>Table1[[#This Row],[retained_premium]]-Table1[[#This Row],[claim_amount_paid]]</f>
        <v>3793.4089279999998</v>
      </c>
    </row>
    <row r="1271" spans="1:27" x14ac:dyDescent="0.35">
      <c r="A1271" t="s">
        <v>3852</v>
      </c>
      <c r="B1271" t="s">
        <v>3853</v>
      </c>
      <c r="C1271" t="s">
        <v>3854</v>
      </c>
      <c r="D1271" s="1">
        <v>41348</v>
      </c>
      <c r="E1271" s="1">
        <v>44286</v>
      </c>
      <c r="F1271" s="1">
        <v>44291</v>
      </c>
      <c r="G1271">
        <v>5</v>
      </c>
      <c r="H1271">
        <v>87.9</v>
      </c>
      <c r="I1271">
        <v>1054.8</v>
      </c>
      <c r="J1271">
        <v>9000</v>
      </c>
      <c r="K1271" t="s">
        <v>27</v>
      </c>
      <c r="L1271">
        <v>9000</v>
      </c>
      <c r="M1271">
        <v>6.25</v>
      </c>
      <c r="N1271" t="s">
        <v>28</v>
      </c>
      <c r="O1271">
        <v>75</v>
      </c>
      <c r="P1271">
        <v>39</v>
      </c>
      <c r="Q1271">
        <v>0</v>
      </c>
      <c r="R1271">
        <v>4</v>
      </c>
      <c r="S1271" t="s">
        <v>65</v>
      </c>
      <c r="T1271" t="s">
        <v>50</v>
      </c>
      <c r="U1271" t="s">
        <v>58</v>
      </c>
      <c r="V1271" t="s">
        <v>32</v>
      </c>
      <c r="W1271">
        <v>1</v>
      </c>
      <c r="X1271">
        <v>1</v>
      </c>
      <c r="Y1271" s="2">
        <f>Table1[[#This Row],[premium_yearly]]*Table1[[#This Row],[tenure_years]]</f>
        <v>6592.5</v>
      </c>
      <c r="Z1271" s="2">
        <f>Table1[[#This Row],[total_collected_premiums]]*(1-$AD$2)</f>
        <v>4812.5249999999996</v>
      </c>
      <c r="AA1271" s="2">
        <f>Table1[[#This Row],[retained_premium]]-Table1[[#This Row],[claim_amount_paid]]</f>
        <v>-4187.4750000000004</v>
      </c>
    </row>
    <row r="1272" spans="1:27" x14ac:dyDescent="0.35">
      <c r="A1272" t="s">
        <v>3855</v>
      </c>
      <c r="B1272" t="s">
        <v>3856</v>
      </c>
      <c r="C1272" t="s">
        <v>3857</v>
      </c>
      <c r="D1272" s="1">
        <v>41975</v>
      </c>
      <c r="E1272" s="1">
        <v>44289</v>
      </c>
      <c r="F1272" s="1">
        <v>44294</v>
      </c>
      <c r="G1272">
        <v>5</v>
      </c>
      <c r="H1272">
        <v>122.8</v>
      </c>
      <c r="I1272">
        <v>1473.6</v>
      </c>
      <c r="J1272">
        <v>1000</v>
      </c>
      <c r="K1272" t="s">
        <v>27</v>
      </c>
      <c r="L1272">
        <v>1000</v>
      </c>
      <c r="M1272">
        <v>9.58</v>
      </c>
      <c r="N1272" t="s">
        <v>36</v>
      </c>
      <c r="O1272">
        <v>115</v>
      </c>
      <c r="P1272">
        <v>53</v>
      </c>
      <c r="Q1272">
        <v>1</v>
      </c>
      <c r="R1272">
        <v>2</v>
      </c>
      <c r="S1272" t="s">
        <v>29</v>
      </c>
      <c r="T1272" t="s">
        <v>30</v>
      </c>
      <c r="U1272" t="s">
        <v>31</v>
      </c>
      <c r="V1272" t="s">
        <v>32</v>
      </c>
      <c r="W1272">
        <v>1</v>
      </c>
      <c r="X1272">
        <v>1</v>
      </c>
      <c r="Y1272" s="2">
        <f>Table1[[#This Row],[premium_yearly]]*Table1[[#This Row],[tenure_years]]</f>
        <v>14117.088</v>
      </c>
      <c r="Z1272" s="2">
        <f>Table1[[#This Row],[total_collected_premiums]]*(1-$AD$2)</f>
        <v>10305.47424</v>
      </c>
      <c r="AA1272" s="2">
        <f>Table1[[#This Row],[retained_premium]]-Table1[[#This Row],[claim_amount_paid]]</f>
        <v>9305.4742399999996</v>
      </c>
    </row>
    <row r="1273" spans="1:27" x14ac:dyDescent="0.35">
      <c r="A1273" t="s">
        <v>3858</v>
      </c>
      <c r="B1273" t="s">
        <v>3859</v>
      </c>
      <c r="C1273" t="s">
        <v>3860</v>
      </c>
      <c r="D1273" s="1">
        <v>41246</v>
      </c>
      <c r="E1273" s="1">
        <v>44298</v>
      </c>
      <c r="F1273" s="1">
        <v>44299</v>
      </c>
      <c r="G1273">
        <v>1</v>
      </c>
      <c r="H1273">
        <v>83.53</v>
      </c>
      <c r="I1273">
        <v>1002.36</v>
      </c>
      <c r="J1273">
        <v>9000</v>
      </c>
      <c r="K1273" t="s">
        <v>27</v>
      </c>
      <c r="L1273">
        <v>9000</v>
      </c>
      <c r="M1273">
        <v>7.58</v>
      </c>
      <c r="N1273" t="s">
        <v>49</v>
      </c>
      <c r="O1273">
        <v>91</v>
      </c>
      <c r="P1273">
        <v>48</v>
      </c>
      <c r="Q1273">
        <v>1</v>
      </c>
      <c r="R1273">
        <v>7</v>
      </c>
      <c r="S1273" t="s">
        <v>29</v>
      </c>
      <c r="T1273" t="s">
        <v>50</v>
      </c>
      <c r="U1273" t="s">
        <v>38</v>
      </c>
      <c r="V1273" t="s">
        <v>45</v>
      </c>
      <c r="W1273">
        <v>1</v>
      </c>
      <c r="X1273">
        <v>1</v>
      </c>
      <c r="Y1273" s="2">
        <f>Table1[[#This Row],[premium_yearly]]*Table1[[#This Row],[tenure_years]]</f>
        <v>7597.8888000000006</v>
      </c>
      <c r="Z1273" s="2">
        <f>Table1[[#This Row],[total_collected_premiums]]*(1-$AD$2)</f>
        <v>5546.4588240000003</v>
      </c>
      <c r="AA1273" s="2">
        <f>Table1[[#This Row],[retained_premium]]-Table1[[#This Row],[claim_amount_paid]]</f>
        <v>-3453.5411759999997</v>
      </c>
    </row>
    <row r="1274" spans="1:27" x14ac:dyDescent="0.35">
      <c r="A1274" t="s">
        <v>3861</v>
      </c>
      <c r="B1274" t="s">
        <v>3862</v>
      </c>
      <c r="C1274" t="s">
        <v>3863</v>
      </c>
      <c r="D1274" s="1">
        <v>41116</v>
      </c>
      <c r="E1274" s="1">
        <v>44295</v>
      </c>
      <c r="F1274" s="1">
        <v>44298</v>
      </c>
      <c r="G1274">
        <v>3</v>
      </c>
      <c r="H1274">
        <v>112.99</v>
      </c>
      <c r="I1274">
        <v>1355.88</v>
      </c>
      <c r="J1274">
        <v>7000</v>
      </c>
      <c r="K1274" t="s">
        <v>27</v>
      </c>
      <c r="L1274">
        <v>7000</v>
      </c>
      <c r="M1274">
        <v>1.58</v>
      </c>
      <c r="N1274" t="s">
        <v>49</v>
      </c>
      <c r="O1274">
        <v>19</v>
      </c>
      <c r="P1274">
        <v>37</v>
      </c>
      <c r="Q1274">
        <v>1</v>
      </c>
      <c r="R1274">
        <v>5</v>
      </c>
      <c r="S1274" t="s">
        <v>37</v>
      </c>
      <c r="T1274" t="s">
        <v>30</v>
      </c>
      <c r="U1274" t="s">
        <v>38</v>
      </c>
      <c r="V1274" t="s">
        <v>45</v>
      </c>
      <c r="W1274">
        <v>1</v>
      </c>
      <c r="X1274">
        <v>1</v>
      </c>
      <c r="Y1274" s="2">
        <f>Table1[[#This Row],[premium_yearly]]*Table1[[#This Row],[tenure_years]]</f>
        <v>2142.2904000000003</v>
      </c>
      <c r="Z1274" s="2">
        <f>Table1[[#This Row],[total_collected_premiums]]*(1-$AD$2)</f>
        <v>1563.8719920000001</v>
      </c>
      <c r="AA1274" s="2">
        <f>Table1[[#This Row],[retained_premium]]-Table1[[#This Row],[claim_amount_paid]]</f>
        <v>-5436.1280079999997</v>
      </c>
    </row>
    <row r="1275" spans="1:27" x14ac:dyDescent="0.35">
      <c r="A1275" t="s">
        <v>3864</v>
      </c>
      <c r="B1275" t="s">
        <v>3865</v>
      </c>
      <c r="C1275" t="s">
        <v>3866</v>
      </c>
      <c r="D1275" s="1">
        <v>43634</v>
      </c>
      <c r="E1275" s="1">
        <v>44298</v>
      </c>
      <c r="F1275" s="1">
        <v>44299</v>
      </c>
      <c r="G1275">
        <v>1</v>
      </c>
      <c r="H1275">
        <v>100.1</v>
      </c>
      <c r="I1275">
        <v>1201.2</v>
      </c>
      <c r="J1275">
        <v>7000</v>
      </c>
      <c r="K1275" t="s">
        <v>27</v>
      </c>
      <c r="L1275">
        <v>7000</v>
      </c>
      <c r="M1275">
        <v>8.25</v>
      </c>
      <c r="N1275" t="s">
        <v>36</v>
      </c>
      <c r="O1275">
        <v>99</v>
      </c>
      <c r="P1275">
        <v>35</v>
      </c>
      <c r="Q1275">
        <v>1</v>
      </c>
      <c r="R1275">
        <v>5</v>
      </c>
      <c r="S1275" t="s">
        <v>37</v>
      </c>
      <c r="T1275" t="s">
        <v>30</v>
      </c>
      <c r="U1275" t="s">
        <v>31</v>
      </c>
      <c r="V1275" t="s">
        <v>39</v>
      </c>
      <c r="W1275">
        <v>1</v>
      </c>
      <c r="X1275">
        <v>1</v>
      </c>
      <c r="Y1275" s="2">
        <f>Table1[[#This Row],[premium_yearly]]*Table1[[#This Row],[tenure_years]]</f>
        <v>9909.9</v>
      </c>
      <c r="Z1275" s="2">
        <f>Table1[[#This Row],[total_collected_premiums]]*(1-$AD$2)</f>
        <v>7234.2269999999999</v>
      </c>
      <c r="AA1275" s="2">
        <f>Table1[[#This Row],[retained_premium]]-Table1[[#This Row],[claim_amount_paid]]</f>
        <v>234.22699999999986</v>
      </c>
    </row>
    <row r="1276" spans="1:27" x14ac:dyDescent="0.35">
      <c r="A1276" t="s">
        <v>3867</v>
      </c>
      <c r="B1276" t="s">
        <v>3868</v>
      </c>
      <c r="C1276" t="s">
        <v>3869</v>
      </c>
      <c r="D1276" s="1">
        <v>41794</v>
      </c>
      <c r="E1276" s="1">
        <v>44301</v>
      </c>
      <c r="F1276" s="1">
        <v>44301</v>
      </c>
      <c r="G1276">
        <v>0</v>
      </c>
      <c r="H1276">
        <v>136.72999999999999</v>
      </c>
      <c r="I1276">
        <v>1640.76</v>
      </c>
      <c r="J1276">
        <v>9000</v>
      </c>
      <c r="K1276" t="s">
        <v>27</v>
      </c>
      <c r="L1276">
        <v>9000</v>
      </c>
      <c r="M1276">
        <v>3.5</v>
      </c>
      <c r="N1276" t="s">
        <v>28</v>
      </c>
      <c r="O1276">
        <v>42</v>
      </c>
      <c r="P1276">
        <v>57</v>
      </c>
      <c r="Q1276">
        <v>1</v>
      </c>
      <c r="R1276">
        <v>5</v>
      </c>
      <c r="S1276" t="s">
        <v>65</v>
      </c>
      <c r="T1276" t="s">
        <v>30</v>
      </c>
      <c r="U1276" t="s">
        <v>38</v>
      </c>
      <c r="V1276" t="s">
        <v>32</v>
      </c>
      <c r="W1276">
        <v>0</v>
      </c>
      <c r="X1276">
        <v>1</v>
      </c>
      <c r="Y1276" s="2">
        <f>Table1[[#This Row],[premium_yearly]]*Table1[[#This Row],[tenure_years]]</f>
        <v>5742.66</v>
      </c>
      <c r="Z1276" s="2">
        <f>Table1[[#This Row],[total_collected_premiums]]*(1-$AD$2)</f>
        <v>4192.1417999999994</v>
      </c>
      <c r="AA1276" s="2">
        <f>Table1[[#This Row],[retained_premium]]-Table1[[#This Row],[claim_amount_paid]]</f>
        <v>-4807.8582000000006</v>
      </c>
    </row>
    <row r="1277" spans="1:27" x14ac:dyDescent="0.35">
      <c r="A1277" t="s">
        <v>3870</v>
      </c>
      <c r="B1277" t="s">
        <v>3871</v>
      </c>
      <c r="C1277" t="s">
        <v>3872</v>
      </c>
      <c r="D1277" s="1">
        <v>43355</v>
      </c>
      <c r="E1277" s="1">
        <v>44286</v>
      </c>
      <c r="F1277" s="1">
        <v>44291</v>
      </c>
      <c r="G1277">
        <v>5</v>
      </c>
      <c r="H1277">
        <v>109.92</v>
      </c>
      <c r="I1277">
        <v>1319.04</v>
      </c>
      <c r="J1277">
        <v>10000</v>
      </c>
      <c r="K1277" t="s">
        <v>27</v>
      </c>
      <c r="L1277">
        <v>10000</v>
      </c>
      <c r="M1277">
        <v>8.25</v>
      </c>
      <c r="N1277" t="s">
        <v>36</v>
      </c>
      <c r="O1277">
        <v>99</v>
      </c>
      <c r="P1277">
        <v>43</v>
      </c>
      <c r="Q1277">
        <v>1</v>
      </c>
      <c r="R1277">
        <v>3</v>
      </c>
      <c r="S1277" t="s">
        <v>29</v>
      </c>
      <c r="T1277" t="s">
        <v>30</v>
      </c>
      <c r="U1277" t="s">
        <v>38</v>
      </c>
      <c r="V1277" t="s">
        <v>45</v>
      </c>
      <c r="W1277">
        <v>1</v>
      </c>
      <c r="X1277">
        <v>1</v>
      </c>
      <c r="Y1277" s="2">
        <f>Table1[[#This Row],[premium_yearly]]*Table1[[#This Row],[tenure_years]]</f>
        <v>10882.08</v>
      </c>
      <c r="Z1277" s="2">
        <f>Table1[[#This Row],[total_collected_premiums]]*(1-$AD$2)</f>
        <v>7943.9183999999996</v>
      </c>
      <c r="AA1277" s="2">
        <f>Table1[[#This Row],[retained_premium]]-Table1[[#This Row],[claim_amount_paid]]</f>
        <v>-2056.0816000000004</v>
      </c>
    </row>
    <row r="1278" spans="1:27" x14ac:dyDescent="0.35">
      <c r="A1278" t="s">
        <v>3873</v>
      </c>
      <c r="B1278" t="s">
        <v>3874</v>
      </c>
      <c r="C1278" t="s">
        <v>3875</v>
      </c>
      <c r="D1278" s="1">
        <v>41201</v>
      </c>
      <c r="E1278" s="1">
        <v>44302</v>
      </c>
      <c r="F1278" s="1">
        <v>44302</v>
      </c>
      <c r="G1278">
        <v>0</v>
      </c>
      <c r="H1278">
        <v>123.22</v>
      </c>
      <c r="I1278">
        <v>1478.64</v>
      </c>
      <c r="J1278">
        <v>3000</v>
      </c>
      <c r="K1278" t="s">
        <v>27</v>
      </c>
      <c r="L1278">
        <v>3000</v>
      </c>
      <c r="M1278">
        <v>6.33</v>
      </c>
      <c r="N1278" t="s">
        <v>28</v>
      </c>
      <c r="O1278">
        <v>76</v>
      </c>
      <c r="P1278">
        <v>25</v>
      </c>
      <c r="Q1278">
        <v>1</v>
      </c>
      <c r="R1278">
        <v>4</v>
      </c>
      <c r="S1278" t="s">
        <v>29</v>
      </c>
      <c r="T1278" t="s">
        <v>50</v>
      </c>
      <c r="U1278" t="s">
        <v>88</v>
      </c>
      <c r="V1278" t="s">
        <v>39</v>
      </c>
      <c r="W1278">
        <v>1</v>
      </c>
      <c r="X1278">
        <v>1</v>
      </c>
      <c r="Y1278" s="2">
        <f>Table1[[#This Row],[premium_yearly]]*Table1[[#This Row],[tenure_years]]</f>
        <v>9359.7912000000015</v>
      </c>
      <c r="Z1278" s="2">
        <f>Table1[[#This Row],[total_collected_premiums]]*(1-$AD$2)</f>
        <v>6832.6475760000012</v>
      </c>
      <c r="AA1278" s="2">
        <f>Table1[[#This Row],[retained_premium]]-Table1[[#This Row],[claim_amount_paid]]</f>
        <v>3832.6475760000012</v>
      </c>
    </row>
    <row r="1279" spans="1:27" x14ac:dyDescent="0.35">
      <c r="A1279" t="s">
        <v>3876</v>
      </c>
      <c r="B1279" t="s">
        <v>3877</v>
      </c>
      <c r="C1279" t="s">
        <v>3878</v>
      </c>
      <c r="D1279" s="1">
        <v>41044</v>
      </c>
      <c r="E1279" s="1">
        <v>44298</v>
      </c>
      <c r="F1279" s="1">
        <v>44300</v>
      </c>
      <c r="G1279">
        <v>2</v>
      </c>
      <c r="H1279">
        <v>79.36</v>
      </c>
      <c r="I1279">
        <v>952.32</v>
      </c>
      <c r="J1279">
        <v>7000</v>
      </c>
      <c r="K1279" t="s">
        <v>27</v>
      </c>
      <c r="L1279">
        <v>7000</v>
      </c>
      <c r="M1279">
        <v>9</v>
      </c>
      <c r="N1279" t="s">
        <v>28</v>
      </c>
      <c r="O1279">
        <v>108</v>
      </c>
      <c r="P1279">
        <v>61</v>
      </c>
      <c r="Q1279">
        <v>1</v>
      </c>
      <c r="R1279">
        <v>3</v>
      </c>
      <c r="S1279" t="s">
        <v>65</v>
      </c>
      <c r="T1279" t="s">
        <v>30</v>
      </c>
      <c r="U1279" t="s">
        <v>31</v>
      </c>
      <c r="V1279" t="s">
        <v>45</v>
      </c>
      <c r="W1279">
        <v>1</v>
      </c>
      <c r="X1279">
        <v>1</v>
      </c>
      <c r="Y1279" s="2">
        <f>Table1[[#This Row],[premium_yearly]]*Table1[[#This Row],[tenure_years]]</f>
        <v>8570.880000000001</v>
      </c>
      <c r="Z1279" s="2">
        <f>Table1[[#This Row],[total_collected_premiums]]*(1-$AD$2)</f>
        <v>6256.742400000001</v>
      </c>
      <c r="AA1279" s="2">
        <f>Table1[[#This Row],[retained_premium]]-Table1[[#This Row],[claim_amount_paid]]</f>
        <v>-743.257599999999</v>
      </c>
    </row>
    <row r="1280" spans="1:27" x14ac:dyDescent="0.35">
      <c r="A1280" t="s">
        <v>3879</v>
      </c>
      <c r="B1280" t="s">
        <v>3880</v>
      </c>
      <c r="C1280" t="s">
        <v>3881</v>
      </c>
      <c r="D1280" s="1">
        <v>40984</v>
      </c>
      <c r="E1280" s="1">
        <v>44302</v>
      </c>
      <c r="F1280" s="1">
        <v>44302</v>
      </c>
      <c r="G1280">
        <v>0</v>
      </c>
      <c r="H1280">
        <v>112.15</v>
      </c>
      <c r="I1280">
        <v>1345.8</v>
      </c>
      <c r="J1280">
        <v>4000</v>
      </c>
      <c r="K1280" t="s">
        <v>27</v>
      </c>
      <c r="L1280">
        <v>4000</v>
      </c>
      <c r="M1280">
        <v>2.25</v>
      </c>
      <c r="N1280" t="s">
        <v>36</v>
      </c>
      <c r="O1280">
        <v>27</v>
      </c>
      <c r="P1280">
        <v>44</v>
      </c>
      <c r="Q1280">
        <v>1</v>
      </c>
      <c r="R1280">
        <v>3</v>
      </c>
      <c r="S1280" t="s">
        <v>29</v>
      </c>
      <c r="T1280" t="s">
        <v>50</v>
      </c>
      <c r="U1280" t="s">
        <v>31</v>
      </c>
      <c r="V1280" t="s">
        <v>45</v>
      </c>
      <c r="W1280">
        <v>1</v>
      </c>
      <c r="X1280">
        <v>1</v>
      </c>
      <c r="Y1280" s="2">
        <f>Table1[[#This Row],[premium_yearly]]*Table1[[#This Row],[tenure_years]]</f>
        <v>3028.0499999999997</v>
      </c>
      <c r="Z1280" s="2">
        <f>Table1[[#This Row],[total_collected_premiums]]*(1-$AD$2)</f>
        <v>2210.4764999999998</v>
      </c>
      <c r="AA1280" s="2">
        <f>Table1[[#This Row],[retained_premium]]-Table1[[#This Row],[claim_amount_paid]]</f>
        <v>-1789.5235000000002</v>
      </c>
    </row>
    <row r="1281" spans="1:27" x14ac:dyDescent="0.35">
      <c r="A1281" t="s">
        <v>3882</v>
      </c>
      <c r="B1281" t="s">
        <v>3883</v>
      </c>
      <c r="C1281" t="s">
        <v>3884</v>
      </c>
      <c r="D1281" s="1">
        <v>40438</v>
      </c>
      <c r="E1281" s="1">
        <v>44298</v>
      </c>
      <c r="F1281" s="1">
        <v>44300</v>
      </c>
      <c r="G1281">
        <v>2</v>
      </c>
      <c r="H1281">
        <v>112.67</v>
      </c>
      <c r="I1281">
        <v>1352.04</v>
      </c>
      <c r="J1281">
        <v>9000</v>
      </c>
      <c r="K1281" t="s">
        <v>27</v>
      </c>
      <c r="L1281">
        <v>9000</v>
      </c>
      <c r="M1281">
        <v>8.83</v>
      </c>
      <c r="N1281" t="s">
        <v>28</v>
      </c>
      <c r="O1281">
        <v>106</v>
      </c>
      <c r="P1281">
        <v>38</v>
      </c>
      <c r="Q1281">
        <v>1</v>
      </c>
      <c r="R1281">
        <v>4</v>
      </c>
      <c r="S1281" t="s">
        <v>29</v>
      </c>
      <c r="T1281" t="s">
        <v>50</v>
      </c>
      <c r="U1281" t="s">
        <v>51</v>
      </c>
      <c r="V1281" t="s">
        <v>32</v>
      </c>
      <c r="W1281">
        <v>1</v>
      </c>
      <c r="X1281">
        <v>1</v>
      </c>
      <c r="Y1281" s="2">
        <f>Table1[[#This Row],[premium_yearly]]*Table1[[#This Row],[tenure_years]]</f>
        <v>11938.513199999999</v>
      </c>
      <c r="Z1281" s="2">
        <f>Table1[[#This Row],[total_collected_premiums]]*(1-$AD$2)</f>
        <v>8715.1146360000002</v>
      </c>
      <c r="AA1281" s="2">
        <f>Table1[[#This Row],[retained_premium]]-Table1[[#This Row],[claim_amount_paid]]</f>
        <v>-284.88536399999975</v>
      </c>
    </row>
    <row r="1282" spans="1:27" x14ac:dyDescent="0.35">
      <c r="A1282" t="s">
        <v>3885</v>
      </c>
      <c r="B1282" t="s">
        <v>3886</v>
      </c>
      <c r="C1282" t="s">
        <v>3887</v>
      </c>
      <c r="D1282" s="1">
        <v>42388</v>
      </c>
      <c r="E1282" s="1">
        <v>44301</v>
      </c>
      <c r="F1282" s="1">
        <v>44302</v>
      </c>
      <c r="G1282">
        <v>1</v>
      </c>
      <c r="H1282">
        <v>98.92</v>
      </c>
      <c r="I1282">
        <v>1187.04</v>
      </c>
      <c r="J1282">
        <v>1000</v>
      </c>
      <c r="K1282" t="s">
        <v>27</v>
      </c>
      <c r="L1282">
        <v>1000</v>
      </c>
      <c r="M1282">
        <v>0.67</v>
      </c>
      <c r="N1282" t="s">
        <v>49</v>
      </c>
      <c r="O1282">
        <v>8</v>
      </c>
      <c r="P1282">
        <v>37</v>
      </c>
      <c r="Q1282">
        <v>1</v>
      </c>
      <c r="R1282">
        <v>2</v>
      </c>
      <c r="S1282" t="s">
        <v>29</v>
      </c>
      <c r="T1282" t="s">
        <v>30</v>
      </c>
      <c r="U1282" t="s">
        <v>66</v>
      </c>
      <c r="V1282" t="s">
        <v>39</v>
      </c>
      <c r="W1282">
        <v>0</v>
      </c>
      <c r="X1282">
        <v>1</v>
      </c>
      <c r="Y1282" s="2">
        <f>Table1[[#This Row],[premium_yearly]]*Table1[[#This Row],[tenure_years]]</f>
        <v>795.31680000000006</v>
      </c>
      <c r="Z1282" s="2">
        <f>Table1[[#This Row],[total_collected_premiums]]*(1-$AD$2)</f>
        <v>580.58126400000003</v>
      </c>
      <c r="AA1282" s="2">
        <f>Table1[[#This Row],[retained_premium]]-Table1[[#This Row],[claim_amount_paid]]</f>
        <v>-419.41873599999997</v>
      </c>
    </row>
    <row r="1283" spans="1:27" x14ac:dyDescent="0.35">
      <c r="A1283" t="s">
        <v>3888</v>
      </c>
      <c r="B1283" t="s">
        <v>3889</v>
      </c>
      <c r="C1283" t="s">
        <v>3890</v>
      </c>
      <c r="D1283" s="1">
        <v>40421</v>
      </c>
      <c r="E1283" s="1">
        <v>44296</v>
      </c>
      <c r="F1283" s="1">
        <v>44299</v>
      </c>
      <c r="G1283">
        <v>3</v>
      </c>
      <c r="H1283">
        <v>90.65</v>
      </c>
      <c r="I1283">
        <v>1087.8</v>
      </c>
      <c r="J1283">
        <v>3000</v>
      </c>
      <c r="K1283" t="s">
        <v>27</v>
      </c>
      <c r="L1283">
        <v>3000</v>
      </c>
      <c r="M1283">
        <v>5.42</v>
      </c>
      <c r="N1283" t="s">
        <v>36</v>
      </c>
      <c r="O1283">
        <v>65</v>
      </c>
      <c r="P1283">
        <v>27</v>
      </c>
      <c r="Q1283">
        <v>0</v>
      </c>
      <c r="R1283">
        <v>4</v>
      </c>
      <c r="S1283" t="s">
        <v>29</v>
      </c>
      <c r="T1283" t="s">
        <v>30</v>
      </c>
      <c r="U1283" t="s">
        <v>38</v>
      </c>
      <c r="V1283" t="s">
        <v>32</v>
      </c>
      <c r="W1283">
        <v>1</v>
      </c>
      <c r="X1283">
        <v>0</v>
      </c>
      <c r="Y1283" s="2">
        <f>Table1[[#This Row],[premium_yearly]]*Table1[[#This Row],[tenure_years]]</f>
        <v>5895.8759999999993</v>
      </c>
      <c r="Z1283" s="2">
        <f>Table1[[#This Row],[total_collected_premiums]]*(1-$AD$2)</f>
        <v>4303.9894799999993</v>
      </c>
      <c r="AA1283" s="2">
        <f>Table1[[#This Row],[retained_premium]]-Table1[[#This Row],[claim_amount_paid]]</f>
        <v>1303.9894799999993</v>
      </c>
    </row>
    <row r="1284" spans="1:27" x14ac:dyDescent="0.35">
      <c r="A1284" t="s">
        <v>3891</v>
      </c>
      <c r="B1284" t="s">
        <v>3892</v>
      </c>
      <c r="C1284" t="s">
        <v>3893</v>
      </c>
      <c r="D1284" s="1">
        <v>41697</v>
      </c>
      <c r="E1284" s="1">
        <v>44287</v>
      </c>
      <c r="F1284" s="1">
        <v>44292</v>
      </c>
      <c r="G1284">
        <v>5</v>
      </c>
      <c r="H1284">
        <v>98.25</v>
      </c>
      <c r="I1284">
        <v>1179</v>
      </c>
      <c r="J1284">
        <v>1000</v>
      </c>
      <c r="K1284" t="s">
        <v>27</v>
      </c>
      <c r="L1284">
        <v>1000</v>
      </c>
      <c r="M1284">
        <v>9.75</v>
      </c>
      <c r="N1284" t="s">
        <v>36</v>
      </c>
      <c r="O1284">
        <v>117</v>
      </c>
      <c r="P1284">
        <v>45</v>
      </c>
      <c r="Q1284">
        <v>1</v>
      </c>
      <c r="R1284">
        <v>2</v>
      </c>
      <c r="S1284" t="s">
        <v>29</v>
      </c>
      <c r="T1284" t="s">
        <v>30</v>
      </c>
      <c r="U1284" t="s">
        <v>38</v>
      </c>
      <c r="V1284" t="s">
        <v>32</v>
      </c>
      <c r="W1284">
        <v>1</v>
      </c>
      <c r="X1284">
        <v>1</v>
      </c>
      <c r="Y1284" s="2">
        <f>Table1[[#This Row],[premium_yearly]]*Table1[[#This Row],[tenure_years]]</f>
        <v>11495.25</v>
      </c>
      <c r="Z1284" s="2">
        <f>Table1[[#This Row],[total_collected_premiums]]*(1-$AD$2)</f>
        <v>8391.5324999999993</v>
      </c>
      <c r="AA1284" s="2">
        <f>Table1[[#This Row],[retained_premium]]-Table1[[#This Row],[claim_amount_paid]]</f>
        <v>7391.5324999999993</v>
      </c>
    </row>
    <row r="1285" spans="1:27" x14ac:dyDescent="0.35">
      <c r="A1285" t="s">
        <v>3894</v>
      </c>
      <c r="B1285" t="s">
        <v>3895</v>
      </c>
      <c r="C1285" t="s">
        <v>3896</v>
      </c>
      <c r="D1285" s="1">
        <v>43297</v>
      </c>
      <c r="E1285" s="1">
        <v>44286</v>
      </c>
      <c r="F1285" s="1">
        <v>44291</v>
      </c>
      <c r="G1285">
        <v>5</v>
      </c>
      <c r="H1285">
        <v>135.58000000000001</v>
      </c>
      <c r="I1285">
        <v>1626.96</v>
      </c>
      <c r="J1285">
        <v>6000</v>
      </c>
      <c r="K1285" t="s">
        <v>27</v>
      </c>
      <c r="L1285">
        <v>6000</v>
      </c>
      <c r="M1285">
        <v>3.5</v>
      </c>
      <c r="N1285" t="s">
        <v>36</v>
      </c>
      <c r="O1285">
        <v>42</v>
      </c>
      <c r="P1285">
        <v>36</v>
      </c>
      <c r="Q1285">
        <v>0</v>
      </c>
      <c r="R1285">
        <v>3</v>
      </c>
      <c r="S1285" t="s">
        <v>29</v>
      </c>
      <c r="T1285" t="s">
        <v>44</v>
      </c>
      <c r="U1285" t="s">
        <v>107</v>
      </c>
      <c r="V1285" t="s">
        <v>45</v>
      </c>
      <c r="W1285">
        <v>1</v>
      </c>
      <c r="X1285">
        <v>1</v>
      </c>
      <c r="Y1285" s="2">
        <f>Table1[[#This Row],[premium_yearly]]*Table1[[#This Row],[tenure_years]]</f>
        <v>5694.3600000000006</v>
      </c>
      <c r="Z1285" s="2">
        <f>Table1[[#This Row],[total_collected_premiums]]*(1-$AD$2)</f>
        <v>4156.8828000000003</v>
      </c>
      <c r="AA1285" s="2">
        <f>Table1[[#This Row],[retained_premium]]-Table1[[#This Row],[claim_amount_paid]]</f>
        <v>-1843.1171999999997</v>
      </c>
    </row>
    <row r="1286" spans="1:27" x14ac:dyDescent="0.35">
      <c r="A1286" t="s">
        <v>3897</v>
      </c>
      <c r="B1286" t="s">
        <v>3898</v>
      </c>
      <c r="C1286" t="s">
        <v>3899</v>
      </c>
      <c r="D1286" s="1">
        <v>41531</v>
      </c>
      <c r="E1286" s="1">
        <v>44289</v>
      </c>
      <c r="F1286" s="1">
        <v>44294</v>
      </c>
      <c r="G1286">
        <v>5</v>
      </c>
      <c r="H1286">
        <v>95.13</v>
      </c>
      <c r="I1286">
        <v>1141.56</v>
      </c>
      <c r="J1286">
        <v>7000</v>
      </c>
      <c r="K1286" t="s">
        <v>27</v>
      </c>
      <c r="L1286">
        <v>7000</v>
      </c>
      <c r="M1286">
        <v>2.5</v>
      </c>
      <c r="N1286" t="s">
        <v>28</v>
      </c>
      <c r="O1286">
        <v>30</v>
      </c>
      <c r="P1286">
        <v>47</v>
      </c>
      <c r="Q1286">
        <v>0</v>
      </c>
      <c r="R1286">
        <v>7</v>
      </c>
      <c r="S1286" t="s">
        <v>29</v>
      </c>
      <c r="T1286" t="s">
        <v>50</v>
      </c>
      <c r="U1286" t="s">
        <v>58</v>
      </c>
      <c r="V1286" t="s">
        <v>45</v>
      </c>
      <c r="W1286">
        <v>0</v>
      </c>
      <c r="X1286">
        <v>1</v>
      </c>
      <c r="Y1286" s="2">
        <f>Table1[[#This Row],[premium_yearly]]*Table1[[#This Row],[tenure_years]]</f>
        <v>2853.8999999999996</v>
      </c>
      <c r="Z1286" s="2">
        <f>Table1[[#This Row],[total_collected_premiums]]*(1-$AD$2)</f>
        <v>2083.3469999999998</v>
      </c>
      <c r="AA1286" s="2">
        <f>Table1[[#This Row],[retained_premium]]-Table1[[#This Row],[claim_amount_paid]]</f>
        <v>-4916.6530000000002</v>
      </c>
    </row>
    <row r="1287" spans="1:27" x14ac:dyDescent="0.35">
      <c r="A1287" t="s">
        <v>3900</v>
      </c>
      <c r="B1287" t="s">
        <v>3901</v>
      </c>
      <c r="C1287" t="s">
        <v>3902</v>
      </c>
      <c r="D1287" s="1">
        <v>41154</v>
      </c>
      <c r="E1287" s="1">
        <v>44296</v>
      </c>
      <c r="F1287" s="1">
        <v>44301</v>
      </c>
      <c r="G1287">
        <v>5</v>
      </c>
      <c r="H1287">
        <v>90.17</v>
      </c>
      <c r="I1287">
        <v>1082.04</v>
      </c>
      <c r="J1287">
        <v>6000</v>
      </c>
      <c r="K1287" t="s">
        <v>27</v>
      </c>
      <c r="L1287">
        <v>6000</v>
      </c>
      <c r="M1287">
        <v>0.57999999999999996</v>
      </c>
      <c r="N1287" t="s">
        <v>49</v>
      </c>
      <c r="O1287">
        <v>7</v>
      </c>
      <c r="P1287">
        <v>61</v>
      </c>
      <c r="Q1287">
        <v>1</v>
      </c>
      <c r="R1287">
        <v>7</v>
      </c>
      <c r="S1287" t="s">
        <v>65</v>
      </c>
      <c r="T1287" t="s">
        <v>30</v>
      </c>
      <c r="U1287" t="s">
        <v>38</v>
      </c>
      <c r="V1287" t="s">
        <v>45</v>
      </c>
      <c r="W1287">
        <v>1</v>
      </c>
      <c r="X1287">
        <v>0</v>
      </c>
      <c r="Y1287" s="2">
        <f>Table1[[#This Row],[premium_yearly]]*Table1[[#This Row],[tenure_years]]</f>
        <v>627.58319999999992</v>
      </c>
      <c r="Z1287" s="2">
        <f>Table1[[#This Row],[total_collected_premiums]]*(1-$AD$2)</f>
        <v>458.13573599999995</v>
      </c>
      <c r="AA1287" s="2">
        <f>Table1[[#This Row],[retained_premium]]-Table1[[#This Row],[claim_amount_paid]]</f>
        <v>-5541.8642639999998</v>
      </c>
    </row>
    <row r="1288" spans="1:27" x14ac:dyDescent="0.35">
      <c r="A1288" t="s">
        <v>3903</v>
      </c>
      <c r="B1288" t="s">
        <v>3904</v>
      </c>
      <c r="C1288" t="s">
        <v>3905</v>
      </c>
      <c r="D1288" s="1">
        <v>41279</v>
      </c>
      <c r="E1288" s="1">
        <v>44291</v>
      </c>
      <c r="F1288" s="1">
        <v>44296</v>
      </c>
      <c r="G1288">
        <v>5</v>
      </c>
      <c r="H1288">
        <v>96.64</v>
      </c>
      <c r="I1288">
        <v>1159.68</v>
      </c>
      <c r="J1288">
        <v>1000</v>
      </c>
      <c r="K1288" t="s">
        <v>27</v>
      </c>
      <c r="L1288">
        <v>1000</v>
      </c>
      <c r="M1288">
        <v>3.5</v>
      </c>
      <c r="N1288" t="s">
        <v>28</v>
      </c>
      <c r="O1288">
        <v>42</v>
      </c>
      <c r="P1288">
        <v>43</v>
      </c>
      <c r="Q1288">
        <v>1</v>
      </c>
      <c r="R1288">
        <v>6</v>
      </c>
      <c r="S1288" t="s">
        <v>65</v>
      </c>
      <c r="T1288" t="s">
        <v>50</v>
      </c>
      <c r="U1288" t="s">
        <v>31</v>
      </c>
      <c r="V1288" t="s">
        <v>32</v>
      </c>
      <c r="W1288">
        <v>0</v>
      </c>
      <c r="X1288">
        <v>0</v>
      </c>
      <c r="Y1288" s="2">
        <f>Table1[[#This Row],[premium_yearly]]*Table1[[#This Row],[tenure_years]]</f>
        <v>4058.88</v>
      </c>
      <c r="Z1288" s="2">
        <f>Table1[[#This Row],[total_collected_premiums]]*(1-$AD$2)</f>
        <v>2962.9823999999999</v>
      </c>
      <c r="AA1288" s="2">
        <f>Table1[[#This Row],[retained_premium]]-Table1[[#This Row],[claim_amount_paid]]</f>
        <v>1962.9823999999999</v>
      </c>
    </row>
    <row r="1289" spans="1:27" x14ac:dyDescent="0.35">
      <c r="A1289" t="s">
        <v>3906</v>
      </c>
      <c r="B1289" t="s">
        <v>3907</v>
      </c>
      <c r="C1289" t="s">
        <v>3908</v>
      </c>
      <c r="D1289" s="1">
        <v>41011</v>
      </c>
      <c r="E1289" s="1">
        <v>44300</v>
      </c>
      <c r="F1289" s="1">
        <v>44302</v>
      </c>
      <c r="G1289">
        <v>2</v>
      </c>
      <c r="H1289">
        <v>122.66</v>
      </c>
      <c r="I1289">
        <v>1471.92</v>
      </c>
      <c r="J1289">
        <v>6000</v>
      </c>
      <c r="K1289" t="s">
        <v>27</v>
      </c>
      <c r="L1289">
        <v>6000</v>
      </c>
      <c r="M1289">
        <v>4.17</v>
      </c>
      <c r="N1289" t="s">
        <v>49</v>
      </c>
      <c r="O1289">
        <v>50</v>
      </c>
      <c r="P1289">
        <v>57</v>
      </c>
      <c r="Q1289">
        <v>0</v>
      </c>
      <c r="R1289">
        <v>4</v>
      </c>
      <c r="S1289" t="s">
        <v>29</v>
      </c>
      <c r="T1289" t="s">
        <v>50</v>
      </c>
      <c r="U1289" t="s">
        <v>38</v>
      </c>
      <c r="V1289" t="s">
        <v>45</v>
      </c>
      <c r="W1289">
        <v>1</v>
      </c>
      <c r="X1289">
        <v>1</v>
      </c>
      <c r="Y1289" s="2">
        <f>Table1[[#This Row],[premium_yearly]]*Table1[[#This Row],[tenure_years]]</f>
        <v>6137.9063999999998</v>
      </c>
      <c r="Z1289" s="2">
        <f>Table1[[#This Row],[total_collected_premiums]]*(1-$AD$2)</f>
        <v>4480.6716719999995</v>
      </c>
      <c r="AA1289" s="2">
        <f>Table1[[#This Row],[retained_premium]]-Table1[[#This Row],[claim_amount_paid]]</f>
        <v>-1519.3283280000005</v>
      </c>
    </row>
    <row r="1290" spans="1:27" x14ac:dyDescent="0.35">
      <c r="A1290" t="s">
        <v>3909</v>
      </c>
      <c r="B1290" t="s">
        <v>3910</v>
      </c>
      <c r="C1290" t="s">
        <v>3911</v>
      </c>
      <c r="D1290" s="1">
        <v>42660</v>
      </c>
      <c r="E1290" s="1">
        <v>44287</v>
      </c>
      <c r="F1290" s="1">
        <v>44292</v>
      </c>
      <c r="G1290">
        <v>5</v>
      </c>
      <c r="H1290">
        <v>125.85</v>
      </c>
      <c r="I1290">
        <v>1510.2</v>
      </c>
      <c r="J1290">
        <v>5000</v>
      </c>
      <c r="K1290" t="s">
        <v>27</v>
      </c>
      <c r="L1290">
        <v>5000</v>
      </c>
      <c r="M1290">
        <v>4.08</v>
      </c>
      <c r="N1290" t="s">
        <v>49</v>
      </c>
      <c r="O1290">
        <v>49</v>
      </c>
      <c r="P1290">
        <v>46</v>
      </c>
      <c r="Q1290">
        <v>1</v>
      </c>
      <c r="R1290">
        <v>2</v>
      </c>
      <c r="S1290" t="s">
        <v>29</v>
      </c>
      <c r="T1290" t="s">
        <v>30</v>
      </c>
      <c r="U1290" t="s">
        <v>58</v>
      </c>
      <c r="V1290" t="s">
        <v>32</v>
      </c>
      <c r="W1290">
        <v>1</v>
      </c>
      <c r="X1290">
        <v>1</v>
      </c>
      <c r="Y1290" s="2">
        <f>Table1[[#This Row],[premium_yearly]]*Table1[[#This Row],[tenure_years]]</f>
        <v>6161.616</v>
      </c>
      <c r="Z1290" s="2">
        <f>Table1[[#This Row],[total_collected_premiums]]*(1-$AD$2)</f>
        <v>4497.9796799999995</v>
      </c>
      <c r="AA1290" s="2">
        <f>Table1[[#This Row],[retained_premium]]-Table1[[#This Row],[claim_amount_paid]]</f>
        <v>-502.02032000000054</v>
      </c>
    </row>
    <row r="1291" spans="1:27" x14ac:dyDescent="0.35">
      <c r="A1291" t="s">
        <v>3912</v>
      </c>
      <c r="B1291" t="s">
        <v>3913</v>
      </c>
      <c r="C1291" t="s">
        <v>3914</v>
      </c>
      <c r="D1291" s="1">
        <v>41213</v>
      </c>
      <c r="E1291" s="1">
        <v>44306</v>
      </c>
      <c r="F1291" s="1">
        <v>44306</v>
      </c>
      <c r="G1291">
        <v>0</v>
      </c>
      <c r="H1291">
        <v>102.35</v>
      </c>
      <c r="I1291">
        <v>1228.2</v>
      </c>
      <c r="J1291">
        <v>9000</v>
      </c>
      <c r="K1291" t="s">
        <v>27</v>
      </c>
      <c r="L1291">
        <v>9000</v>
      </c>
      <c r="M1291">
        <v>9.5</v>
      </c>
      <c r="N1291" t="s">
        <v>49</v>
      </c>
      <c r="O1291">
        <v>114</v>
      </c>
      <c r="P1291">
        <v>42</v>
      </c>
      <c r="Q1291">
        <v>0</v>
      </c>
      <c r="R1291">
        <v>4</v>
      </c>
      <c r="S1291" t="s">
        <v>65</v>
      </c>
      <c r="T1291" t="s">
        <v>44</v>
      </c>
      <c r="U1291" t="s">
        <v>88</v>
      </c>
      <c r="V1291" t="s">
        <v>39</v>
      </c>
      <c r="W1291">
        <v>1</v>
      </c>
      <c r="X1291">
        <v>1</v>
      </c>
      <c r="Y1291" s="2">
        <f>Table1[[#This Row],[premium_yearly]]*Table1[[#This Row],[tenure_years]]</f>
        <v>11667.9</v>
      </c>
      <c r="Z1291" s="2">
        <f>Table1[[#This Row],[total_collected_premiums]]*(1-$AD$2)</f>
        <v>8517.5669999999991</v>
      </c>
      <c r="AA1291" s="2">
        <f>Table1[[#This Row],[retained_premium]]-Table1[[#This Row],[claim_amount_paid]]</f>
        <v>-482.4330000000009</v>
      </c>
    </row>
    <row r="1292" spans="1:27" x14ac:dyDescent="0.35">
      <c r="A1292" t="s">
        <v>3915</v>
      </c>
      <c r="B1292" t="s">
        <v>3916</v>
      </c>
      <c r="C1292" t="s">
        <v>3917</v>
      </c>
      <c r="D1292" s="1">
        <v>41119</v>
      </c>
      <c r="E1292" s="1">
        <v>44300</v>
      </c>
      <c r="F1292" s="1">
        <v>44303</v>
      </c>
      <c r="G1292">
        <v>3</v>
      </c>
      <c r="H1292">
        <v>124.84</v>
      </c>
      <c r="I1292">
        <v>1498.08</v>
      </c>
      <c r="J1292">
        <v>2000</v>
      </c>
      <c r="K1292" t="s">
        <v>27</v>
      </c>
      <c r="L1292">
        <v>2000</v>
      </c>
      <c r="M1292">
        <v>8.42</v>
      </c>
      <c r="N1292" t="s">
        <v>36</v>
      </c>
      <c r="O1292">
        <v>101</v>
      </c>
      <c r="P1292">
        <v>54</v>
      </c>
      <c r="Q1292">
        <v>1</v>
      </c>
      <c r="R1292">
        <v>6</v>
      </c>
      <c r="S1292" t="s">
        <v>29</v>
      </c>
      <c r="T1292" t="s">
        <v>30</v>
      </c>
      <c r="U1292" t="s">
        <v>38</v>
      </c>
      <c r="V1292" t="s">
        <v>45</v>
      </c>
      <c r="W1292">
        <v>1</v>
      </c>
      <c r="X1292">
        <v>1</v>
      </c>
      <c r="Y1292" s="2">
        <f>Table1[[#This Row],[premium_yearly]]*Table1[[#This Row],[tenure_years]]</f>
        <v>12613.8336</v>
      </c>
      <c r="Z1292" s="2">
        <f>Table1[[#This Row],[total_collected_premiums]]*(1-$AD$2)</f>
        <v>9208.0985280000004</v>
      </c>
      <c r="AA1292" s="2">
        <f>Table1[[#This Row],[retained_premium]]-Table1[[#This Row],[claim_amount_paid]]</f>
        <v>7208.0985280000004</v>
      </c>
    </row>
    <row r="1293" spans="1:27" x14ac:dyDescent="0.35">
      <c r="A1293" t="s">
        <v>3918</v>
      </c>
      <c r="B1293" t="s">
        <v>3919</v>
      </c>
      <c r="C1293" t="s">
        <v>3920</v>
      </c>
      <c r="D1293" s="1">
        <v>41856</v>
      </c>
      <c r="E1293" s="1">
        <v>44292</v>
      </c>
      <c r="F1293" s="1">
        <v>44297</v>
      </c>
      <c r="G1293">
        <v>5</v>
      </c>
      <c r="H1293">
        <v>114.03</v>
      </c>
      <c r="I1293">
        <v>1368.36</v>
      </c>
      <c r="J1293">
        <v>6000</v>
      </c>
      <c r="K1293" t="s">
        <v>27</v>
      </c>
      <c r="L1293">
        <v>6000</v>
      </c>
      <c r="M1293">
        <v>7.67</v>
      </c>
      <c r="N1293" t="s">
        <v>49</v>
      </c>
      <c r="O1293">
        <v>92</v>
      </c>
      <c r="P1293">
        <v>59</v>
      </c>
      <c r="Q1293">
        <v>0</v>
      </c>
      <c r="R1293">
        <v>4</v>
      </c>
      <c r="S1293" t="s">
        <v>65</v>
      </c>
      <c r="T1293" t="s">
        <v>50</v>
      </c>
      <c r="U1293" t="s">
        <v>88</v>
      </c>
      <c r="V1293" t="s">
        <v>39</v>
      </c>
      <c r="W1293">
        <v>1</v>
      </c>
      <c r="X1293">
        <v>0</v>
      </c>
      <c r="Y1293" s="2">
        <f>Table1[[#This Row],[premium_yearly]]*Table1[[#This Row],[tenure_years]]</f>
        <v>10495.321199999998</v>
      </c>
      <c r="Z1293" s="2">
        <f>Table1[[#This Row],[total_collected_premiums]]*(1-$AD$2)</f>
        <v>7661.5844759999991</v>
      </c>
      <c r="AA1293" s="2">
        <f>Table1[[#This Row],[retained_premium]]-Table1[[#This Row],[claim_amount_paid]]</f>
        <v>1661.5844759999991</v>
      </c>
    </row>
    <row r="1294" spans="1:27" x14ac:dyDescent="0.35">
      <c r="A1294" t="s">
        <v>3921</v>
      </c>
      <c r="B1294" t="s">
        <v>3922</v>
      </c>
      <c r="C1294" t="s">
        <v>3923</v>
      </c>
      <c r="D1294" s="1">
        <v>43242</v>
      </c>
      <c r="E1294" s="1">
        <v>44296</v>
      </c>
      <c r="F1294" s="1">
        <v>44301</v>
      </c>
      <c r="G1294">
        <v>5</v>
      </c>
      <c r="H1294">
        <v>102.73</v>
      </c>
      <c r="I1294">
        <v>1232.76</v>
      </c>
      <c r="J1294">
        <v>1000</v>
      </c>
      <c r="K1294" t="s">
        <v>27</v>
      </c>
      <c r="L1294">
        <v>1000</v>
      </c>
      <c r="M1294">
        <v>3.17</v>
      </c>
      <c r="N1294" t="s">
        <v>49</v>
      </c>
      <c r="O1294">
        <v>38</v>
      </c>
      <c r="P1294">
        <v>57</v>
      </c>
      <c r="Q1294">
        <v>1</v>
      </c>
      <c r="R1294">
        <v>7</v>
      </c>
      <c r="S1294" t="s">
        <v>65</v>
      </c>
      <c r="T1294" t="s">
        <v>44</v>
      </c>
      <c r="U1294" t="s">
        <v>38</v>
      </c>
      <c r="V1294" t="s">
        <v>32</v>
      </c>
      <c r="W1294">
        <v>1</v>
      </c>
      <c r="X1294">
        <v>1</v>
      </c>
      <c r="Y1294" s="2">
        <f>Table1[[#This Row],[premium_yearly]]*Table1[[#This Row],[tenure_years]]</f>
        <v>3907.8492000000001</v>
      </c>
      <c r="Z1294" s="2">
        <f>Table1[[#This Row],[total_collected_premiums]]*(1-$AD$2)</f>
        <v>2852.7299160000002</v>
      </c>
      <c r="AA1294" s="2">
        <f>Table1[[#This Row],[retained_premium]]-Table1[[#This Row],[claim_amount_paid]]</f>
        <v>1852.7299160000002</v>
      </c>
    </row>
    <row r="1295" spans="1:27" x14ac:dyDescent="0.35">
      <c r="A1295" t="s">
        <v>3924</v>
      </c>
      <c r="B1295" t="s">
        <v>3925</v>
      </c>
      <c r="C1295" t="s">
        <v>3926</v>
      </c>
      <c r="D1295" s="1">
        <v>41882</v>
      </c>
      <c r="E1295" s="1">
        <v>44291</v>
      </c>
      <c r="F1295" s="1">
        <v>44296</v>
      </c>
      <c r="G1295">
        <v>5</v>
      </c>
      <c r="H1295">
        <v>130.43</v>
      </c>
      <c r="I1295">
        <v>1565.16</v>
      </c>
      <c r="J1295">
        <v>3000</v>
      </c>
      <c r="K1295" t="s">
        <v>27</v>
      </c>
      <c r="L1295">
        <v>3000</v>
      </c>
      <c r="M1295">
        <v>0.57999999999999996</v>
      </c>
      <c r="N1295" t="s">
        <v>28</v>
      </c>
      <c r="O1295">
        <v>7</v>
      </c>
      <c r="P1295">
        <v>54</v>
      </c>
      <c r="Q1295">
        <v>1</v>
      </c>
      <c r="R1295">
        <v>6</v>
      </c>
      <c r="S1295" t="s">
        <v>29</v>
      </c>
      <c r="T1295" t="s">
        <v>30</v>
      </c>
      <c r="U1295" t="s">
        <v>38</v>
      </c>
      <c r="V1295" t="s">
        <v>39</v>
      </c>
      <c r="W1295">
        <v>1</v>
      </c>
      <c r="X1295">
        <v>1</v>
      </c>
      <c r="Y1295" s="2">
        <f>Table1[[#This Row],[premium_yearly]]*Table1[[#This Row],[tenure_years]]</f>
        <v>907.79279999999994</v>
      </c>
      <c r="Z1295" s="2">
        <f>Table1[[#This Row],[total_collected_premiums]]*(1-$AD$2)</f>
        <v>662.68874399999993</v>
      </c>
      <c r="AA1295" s="2">
        <f>Table1[[#This Row],[retained_premium]]-Table1[[#This Row],[claim_amount_paid]]</f>
        <v>-2337.311256</v>
      </c>
    </row>
    <row r="1296" spans="1:27" x14ac:dyDescent="0.35">
      <c r="A1296" t="s">
        <v>3927</v>
      </c>
      <c r="B1296" t="s">
        <v>3928</v>
      </c>
      <c r="C1296" t="s">
        <v>3929</v>
      </c>
      <c r="D1296" s="1">
        <v>40547</v>
      </c>
      <c r="E1296" s="1">
        <v>44290</v>
      </c>
      <c r="F1296" s="1">
        <v>44295</v>
      </c>
      <c r="G1296">
        <v>5</v>
      </c>
      <c r="H1296">
        <v>115.99</v>
      </c>
      <c r="I1296">
        <v>1391.88</v>
      </c>
      <c r="J1296">
        <v>4000</v>
      </c>
      <c r="K1296" t="s">
        <v>27</v>
      </c>
      <c r="L1296">
        <v>4000</v>
      </c>
      <c r="M1296">
        <v>1.75</v>
      </c>
      <c r="N1296" t="s">
        <v>36</v>
      </c>
      <c r="O1296">
        <v>21</v>
      </c>
      <c r="P1296">
        <v>54</v>
      </c>
      <c r="Q1296">
        <v>1</v>
      </c>
      <c r="R1296">
        <v>3</v>
      </c>
      <c r="S1296" t="s">
        <v>37</v>
      </c>
      <c r="T1296" t="s">
        <v>44</v>
      </c>
      <c r="U1296" t="s">
        <v>31</v>
      </c>
      <c r="V1296" t="s">
        <v>39</v>
      </c>
      <c r="W1296">
        <v>1</v>
      </c>
      <c r="X1296">
        <v>1</v>
      </c>
      <c r="Y1296" s="2">
        <f>Table1[[#This Row],[premium_yearly]]*Table1[[#This Row],[tenure_years]]</f>
        <v>2435.79</v>
      </c>
      <c r="Z1296" s="2">
        <f>Table1[[#This Row],[total_collected_premiums]]*(1-$AD$2)</f>
        <v>1778.1267</v>
      </c>
      <c r="AA1296" s="2">
        <f>Table1[[#This Row],[retained_premium]]-Table1[[#This Row],[claim_amount_paid]]</f>
        <v>-2221.8733000000002</v>
      </c>
    </row>
    <row r="1297" spans="1:27" x14ac:dyDescent="0.35">
      <c r="A1297" t="s">
        <v>3930</v>
      </c>
      <c r="B1297" t="s">
        <v>3931</v>
      </c>
      <c r="C1297" t="s">
        <v>3932</v>
      </c>
      <c r="D1297" s="1">
        <v>42582</v>
      </c>
      <c r="E1297" s="1">
        <v>44302</v>
      </c>
      <c r="F1297" s="1">
        <v>44304</v>
      </c>
      <c r="G1297">
        <v>2</v>
      </c>
      <c r="H1297">
        <v>99.21</v>
      </c>
      <c r="I1297">
        <v>1190.52</v>
      </c>
      <c r="J1297">
        <v>2000</v>
      </c>
      <c r="K1297" t="s">
        <v>27</v>
      </c>
      <c r="L1297">
        <v>2000</v>
      </c>
      <c r="M1297">
        <v>1</v>
      </c>
      <c r="N1297" t="s">
        <v>28</v>
      </c>
      <c r="O1297">
        <v>12</v>
      </c>
      <c r="P1297">
        <v>30</v>
      </c>
      <c r="Q1297">
        <v>1</v>
      </c>
      <c r="R1297">
        <v>4</v>
      </c>
      <c r="S1297" t="s">
        <v>29</v>
      </c>
      <c r="T1297" t="s">
        <v>44</v>
      </c>
      <c r="U1297" t="s">
        <v>107</v>
      </c>
      <c r="V1297" t="s">
        <v>32</v>
      </c>
      <c r="W1297">
        <v>1</v>
      </c>
      <c r="X1297">
        <v>1</v>
      </c>
      <c r="Y1297" s="2">
        <f>Table1[[#This Row],[premium_yearly]]*Table1[[#This Row],[tenure_years]]</f>
        <v>1190.52</v>
      </c>
      <c r="Z1297" s="2">
        <f>Table1[[#This Row],[total_collected_premiums]]*(1-$AD$2)</f>
        <v>869.07959999999991</v>
      </c>
      <c r="AA1297" s="2">
        <f>Table1[[#This Row],[retained_premium]]-Table1[[#This Row],[claim_amount_paid]]</f>
        <v>-1130.9204</v>
      </c>
    </row>
    <row r="1298" spans="1:27" x14ac:dyDescent="0.35">
      <c r="A1298" t="s">
        <v>3933</v>
      </c>
      <c r="B1298" t="s">
        <v>3934</v>
      </c>
      <c r="C1298" t="s">
        <v>3935</v>
      </c>
      <c r="D1298" s="1">
        <v>40682</v>
      </c>
      <c r="E1298" s="1">
        <v>44296</v>
      </c>
      <c r="F1298" s="1">
        <v>44301</v>
      </c>
      <c r="G1298">
        <v>5</v>
      </c>
      <c r="H1298">
        <v>92.04</v>
      </c>
      <c r="I1298">
        <v>1104.48</v>
      </c>
      <c r="J1298">
        <v>7000</v>
      </c>
      <c r="K1298" t="s">
        <v>27</v>
      </c>
      <c r="L1298">
        <v>7000</v>
      </c>
      <c r="M1298">
        <v>9.67</v>
      </c>
      <c r="N1298" t="s">
        <v>36</v>
      </c>
      <c r="O1298">
        <v>116</v>
      </c>
      <c r="P1298">
        <v>56</v>
      </c>
      <c r="Q1298">
        <v>1</v>
      </c>
      <c r="R1298">
        <v>7</v>
      </c>
      <c r="S1298" t="s">
        <v>65</v>
      </c>
      <c r="T1298" t="s">
        <v>30</v>
      </c>
      <c r="U1298" t="s">
        <v>38</v>
      </c>
      <c r="V1298" t="s">
        <v>45</v>
      </c>
      <c r="W1298">
        <v>1</v>
      </c>
      <c r="X1298">
        <v>0</v>
      </c>
      <c r="Y1298" s="2">
        <f>Table1[[#This Row],[premium_yearly]]*Table1[[#This Row],[tenure_years]]</f>
        <v>10680.321599999999</v>
      </c>
      <c r="Z1298" s="2">
        <f>Table1[[#This Row],[total_collected_premiums]]*(1-$AD$2)</f>
        <v>7796.634767999999</v>
      </c>
      <c r="AA1298" s="2">
        <f>Table1[[#This Row],[retained_premium]]-Table1[[#This Row],[claim_amount_paid]]</f>
        <v>796.63476799999899</v>
      </c>
    </row>
    <row r="1299" spans="1:27" x14ac:dyDescent="0.35">
      <c r="A1299" t="s">
        <v>3936</v>
      </c>
      <c r="B1299" t="s">
        <v>3937</v>
      </c>
      <c r="C1299" t="s">
        <v>3938</v>
      </c>
      <c r="D1299" s="1">
        <v>40851</v>
      </c>
      <c r="E1299" s="1">
        <v>44293</v>
      </c>
      <c r="F1299" s="1">
        <v>44298</v>
      </c>
      <c r="G1299">
        <v>5</v>
      </c>
      <c r="H1299">
        <v>85.77</v>
      </c>
      <c r="I1299">
        <v>1029.24</v>
      </c>
      <c r="J1299">
        <v>2000</v>
      </c>
      <c r="K1299" t="s">
        <v>27</v>
      </c>
      <c r="L1299">
        <v>2000</v>
      </c>
      <c r="M1299">
        <v>7.83</v>
      </c>
      <c r="N1299" t="s">
        <v>36</v>
      </c>
      <c r="O1299">
        <v>94</v>
      </c>
      <c r="P1299">
        <v>62</v>
      </c>
      <c r="Q1299">
        <v>1</v>
      </c>
      <c r="R1299">
        <v>7</v>
      </c>
      <c r="S1299" t="s">
        <v>65</v>
      </c>
      <c r="T1299" t="s">
        <v>30</v>
      </c>
      <c r="U1299" t="s">
        <v>38</v>
      </c>
      <c r="V1299" t="s">
        <v>39</v>
      </c>
      <c r="W1299">
        <v>0</v>
      </c>
      <c r="X1299">
        <v>1</v>
      </c>
      <c r="Y1299" s="2">
        <f>Table1[[#This Row],[premium_yearly]]*Table1[[#This Row],[tenure_years]]</f>
        <v>8058.9492</v>
      </c>
      <c r="Z1299" s="2">
        <f>Table1[[#This Row],[total_collected_premiums]]*(1-$AD$2)</f>
        <v>5883.0329160000001</v>
      </c>
      <c r="AA1299" s="2">
        <f>Table1[[#This Row],[retained_premium]]-Table1[[#This Row],[claim_amount_paid]]</f>
        <v>3883.0329160000001</v>
      </c>
    </row>
    <row r="1300" spans="1:27" x14ac:dyDescent="0.35">
      <c r="A1300" t="s">
        <v>3939</v>
      </c>
      <c r="B1300" t="s">
        <v>3940</v>
      </c>
      <c r="C1300" t="s">
        <v>3941</v>
      </c>
      <c r="D1300" s="1">
        <v>41128</v>
      </c>
      <c r="E1300" s="1">
        <v>44302</v>
      </c>
      <c r="F1300" s="1">
        <v>44305</v>
      </c>
      <c r="G1300">
        <v>3</v>
      </c>
      <c r="H1300">
        <v>97.65</v>
      </c>
      <c r="I1300">
        <v>1171.8</v>
      </c>
      <c r="J1300">
        <v>5000</v>
      </c>
      <c r="K1300" t="s">
        <v>27</v>
      </c>
      <c r="L1300">
        <v>5000</v>
      </c>
      <c r="M1300">
        <v>8.5</v>
      </c>
      <c r="N1300" t="s">
        <v>28</v>
      </c>
      <c r="O1300">
        <v>102</v>
      </c>
      <c r="P1300">
        <v>36</v>
      </c>
      <c r="Q1300">
        <v>1</v>
      </c>
      <c r="R1300">
        <v>6</v>
      </c>
      <c r="S1300" t="s">
        <v>65</v>
      </c>
      <c r="T1300" t="s">
        <v>44</v>
      </c>
      <c r="U1300" t="s">
        <v>38</v>
      </c>
      <c r="V1300" t="s">
        <v>39</v>
      </c>
      <c r="W1300">
        <v>0</v>
      </c>
      <c r="X1300">
        <v>1</v>
      </c>
      <c r="Y1300" s="2">
        <f>Table1[[#This Row],[premium_yearly]]*Table1[[#This Row],[tenure_years]]</f>
        <v>9960.2999999999993</v>
      </c>
      <c r="Z1300" s="2">
        <f>Table1[[#This Row],[total_collected_premiums]]*(1-$AD$2)</f>
        <v>7271.0189999999993</v>
      </c>
      <c r="AA1300" s="2">
        <f>Table1[[#This Row],[retained_premium]]-Table1[[#This Row],[claim_amount_paid]]</f>
        <v>2271.0189999999993</v>
      </c>
    </row>
    <row r="1301" spans="1:27" x14ac:dyDescent="0.35">
      <c r="A1301" t="s">
        <v>3942</v>
      </c>
      <c r="B1301" t="s">
        <v>3943</v>
      </c>
      <c r="C1301" t="s">
        <v>3944</v>
      </c>
      <c r="D1301" s="1">
        <v>42217</v>
      </c>
      <c r="E1301" s="1">
        <v>44310</v>
      </c>
      <c r="F1301" s="1">
        <v>44310</v>
      </c>
      <c r="G1301">
        <v>0</v>
      </c>
      <c r="H1301">
        <v>110.77</v>
      </c>
      <c r="I1301">
        <v>1329.24</v>
      </c>
      <c r="J1301">
        <v>4000</v>
      </c>
      <c r="K1301" t="s">
        <v>27</v>
      </c>
      <c r="L1301">
        <v>4000</v>
      </c>
      <c r="M1301">
        <v>2.25</v>
      </c>
      <c r="N1301" t="s">
        <v>28</v>
      </c>
      <c r="O1301">
        <v>27</v>
      </c>
      <c r="P1301">
        <v>39</v>
      </c>
      <c r="Q1301">
        <v>1</v>
      </c>
      <c r="R1301">
        <v>2</v>
      </c>
      <c r="S1301" t="s">
        <v>37</v>
      </c>
      <c r="T1301" t="s">
        <v>44</v>
      </c>
      <c r="U1301" t="s">
        <v>66</v>
      </c>
      <c r="V1301" t="s">
        <v>32</v>
      </c>
      <c r="W1301">
        <v>1</v>
      </c>
      <c r="X1301">
        <v>1</v>
      </c>
      <c r="Y1301" s="2">
        <f>Table1[[#This Row],[premium_yearly]]*Table1[[#This Row],[tenure_years]]</f>
        <v>2990.79</v>
      </c>
      <c r="Z1301" s="2">
        <f>Table1[[#This Row],[total_collected_premiums]]*(1-$AD$2)</f>
        <v>2183.2766999999999</v>
      </c>
      <c r="AA1301" s="2">
        <f>Table1[[#This Row],[retained_premium]]-Table1[[#This Row],[claim_amount_paid]]</f>
        <v>-1816.7233000000001</v>
      </c>
    </row>
    <row r="1302" spans="1:27" x14ac:dyDescent="0.35">
      <c r="A1302" t="s">
        <v>3945</v>
      </c>
      <c r="B1302" t="s">
        <v>3946</v>
      </c>
      <c r="C1302" t="s">
        <v>3947</v>
      </c>
      <c r="D1302" s="1">
        <v>42835</v>
      </c>
      <c r="E1302" s="1">
        <v>44292</v>
      </c>
      <c r="F1302" s="1">
        <v>44297</v>
      </c>
      <c r="G1302">
        <v>5</v>
      </c>
      <c r="H1302">
        <v>135.82</v>
      </c>
      <c r="I1302">
        <v>1629.84</v>
      </c>
      <c r="J1302">
        <v>3000</v>
      </c>
      <c r="K1302" t="s">
        <v>27</v>
      </c>
      <c r="L1302">
        <v>3000</v>
      </c>
      <c r="M1302">
        <v>4.08</v>
      </c>
      <c r="N1302" t="s">
        <v>36</v>
      </c>
      <c r="O1302">
        <v>49</v>
      </c>
      <c r="P1302">
        <v>58</v>
      </c>
      <c r="Q1302">
        <v>1</v>
      </c>
      <c r="R1302">
        <v>2</v>
      </c>
      <c r="S1302" t="s">
        <v>29</v>
      </c>
      <c r="T1302" t="s">
        <v>30</v>
      </c>
      <c r="U1302" t="s">
        <v>38</v>
      </c>
      <c r="V1302" t="s">
        <v>32</v>
      </c>
      <c r="W1302">
        <v>1</v>
      </c>
      <c r="X1302">
        <v>1</v>
      </c>
      <c r="Y1302" s="2">
        <f>Table1[[#This Row],[premium_yearly]]*Table1[[#This Row],[tenure_years]]</f>
        <v>6649.7471999999998</v>
      </c>
      <c r="Z1302" s="2">
        <f>Table1[[#This Row],[total_collected_premiums]]*(1-$AD$2)</f>
        <v>4854.3154559999994</v>
      </c>
      <c r="AA1302" s="2">
        <f>Table1[[#This Row],[retained_premium]]-Table1[[#This Row],[claim_amount_paid]]</f>
        <v>1854.3154559999994</v>
      </c>
    </row>
    <row r="1303" spans="1:27" x14ac:dyDescent="0.35">
      <c r="A1303" t="s">
        <v>3948</v>
      </c>
      <c r="B1303" t="s">
        <v>3949</v>
      </c>
      <c r="C1303" t="s">
        <v>3950</v>
      </c>
      <c r="D1303" s="1">
        <v>42156</v>
      </c>
      <c r="E1303" s="1">
        <v>44309</v>
      </c>
      <c r="F1303" s="1">
        <v>44309</v>
      </c>
      <c r="G1303">
        <v>0</v>
      </c>
      <c r="H1303">
        <v>119.39</v>
      </c>
      <c r="I1303">
        <v>1432.68</v>
      </c>
      <c r="J1303">
        <v>4000</v>
      </c>
      <c r="K1303" t="s">
        <v>27</v>
      </c>
      <c r="L1303">
        <v>4000</v>
      </c>
      <c r="M1303">
        <v>1</v>
      </c>
      <c r="N1303" t="s">
        <v>28</v>
      </c>
      <c r="O1303">
        <v>12</v>
      </c>
      <c r="P1303">
        <v>41</v>
      </c>
      <c r="Q1303">
        <v>1</v>
      </c>
      <c r="R1303">
        <v>4</v>
      </c>
      <c r="S1303" t="s">
        <v>29</v>
      </c>
      <c r="T1303" t="s">
        <v>30</v>
      </c>
      <c r="U1303" t="s">
        <v>58</v>
      </c>
      <c r="V1303" t="s">
        <v>39</v>
      </c>
      <c r="W1303">
        <v>1</v>
      </c>
      <c r="X1303">
        <v>1</v>
      </c>
      <c r="Y1303" s="2">
        <f>Table1[[#This Row],[premium_yearly]]*Table1[[#This Row],[tenure_years]]</f>
        <v>1432.68</v>
      </c>
      <c r="Z1303" s="2">
        <f>Table1[[#This Row],[total_collected_premiums]]*(1-$AD$2)</f>
        <v>1045.8564000000001</v>
      </c>
      <c r="AA1303" s="2">
        <f>Table1[[#This Row],[retained_premium]]-Table1[[#This Row],[claim_amount_paid]]</f>
        <v>-2954.1435999999999</v>
      </c>
    </row>
    <row r="1304" spans="1:27" x14ac:dyDescent="0.35">
      <c r="A1304" t="s">
        <v>3951</v>
      </c>
      <c r="B1304" t="s">
        <v>3952</v>
      </c>
      <c r="C1304" t="s">
        <v>3953</v>
      </c>
      <c r="D1304" s="1">
        <v>42917</v>
      </c>
      <c r="E1304" s="1">
        <v>44296</v>
      </c>
      <c r="F1304" s="1">
        <v>44301</v>
      </c>
      <c r="G1304">
        <v>5</v>
      </c>
      <c r="H1304">
        <v>120.04</v>
      </c>
      <c r="I1304">
        <v>1440.48</v>
      </c>
      <c r="J1304">
        <v>3000</v>
      </c>
      <c r="K1304" t="s">
        <v>27</v>
      </c>
      <c r="L1304">
        <v>3000</v>
      </c>
      <c r="M1304">
        <v>5.17</v>
      </c>
      <c r="N1304" t="s">
        <v>28</v>
      </c>
      <c r="O1304">
        <v>62</v>
      </c>
      <c r="P1304">
        <v>47</v>
      </c>
      <c r="Q1304">
        <v>0</v>
      </c>
      <c r="R1304">
        <v>7</v>
      </c>
      <c r="S1304" t="s">
        <v>65</v>
      </c>
      <c r="T1304" t="s">
        <v>30</v>
      </c>
      <c r="U1304" t="s">
        <v>31</v>
      </c>
      <c r="V1304" t="s">
        <v>39</v>
      </c>
      <c r="W1304">
        <v>0</v>
      </c>
      <c r="X1304">
        <v>1</v>
      </c>
      <c r="Y1304" s="2">
        <f>Table1[[#This Row],[premium_yearly]]*Table1[[#This Row],[tenure_years]]</f>
        <v>7447.2816000000003</v>
      </c>
      <c r="Z1304" s="2">
        <f>Table1[[#This Row],[total_collected_premiums]]*(1-$AD$2)</f>
        <v>5436.5155679999998</v>
      </c>
      <c r="AA1304" s="2">
        <f>Table1[[#This Row],[retained_premium]]-Table1[[#This Row],[claim_amount_paid]]</f>
        <v>2436.5155679999998</v>
      </c>
    </row>
    <row r="1305" spans="1:27" x14ac:dyDescent="0.35">
      <c r="A1305" t="s">
        <v>3954</v>
      </c>
      <c r="B1305" t="s">
        <v>3955</v>
      </c>
      <c r="C1305" t="s">
        <v>3956</v>
      </c>
      <c r="D1305" s="1">
        <v>43593</v>
      </c>
      <c r="E1305" s="1">
        <v>44296</v>
      </c>
      <c r="F1305" s="1">
        <v>44301</v>
      </c>
      <c r="G1305">
        <v>5</v>
      </c>
      <c r="H1305">
        <v>91.45</v>
      </c>
      <c r="I1305">
        <v>1097.4000000000001</v>
      </c>
      <c r="J1305">
        <v>8000</v>
      </c>
      <c r="K1305" t="s">
        <v>43</v>
      </c>
      <c r="L1305">
        <v>0</v>
      </c>
      <c r="M1305">
        <v>9.58</v>
      </c>
      <c r="N1305" t="s">
        <v>36</v>
      </c>
      <c r="O1305">
        <v>115</v>
      </c>
      <c r="P1305">
        <v>59</v>
      </c>
      <c r="Q1305">
        <v>1</v>
      </c>
      <c r="R1305">
        <v>4</v>
      </c>
      <c r="S1305" t="s">
        <v>29</v>
      </c>
      <c r="T1305" t="s">
        <v>50</v>
      </c>
      <c r="U1305" t="s">
        <v>51</v>
      </c>
      <c r="V1305" t="s">
        <v>45</v>
      </c>
      <c r="W1305">
        <v>0</v>
      </c>
      <c r="X1305">
        <v>0</v>
      </c>
      <c r="Y1305" s="2">
        <f>Table1[[#This Row],[premium_yearly]]*Table1[[#This Row],[tenure_years]]</f>
        <v>10513.092000000001</v>
      </c>
      <c r="Z1305" s="2">
        <f>Table1[[#This Row],[total_collected_premiums]]*(1-$AD$2)</f>
        <v>7674.5571600000003</v>
      </c>
      <c r="AA1305" s="2">
        <f>Table1[[#This Row],[retained_premium]]-Table1[[#This Row],[claim_amount_paid]]</f>
        <v>7674.5571600000003</v>
      </c>
    </row>
    <row r="1306" spans="1:27" x14ac:dyDescent="0.35">
      <c r="A1306" t="s">
        <v>3957</v>
      </c>
      <c r="B1306" t="s">
        <v>3958</v>
      </c>
      <c r="C1306" t="s">
        <v>3959</v>
      </c>
      <c r="D1306" s="1">
        <v>42443</v>
      </c>
      <c r="E1306" s="1">
        <v>44296</v>
      </c>
      <c r="F1306" s="1">
        <v>44301</v>
      </c>
      <c r="G1306">
        <v>5</v>
      </c>
      <c r="H1306">
        <v>74.11</v>
      </c>
      <c r="I1306">
        <v>889.32</v>
      </c>
      <c r="J1306">
        <v>8000</v>
      </c>
      <c r="K1306" t="s">
        <v>27</v>
      </c>
      <c r="L1306">
        <v>8000</v>
      </c>
      <c r="M1306">
        <v>7.17</v>
      </c>
      <c r="N1306" t="s">
        <v>36</v>
      </c>
      <c r="O1306">
        <v>86</v>
      </c>
      <c r="P1306">
        <v>45</v>
      </c>
      <c r="Q1306">
        <v>1</v>
      </c>
      <c r="R1306">
        <v>3</v>
      </c>
      <c r="S1306" t="s">
        <v>29</v>
      </c>
      <c r="T1306" t="s">
        <v>30</v>
      </c>
      <c r="U1306" t="s">
        <v>38</v>
      </c>
      <c r="V1306" t="s">
        <v>32</v>
      </c>
      <c r="W1306">
        <v>1</v>
      </c>
      <c r="X1306">
        <v>1</v>
      </c>
      <c r="Y1306" s="2">
        <f>Table1[[#This Row],[premium_yearly]]*Table1[[#This Row],[tenure_years]]</f>
        <v>6376.4243999999999</v>
      </c>
      <c r="Z1306" s="2">
        <f>Table1[[#This Row],[total_collected_premiums]]*(1-$AD$2)</f>
        <v>4654.789812</v>
      </c>
      <c r="AA1306" s="2">
        <f>Table1[[#This Row],[retained_premium]]-Table1[[#This Row],[claim_amount_paid]]</f>
        <v>-3345.210188</v>
      </c>
    </row>
    <row r="1307" spans="1:27" x14ac:dyDescent="0.35">
      <c r="A1307" t="s">
        <v>3960</v>
      </c>
      <c r="B1307" t="s">
        <v>3961</v>
      </c>
      <c r="C1307" t="s">
        <v>3962</v>
      </c>
      <c r="D1307" s="1">
        <v>41559</v>
      </c>
      <c r="E1307" s="1">
        <v>44306</v>
      </c>
      <c r="F1307" s="1">
        <v>44308</v>
      </c>
      <c r="G1307">
        <v>2</v>
      </c>
      <c r="H1307">
        <v>88.47</v>
      </c>
      <c r="I1307">
        <v>1061.6400000000001</v>
      </c>
      <c r="J1307">
        <v>7000</v>
      </c>
      <c r="K1307" t="s">
        <v>43</v>
      </c>
      <c r="L1307">
        <v>0</v>
      </c>
      <c r="M1307">
        <v>7.75</v>
      </c>
      <c r="N1307" t="s">
        <v>28</v>
      </c>
      <c r="O1307">
        <v>93</v>
      </c>
      <c r="P1307">
        <v>51</v>
      </c>
      <c r="Q1307">
        <v>0</v>
      </c>
      <c r="R1307">
        <v>7</v>
      </c>
      <c r="S1307" t="s">
        <v>65</v>
      </c>
      <c r="T1307" t="s">
        <v>50</v>
      </c>
      <c r="U1307" t="s">
        <v>31</v>
      </c>
      <c r="V1307" t="s">
        <v>45</v>
      </c>
      <c r="W1307">
        <v>0</v>
      </c>
      <c r="X1307">
        <v>0</v>
      </c>
      <c r="Y1307" s="2">
        <f>Table1[[#This Row],[premium_yearly]]*Table1[[#This Row],[tenure_years]]</f>
        <v>8227.7100000000009</v>
      </c>
      <c r="Z1307" s="2">
        <f>Table1[[#This Row],[total_collected_premiums]]*(1-$AD$2)</f>
        <v>6006.2283000000007</v>
      </c>
      <c r="AA1307" s="2">
        <f>Table1[[#This Row],[retained_premium]]-Table1[[#This Row],[claim_amount_paid]]</f>
        <v>6006.2283000000007</v>
      </c>
    </row>
    <row r="1308" spans="1:27" x14ac:dyDescent="0.35">
      <c r="A1308" t="s">
        <v>3963</v>
      </c>
      <c r="B1308" t="s">
        <v>3964</v>
      </c>
      <c r="C1308" t="s">
        <v>3965</v>
      </c>
      <c r="D1308" s="1">
        <v>41677</v>
      </c>
      <c r="E1308" s="1">
        <v>44298</v>
      </c>
      <c r="F1308" s="1">
        <v>44303</v>
      </c>
      <c r="G1308">
        <v>5</v>
      </c>
      <c r="H1308">
        <v>124.2</v>
      </c>
      <c r="I1308">
        <v>1490.4</v>
      </c>
      <c r="J1308">
        <v>2000</v>
      </c>
      <c r="K1308" t="s">
        <v>27</v>
      </c>
      <c r="L1308">
        <v>2000</v>
      </c>
      <c r="M1308">
        <v>3.17</v>
      </c>
      <c r="N1308" t="s">
        <v>28</v>
      </c>
      <c r="O1308">
        <v>38</v>
      </c>
      <c r="P1308">
        <v>29</v>
      </c>
      <c r="Q1308">
        <v>0</v>
      </c>
      <c r="R1308">
        <v>3</v>
      </c>
      <c r="S1308" t="s">
        <v>29</v>
      </c>
      <c r="T1308" t="s">
        <v>50</v>
      </c>
      <c r="U1308" t="s">
        <v>38</v>
      </c>
      <c r="V1308" t="s">
        <v>32</v>
      </c>
      <c r="W1308">
        <v>0</v>
      </c>
      <c r="X1308">
        <v>1</v>
      </c>
      <c r="Y1308" s="2">
        <f>Table1[[#This Row],[premium_yearly]]*Table1[[#This Row],[tenure_years]]</f>
        <v>4724.5680000000002</v>
      </c>
      <c r="Z1308" s="2">
        <f>Table1[[#This Row],[total_collected_premiums]]*(1-$AD$2)</f>
        <v>3448.9346399999999</v>
      </c>
      <c r="AA1308" s="2">
        <f>Table1[[#This Row],[retained_premium]]-Table1[[#This Row],[claim_amount_paid]]</f>
        <v>1448.9346399999999</v>
      </c>
    </row>
    <row r="1309" spans="1:27" x14ac:dyDescent="0.35">
      <c r="A1309" t="s">
        <v>3966</v>
      </c>
      <c r="B1309" t="s">
        <v>3967</v>
      </c>
      <c r="C1309" t="s">
        <v>3968</v>
      </c>
      <c r="D1309" s="1">
        <v>40603</v>
      </c>
      <c r="E1309" s="1">
        <v>44311</v>
      </c>
      <c r="F1309" s="1">
        <v>44311</v>
      </c>
      <c r="G1309">
        <v>0</v>
      </c>
      <c r="H1309">
        <v>79.739999999999995</v>
      </c>
      <c r="I1309">
        <v>956.88</v>
      </c>
      <c r="J1309">
        <v>7000</v>
      </c>
      <c r="K1309" t="s">
        <v>27</v>
      </c>
      <c r="L1309">
        <v>7000</v>
      </c>
      <c r="M1309">
        <v>2.33</v>
      </c>
      <c r="N1309" t="s">
        <v>36</v>
      </c>
      <c r="O1309">
        <v>28</v>
      </c>
      <c r="P1309">
        <v>58</v>
      </c>
      <c r="Q1309">
        <v>0</v>
      </c>
      <c r="R1309">
        <v>7</v>
      </c>
      <c r="S1309" t="s">
        <v>29</v>
      </c>
      <c r="T1309" t="s">
        <v>30</v>
      </c>
      <c r="U1309" t="s">
        <v>31</v>
      </c>
      <c r="V1309" t="s">
        <v>32</v>
      </c>
      <c r="W1309">
        <v>1</v>
      </c>
      <c r="X1309">
        <v>1</v>
      </c>
      <c r="Y1309" s="2">
        <f>Table1[[#This Row],[premium_yearly]]*Table1[[#This Row],[tenure_years]]</f>
        <v>2229.5304000000001</v>
      </c>
      <c r="Z1309" s="2">
        <f>Table1[[#This Row],[total_collected_premiums]]*(1-$AD$2)</f>
        <v>1627.557192</v>
      </c>
      <c r="AA1309" s="2">
        <f>Table1[[#This Row],[retained_premium]]-Table1[[#This Row],[claim_amount_paid]]</f>
        <v>-5372.4428079999998</v>
      </c>
    </row>
    <row r="1310" spans="1:27" x14ac:dyDescent="0.35">
      <c r="A1310" t="s">
        <v>3969</v>
      </c>
      <c r="B1310" t="s">
        <v>3970</v>
      </c>
      <c r="C1310" t="s">
        <v>3971</v>
      </c>
      <c r="D1310" s="1">
        <v>41293</v>
      </c>
      <c r="E1310" s="1">
        <v>44311</v>
      </c>
      <c r="F1310" s="1">
        <v>44311</v>
      </c>
      <c r="G1310">
        <v>0</v>
      </c>
      <c r="H1310">
        <v>118.17</v>
      </c>
      <c r="I1310">
        <v>1418.04</v>
      </c>
      <c r="J1310">
        <v>1000</v>
      </c>
      <c r="K1310" t="s">
        <v>27</v>
      </c>
      <c r="L1310">
        <v>1000</v>
      </c>
      <c r="M1310">
        <v>8.33</v>
      </c>
      <c r="N1310" t="s">
        <v>36</v>
      </c>
      <c r="O1310">
        <v>100</v>
      </c>
      <c r="P1310">
        <v>61</v>
      </c>
      <c r="Q1310">
        <v>1</v>
      </c>
      <c r="R1310">
        <v>4</v>
      </c>
      <c r="S1310" t="s">
        <v>29</v>
      </c>
      <c r="T1310" t="s">
        <v>30</v>
      </c>
      <c r="U1310" t="s">
        <v>51</v>
      </c>
      <c r="V1310" t="s">
        <v>32</v>
      </c>
      <c r="W1310">
        <v>1</v>
      </c>
      <c r="X1310">
        <v>1</v>
      </c>
      <c r="Y1310" s="2">
        <f>Table1[[#This Row],[premium_yearly]]*Table1[[#This Row],[tenure_years]]</f>
        <v>11812.2732</v>
      </c>
      <c r="Z1310" s="2">
        <f>Table1[[#This Row],[total_collected_premiums]]*(1-$AD$2)</f>
        <v>8622.9594359999992</v>
      </c>
      <c r="AA1310" s="2">
        <f>Table1[[#This Row],[retained_premium]]-Table1[[#This Row],[claim_amount_paid]]</f>
        <v>7622.9594359999992</v>
      </c>
    </row>
    <row r="1311" spans="1:27" x14ac:dyDescent="0.35">
      <c r="A1311" t="s">
        <v>3972</v>
      </c>
      <c r="B1311" t="s">
        <v>3973</v>
      </c>
      <c r="C1311" t="s">
        <v>3974</v>
      </c>
      <c r="D1311" s="1">
        <v>41497</v>
      </c>
      <c r="E1311" s="1">
        <v>44296</v>
      </c>
      <c r="F1311" s="1">
        <v>44301</v>
      </c>
      <c r="G1311">
        <v>5</v>
      </c>
      <c r="H1311">
        <v>129.07</v>
      </c>
      <c r="I1311">
        <v>1548.84</v>
      </c>
      <c r="J1311">
        <v>2000</v>
      </c>
      <c r="K1311" t="s">
        <v>27</v>
      </c>
      <c r="L1311">
        <v>2000</v>
      </c>
      <c r="M1311">
        <v>8.58</v>
      </c>
      <c r="N1311" t="s">
        <v>36</v>
      </c>
      <c r="O1311">
        <v>103</v>
      </c>
      <c r="P1311">
        <v>46</v>
      </c>
      <c r="Q1311">
        <v>1</v>
      </c>
      <c r="R1311">
        <v>7</v>
      </c>
      <c r="S1311" t="s">
        <v>29</v>
      </c>
      <c r="T1311" t="s">
        <v>44</v>
      </c>
      <c r="U1311" t="s">
        <v>38</v>
      </c>
      <c r="V1311" t="s">
        <v>39</v>
      </c>
      <c r="W1311">
        <v>1</v>
      </c>
      <c r="X1311">
        <v>1</v>
      </c>
      <c r="Y1311" s="2">
        <f>Table1[[#This Row],[premium_yearly]]*Table1[[#This Row],[tenure_years]]</f>
        <v>13289.047199999999</v>
      </c>
      <c r="Z1311" s="2">
        <f>Table1[[#This Row],[total_collected_premiums]]*(1-$AD$2)</f>
        <v>9701.0044559999988</v>
      </c>
      <c r="AA1311" s="2">
        <f>Table1[[#This Row],[retained_premium]]-Table1[[#This Row],[claim_amount_paid]]</f>
        <v>7701.0044559999988</v>
      </c>
    </row>
    <row r="1312" spans="1:27" x14ac:dyDescent="0.35">
      <c r="A1312" t="s">
        <v>3975</v>
      </c>
      <c r="B1312" t="s">
        <v>3976</v>
      </c>
      <c r="C1312" t="s">
        <v>3977</v>
      </c>
      <c r="D1312" s="1">
        <v>43079</v>
      </c>
      <c r="E1312" s="1">
        <v>44306</v>
      </c>
      <c r="F1312" s="1">
        <v>44308</v>
      </c>
      <c r="G1312">
        <v>2</v>
      </c>
      <c r="H1312">
        <v>136.02000000000001</v>
      </c>
      <c r="I1312">
        <v>1632.24</v>
      </c>
      <c r="J1312">
        <v>7000</v>
      </c>
      <c r="K1312" t="s">
        <v>27</v>
      </c>
      <c r="L1312">
        <v>7000</v>
      </c>
      <c r="M1312">
        <v>5.08</v>
      </c>
      <c r="N1312" t="s">
        <v>49</v>
      </c>
      <c r="O1312">
        <v>61</v>
      </c>
      <c r="P1312">
        <v>46</v>
      </c>
      <c r="Q1312">
        <v>1</v>
      </c>
      <c r="R1312">
        <v>2</v>
      </c>
      <c r="S1312" t="s">
        <v>37</v>
      </c>
      <c r="T1312" t="s">
        <v>30</v>
      </c>
      <c r="U1312" t="s">
        <v>31</v>
      </c>
      <c r="V1312" t="s">
        <v>39</v>
      </c>
      <c r="W1312">
        <v>1</v>
      </c>
      <c r="X1312">
        <v>1</v>
      </c>
      <c r="Y1312" s="2">
        <f>Table1[[#This Row],[premium_yearly]]*Table1[[#This Row],[tenure_years]]</f>
        <v>8291.7792000000009</v>
      </c>
      <c r="Z1312" s="2">
        <f>Table1[[#This Row],[total_collected_premiums]]*(1-$AD$2)</f>
        <v>6052.9988160000003</v>
      </c>
      <c r="AA1312" s="2">
        <f>Table1[[#This Row],[retained_premium]]-Table1[[#This Row],[claim_amount_paid]]</f>
        <v>-947.00118399999974</v>
      </c>
    </row>
    <row r="1313" spans="1:27" x14ac:dyDescent="0.35">
      <c r="A1313" t="s">
        <v>3978</v>
      </c>
      <c r="B1313" t="s">
        <v>3979</v>
      </c>
      <c r="C1313" t="s">
        <v>3980</v>
      </c>
      <c r="D1313" s="1">
        <v>42587</v>
      </c>
      <c r="E1313" s="1">
        <v>44298</v>
      </c>
      <c r="F1313" s="1">
        <v>44303</v>
      </c>
      <c r="G1313">
        <v>5</v>
      </c>
      <c r="H1313">
        <v>111.3</v>
      </c>
      <c r="I1313">
        <v>1335.6</v>
      </c>
      <c r="J1313">
        <v>7000</v>
      </c>
      <c r="K1313" t="s">
        <v>43</v>
      </c>
      <c r="L1313">
        <v>0</v>
      </c>
      <c r="M1313">
        <v>2.33</v>
      </c>
      <c r="N1313" t="s">
        <v>36</v>
      </c>
      <c r="O1313">
        <v>28</v>
      </c>
      <c r="P1313">
        <v>28</v>
      </c>
      <c r="Q1313">
        <v>0</v>
      </c>
      <c r="R1313">
        <v>7</v>
      </c>
      <c r="S1313" t="s">
        <v>65</v>
      </c>
      <c r="T1313" t="s">
        <v>30</v>
      </c>
      <c r="U1313" t="s">
        <v>66</v>
      </c>
      <c r="V1313" t="s">
        <v>32</v>
      </c>
      <c r="W1313">
        <v>1</v>
      </c>
      <c r="X1313">
        <v>1</v>
      </c>
      <c r="Y1313" s="2">
        <f>Table1[[#This Row],[premium_yearly]]*Table1[[#This Row],[tenure_years]]</f>
        <v>3111.9479999999999</v>
      </c>
      <c r="Z1313" s="2">
        <f>Table1[[#This Row],[total_collected_premiums]]*(1-$AD$2)</f>
        <v>2271.7220399999997</v>
      </c>
      <c r="AA1313" s="2">
        <f>Table1[[#This Row],[retained_premium]]-Table1[[#This Row],[claim_amount_paid]]</f>
        <v>2271.7220399999997</v>
      </c>
    </row>
    <row r="1314" spans="1:27" x14ac:dyDescent="0.35">
      <c r="A1314" t="s">
        <v>3981</v>
      </c>
      <c r="B1314" t="s">
        <v>3982</v>
      </c>
      <c r="C1314" t="s">
        <v>3983</v>
      </c>
      <c r="D1314" s="1">
        <v>42849</v>
      </c>
      <c r="E1314" s="1">
        <v>44295</v>
      </c>
      <c r="F1314" s="1">
        <v>44300</v>
      </c>
      <c r="G1314">
        <v>5</v>
      </c>
      <c r="H1314">
        <v>93.6</v>
      </c>
      <c r="I1314">
        <v>1123.2</v>
      </c>
      <c r="J1314">
        <v>3000</v>
      </c>
      <c r="K1314" t="s">
        <v>27</v>
      </c>
      <c r="L1314">
        <v>3000</v>
      </c>
      <c r="M1314">
        <v>1</v>
      </c>
      <c r="N1314" t="s">
        <v>28</v>
      </c>
      <c r="O1314">
        <v>12</v>
      </c>
      <c r="P1314">
        <v>51</v>
      </c>
      <c r="Q1314">
        <v>0</v>
      </c>
      <c r="R1314">
        <v>7</v>
      </c>
      <c r="S1314" t="s">
        <v>65</v>
      </c>
      <c r="T1314" t="s">
        <v>50</v>
      </c>
      <c r="U1314" t="s">
        <v>58</v>
      </c>
      <c r="V1314" t="s">
        <v>39</v>
      </c>
      <c r="W1314">
        <v>1</v>
      </c>
      <c r="X1314">
        <v>0</v>
      </c>
      <c r="Y1314" s="2">
        <f>Table1[[#This Row],[premium_yearly]]*Table1[[#This Row],[tenure_years]]</f>
        <v>1123.2</v>
      </c>
      <c r="Z1314" s="2">
        <f>Table1[[#This Row],[total_collected_premiums]]*(1-$AD$2)</f>
        <v>819.93600000000004</v>
      </c>
      <c r="AA1314" s="2">
        <f>Table1[[#This Row],[retained_premium]]-Table1[[#This Row],[claim_amount_paid]]</f>
        <v>-2180.0639999999999</v>
      </c>
    </row>
    <row r="1315" spans="1:27" x14ac:dyDescent="0.35">
      <c r="A1315" t="s">
        <v>3984</v>
      </c>
      <c r="B1315" t="s">
        <v>3985</v>
      </c>
      <c r="C1315" t="s">
        <v>3986</v>
      </c>
      <c r="D1315" s="1">
        <v>40471</v>
      </c>
      <c r="E1315" s="1">
        <v>44293</v>
      </c>
      <c r="F1315" s="1">
        <v>44298</v>
      </c>
      <c r="G1315">
        <v>5</v>
      </c>
      <c r="H1315">
        <v>95.38</v>
      </c>
      <c r="I1315">
        <v>1144.56</v>
      </c>
      <c r="J1315">
        <v>5000</v>
      </c>
      <c r="K1315" t="s">
        <v>27</v>
      </c>
      <c r="L1315">
        <v>5000</v>
      </c>
      <c r="M1315">
        <v>3.17</v>
      </c>
      <c r="N1315" t="s">
        <v>28</v>
      </c>
      <c r="O1315">
        <v>38</v>
      </c>
      <c r="P1315">
        <v>62</v>
      </c>
      <c r="Q1315">
        <v>0</v>
      </c>
      <c r="R1315">
        <v>6</v>
      </c>
      <c r="S1315" t="s">
        <v>29</v>
      </c>
      <c r="T1315" t="s">
        <v>50</v>
      </c>
      <c r="U1315" t="s">
        <v>51</v>
      </c>
      <c r="V1315" t="s">
        <v>45</v>
      </c>
      <c r="W1315">
        <v>1</v>
      </c>
      <c r="X1315">
        <v>1</v>
      </c>
      <c r="Y1315" s="2">
        <f>Table1[[#This Row],[premium_yearly]]*Table1[[#This Row],[tenure_years]]</f>
        <v>3628.2551999999996</v>
      </c>
      <c r="Z1315" s="2">
        <f>Table1[[#This Row],[total_collected_premiums]]*(1-$AD$2)</f>
        <v>2648.6262959999995</v>
      </c>
      <c r="AA1315" s="2">
        <f>Table1[[#This Row],[retained_premium]]-Table1[[#This Row],[claim_amount_paid]]</f>
        <v>-2351.3737040000005</v>
      </c>
    </row>
    <row r="1316" spans="1:27" x14ac:dyDescent="0.35">
      <c r="A1316" t="s">
        <v>3987</v>
      </c>
      <c r="B1316" t="s">
        <v>3988</v>
      </c>
      <c r="C1316" t="s">
        <v>3989</v>
      </c>
      <c r="D1316" s="1">
        <v>40387</v>
      </c>
      <c r="E1316" s="1">
        <v>44312</v>
      </c>
      <c r="F1316" s="1">
        <v>44312</v>
      </c>
      <c r="G1316">
        <v>0</v>
      </c>
      <c r="H1316">
        <v>123.38</v>
      </c>
      <c r="I1316">
        <v>1480.56</v>
      </c>
      <c r="J1316">
        <v>3000</v>
      </c>
      <c r="K1316" t="s">
        <v>27</v>
      </c>
      <c r="L1316">
        <v>3000</v>
      </c>
      <c r="M1316">
        <v>3</v>
      </c>
      <c r="N1316" t="s">
        <v>28</v>
      </c>
      <c r="O1316">
        <v>36</v>
      </c>
      <c r="P1316">
        <v>47</v>
      </c>
      <c r="Q1316">
        <v>0</v>
      </c>
      <c r="R1316">
        <v>3</v>
      </c>
      <c r="S1316" t="s">
        <v>65</v>
      </c>
      <c r="T1316" t="s">
        <v>50</v>
      </c>
      <c r="U1316" t="s">
        <v>58</v>
      </c>
      <c r="V1316" t="s">
        <v>45</v>
      </c>
      <c r="W1316">
        <v>1</v>
      </c>
      <c r="X1316">
        <v>1</v>
      </c>
      <c r="Y1316" s="2">
        <f>Table1[[#This Row],[premium_yearly]]*Table1[[#This Row],[tenure_years]]</f>
        <v>4441.68</v>
      </c>
      <c r="Z1316" s="2">
        <f>Table1[[#This Row],[total_collected_premiums]]*(1-$AD$2)</f>
        <v>3242.4264000000003</v>
      </c>
      <c r="AA1316" s="2">
        <f>Table1[[#This Row],[retained_premium]]-Table1[[#This Row],[claim_amount_paid]]</f>
        <v>242.42640000000029</v>
      </c>
    </row>
    <row r="1317" spans="1:27" x14ac:dyDescent="0.35">
      <c r="A1317" t="s">
        <v>3990</v>
      </c>
      <c r="B1317" t="s">
        <v>3991</v>
      </c>
      <c r="C1317" t="s">
        <v>3992</v>
      </c>
      <c r="D1317" s="1">
        <v>43598</v>
      </c>
      <c r="E1317" s="1">
        <v>44293</v>
      </c>
      <c r="F1317" s="1">
        <v>44298</v>
      </c>
      <c r="G1317">
        <v>5</v>
      </c>
      <c r="H1317">
        <v>119.12</v>
      </c>
      <c r="I1317">
        <v>1429.44</v>
      </c>
      <c r="J1317">
        <v>6000</v>
      </c>
      <c r="K1317" t="s">
        <v>27</v>
      </c>
      <c r="L1317">
        <v>6000</v>
      </c>
      <c r="M1317">
        <v>9.92</v>
      </c>
      <c r="N1317" t="s">
        <v>36</v>
      </c>
      <c r="O1317">
        <v>119</v>
      </c>
      <c r="P1317">
        <v>36</v>
      </c>
      <c r="Q1317">
        <v>0</v>
      </c>
      <c r="R1317">
        <v>5</v>
      </c>
      <c r="S1317" t="s">
        <v>65</v>
      </c>
      <c r="T1317" t="s">
        <v>44</v>
      </c>
      <c r="U1317" t="s">
        <v>38</v>
      </c>
      <c r="V1317" t="s">
        <v>32</v>
      </c>
      <c r="W1317">
        <v>1</v>
      </c>
      <c r="X1317">
        <v>1</v>
      </c>
      <c r="Y1317" s="2">
        <f>Table1[[#This Row],[premium_yearly]]*Table1[[#This Row],[tenure_years]]</f>
        <v>14180.0448</v>
      </c>
      <c r="Z1317" s="2">
        <f>Table1[[#This Row],[total_collected_premiums]]*(1-$AD$2)</f>
        <v>10351.432703999999</v>
      </c>
      <c r="AA1317" s="2">
        <f>Table1[[#This Row],[retained_premium]]-Table1[[#This Row],[claim_amount_paid]]</f>
        <v>4351.4327039999989</v>
      </c>
    </row>
    <row r="1318" spans="1:27" x14ac:dyDescent="0.35">
      <c r="A1318" t="s">
        <v>3993</v>
      </c>
      <c r="B1318" t="s">
        <v>3994</v>
      </c>
      <c r="C1318" t="s">
        <v>3995</v>
      </c>
      <c r="D1318" s="1">
        <v>41618</v>
      </c>
      <c r="E1318" s="1">
        <v>44311</v>
      </c>
      <c r="F1318" s="1">
        <v>44311</v>
      </c>
      <c r="G1318">
        <v>0</v>
      </c>
      <c r="H1318">
        <v>88.97</v>
      </c>
      <c r="I1318">
        <v>1067.6400000000001</v>
      </c>
      <c r="J1318">
        <v>10000</v>
      </c>
      <c r="K1318" t="s">
        <v>27</v>
      </c>
      <c r="L1318">
        <v>10000</v>
      </c>
      <c r="M1318">
        <v>5.92</v>
      </c>
      <c r="N1318" t="s">
        <v>36</v>
      </c>
      <c r="O1318">
        <v>71</v>
      </c>
      <c r="P1318">
        <v>31</v>
      </c>
      <c r="Q1318">
        <v>0</v>
      </c>
      <c r="R1318">
        <v>5</v>
      </c>
      <c r="S1318" t="s">
        <v>29</v>
      </c>
      <c r="T1318" t="s">
        <v>30</v>
      </c>
      <c r="U1318" t="s">
        <v>38</v>
      </c>
      <c r="V1318" t="s">
        <v>45</v>
      </c>
      <c r="W1318">
        <v>1</v>
      </c>
      <c r="X1318">
        <v>1</v>
      </c>
      <c r="Y1318" s="2">
        <f>Table1[[#This Row],[premium_yearly]]*Table1[[#This Row],[tenure_years]]</f>
        <v>6320.4288000000006</v>
      </c>
      <c r="Z1318" s="2">
        <f>Table1[[#This Row],[total_collected_premiums]]*(1-$AD$2)</f>
        <v>4613.9130240000004</v>
      </c>
      <c r="AA1318" s="2">
        <f>Table1[[#This Row],[retained_premium]]-Table1[[#This Row],[claim_amount_paid]]</f>
        <v>-5386.0869759999996</v>
      </c>
    </row>
    <row r="1319" spans="1:27" x14ac:dyDescent="0.35">
      <c r="A1319" t="s">
        <v>3996</v>
      </c>
      <c r="B1319" t="s">
        <v>3997</v>
      </c>
      <c r="C1319" t="s">
        <v>3998</v>
      </c>
      <c r="D1319" s="1">
        <v>42302</v>
      </c>
      <c r="E1319" s="1">
        <v>44294</v>
      </c>
      <c r="F1319" s="1">
        <v>44299</v>
      </c>
      <c r="G1319">
        <v>5</v>
      </c>
      <c r="H1319">
        <v>71.38</v>
      </c>
      <c r="I1319">
        <v>856.56</v>
      </c>
      <c r="J1319">
        <v>6000</v>
      </c>
      <c r="K1319" t="s">
        <v>27</v>
      </c>
      <c r="L1319">
        <v>6000</v>
      </c>
      <c r="M1319">
        <v>9</v>
      </c>
      <c r="N1319" t="s">
        <v>28</v>
      </c>
      <c r="O1319">
        <v>108</v>
      </c>
      <c r="P1319">
        <v>53</v>
      </c>
      <c r="Q1319">
        <v>0</v>
      </c>
      <c r="R1319">
        <v>3</v>
      </c>
      <c r="S1319" t="s">
        <v>65</v>
      </c>
      <c r="T1319" t="s">
        <v>30</v>
      </c>
      <c r="U1319" t="s">
        <v>58</v>
      </c>
      <c r="V1319" t="s">
        <v>39</v>
      </c>
      <c r="W1319">
        <v>1</v>
      </c>
      <c r="X1319">
        <v>1</v>
      </c>
      <c r="Y1319" s="2">
        <f>Table1[[#This Row],[premium_yearly]]*Table1[[#This Row],[tenure_years]]</f>
        <v>7709.0399999999991</v>
      </c>
      <c r="Z1319" s="2">
        <f>Table1[[#This Row],[total_collected_premiums]]*(1-$AD$2)</f>
        <v>5627.5991999999987</v>
      </c>
      <c r="AA1319" s="2">
        <f>Table1[[#This Row],[retained_premium]]-Table1[[#This Row],[claim_amount_paid]]</f>
        <v>-372.40080000000125</v>
      </c>
    </row>
    <row r="1320" spans="1:27" x14ac:dyDescent="0.35">
      <c r="A1320" t="s">
        <v>3999</v>
      </c>
      <c r="B1320" t="s">
        <v>4000</v>
      </c>
      <c r="C1320" t="s">
        <v>4001</v>
      </c>
      <c r="D1320" s="1">
        <v>43577</v>
      </c>
      <c r="E1320" s="1">
        <v>44305</v>
      </c>
      <c r="F1320" s="1">
        <v>44308</v>
      </c>
      <c r="G1320">
        <v>3</v>
      </c>
      <c r="H1320">
        <v>138.76</v>
      </c>
      <c r="I1320">
        <v>1665.12</v>
      </c>
      <c r="J1320">
        <v>3000</v>
      </c>
      <c r="K1320" t="s">
        <v>43</v>
      </c>
      <c r="L1320">
        <v>0</v>
      </c>
      <c r="M1320">
        <v>1.75</v>
      </c>
      <c r="N1320" t="s">
        <v>28</v>
      </c>
      <c r="O1320">
        <v>21</v>
      </c>
      <c r="P1320">
        <v>57</v>
      </c>
      <c r="Q1320">
        <v>1</v>
      </c>
      <c r="R1320">
        <v>7</v>
      </c>
      <c r="S1320" t="s">
        <v>65</v>
      </c>
      <c r="T1320" t="s">
        <v>30</v>
      </c>
      <c r="U1320" t="s">
        <v>38</v>
      </c>
      <c r="V1320" t="s">
        <v>32</v>
      </c>
      <c r="W1320">
        <v>1</v>
      </c>
      <c r="X1320">
        <v>1</v>
      </c>
      <c r="Y1320" s="2">
        <f>Table1[[#This Row],[premium_yearly]]*Table1[[#This Row],[tenure_years]]</f>
        <v>2913.96</v>
      </c>
      <c r="Z1320" s="2">
        <f>Table1[[#This Row],[total_collected_premiums]]*(1-$AD$2)</f>
        <v>2127.1907999999999</v>
      </c>
      <c r="AA1320" s="2">
        <f>Table1[[#This Row],[retained_premium]]-Table1[[#This Row],[claim_amount_paid]]</f>
        <v>2127.1907999999999</v>
      </c>
    </row>
    <row r="1321" spans="1:27" x14ac:dyDescent="0.35">
      <c r="A1321" t="s">
        <v>4002</v>
      </c>
      <c r="B1321" t="s">
        <v>4003</v>
      </c>
      <c r="C1321" t="s">
        <v>4004</v>
      </c>
      <c r="D1321" s="1">
        <v>43692</v>
      </c>
      <c r="E1321" s="1">
        <v>44311</v>
      </c>
      <c r="F1321" s="1">
        <v>44312</v>
      </c>
      <c r="G1321">
        <v>1</v>
      </c>
      <c r="H1321">
        <v>87.05</v>
      </c>
      <c r="I1321">
        <v>1044.5999999999999</v>
      </c>
      <c r="J1321">
        <v>2000</v>
      </c>
      <c r="K1321" t="s">
        <v>27</v>
      </c>
      <c r="L1321">
        <v>2000</v>
      </c>
      <c r="M1321">
        <v>9.75</v>
      </c>
      <c r="N1321" t="s">
        <v>28</v>
      </c>
      <c r="O1321">
        <v>117</v>
      </c>
      <c r="P1321">
        <v>47</v>
      </c>
      <c r="Q1321">
        <v>1</v>
      </c>
      <c r="R1321">
        <v>2</v>
      </c>
      <c r="S1321" t="s">
        <v>29</v>
      </c>
      <c r="T1321" t="s">
        <v>50</v>
      </c>
      <c r="U1321" t="s">
        <v>51</v>
      </c>
      <c r="V1321" t="s">
        <v>32</v>
      </c>
      <c r="W1321">
        <v>1</v>
      </c>
      <c r="X1321">
        <v>1</v>
      </c>
      <c r="Y1321" s="2">
        <f>Table1[[#This Row],[premium_yearly]]*Table1[[#This Row],[tenure_years]]</f>
        <v>10184.849999999999</v>
      </c>
      <c r="Z1321" s="2">
        <f>Table1[[#This Row],[total_collected_premiums]]*(1-$AD$2)</f>
        <v>7434.9404999999988</v>
      </c>
      <c r="AA1321" s="2">
        <f>Table1[[#This Row],[retained_premium]]-Table1[[#This Row],[claim_amount_paid]]</f>
        <v>5434.9404999999988</v>
      </c>
    </row>
    <row r="1322" spans="1:27" x14ac:dyDescent="0.35">
      <c r="A1322" t="s">
        <v>4005</v>
      </c>
      <c r="B1322" t="s">
        <v>4006</v>
      </c>
      <c r="C1322" t="s">
        <v>4007</v>
      </c>
      <c r="D1322" s="1">
        <v>42533</v>
      </c>
      <c r="E1322" s="1">
        <v>44313</v>
      </c>
      <c r="F1322" s="1">
        <v>44313</v>
      </c>
      <c r="G1322">
        <v>0</v>
      </c>
      <c r="H1322">
        <v>100.08</v>
      </c>
      <c r="I1322">
        <v>1200.96</v>
      </c>
      <c r="J1322">
        <v>1000</v>
      </c>
      <c r="K1322" t="s">
        <v>27</v>
      </c>
      <c r="L1322">
        <v>1000</v>
      </c>
      <c r="M1322">
        <v>2.25</v>
      </c>
      <c r="N1322" t="s">
        <v>36</v>
      </c>
      <c r="O1322">
        <v>27</v>
      </c>
      <c r="P1322">
        <v>47</v>
      </c>
      <c r="Q1322">
        <v>1</v>
      </c>
      <c r="R1322">
        <v>7</v>
      </c>
      <c r="S1322" t="s">
        <v>29</v>
      </c>
      <c r="T1322" t="s">
        <v>50</v>
      </c>
      <c r="U1322" t="s">
        <v>38</v>
      </c>
      <c r="V1322" t="s">
        <v>32</v>
      </c>
      <c r="W1322">
        <v>1</v>
      </c>
      <c r="X1322">
        <v>1</v>
      </c>
      <c r="Y1322" s="2">
        <f>Table1[[#This Row],[premium_yearly]]*Table1[[#This Row],[tenure_years]]</f>
        <v>2702.16</v>
      </c>
      <c r="Z1322" s="2">
        <f>Table1[[#This Row],[total_collected_premiums]]*(1-$AD$2)</f>
        <v>1972.5767999999998</v>
      </c>
      <c r="AA1322" s="2">
        <f>Table1[[#This Row],[retained_premium]]-Table1[[#This Row],[claim_amount_paid]]</f>
        <v>972.57679999999982</v>
      </c>
    </row>
    <row r="1323" spans="1:27" x14ac:dyDescent="0.35">
      <c r="A1323" t="s">
        <v>4008</v>
      </c>
      <c r="B1323" t="s">
        <v>4009</v>
      </c>
      <c r="C1323" t="s">
        <v>4010</v>
      </c>
      <c r="D1323" s="1">
        <v>42801</v>
      </c>
      <c r="E1323" s="1">
        <v>44299</v>
      </c>
      <c r="F1323" s="1">
        <v>44304</v>
      </c>
      <c r="G1323">
        <v>5</v>
      </c>
      <c r="H1323">
        <v>113.03</v>
      </c>
      <c r="I1323">
        <v>1356.36</v>
      </c>
      <c r="J1323">
        <v>2000</v>
      </c>
      <c r="K1323" t="s">
        <v>27</v>
      </c>
      <c r="L1323">
        <v>2000</v>
      </c>
      <c r="M1323">
        <v>8.08</v>
      </c>
      <c r="N1323" t="s">
        <v>49</v>
      </c>
      <c r="O1323">
        <v>97</v>
      </c>
      <c r="P1323">
        <v>61</v>
      </c>
      <c r="Q1323">
        <v>1</v>
      </c>
      <c r="R1323">
        <v>3</v>
      </c>
      <c r="S1323" t="s">
        <v>65</v>
      </c>
      <c r="T1323" t="s">
        <v>30</v>
      </c>
      <c r="U1323" t="s">
        <v>38</v>
      </c>
      <c r="V1323" t="s">
        <v>32</v>
      </c>
      <c r="W1323">
        <v>0</v>
      </c>
      <c r="X1323">
        <v>1</v>
      </c>
      <c r="Y1323" s="2">
        <f>Table1[[#This Row],[premium_yearly]]*Table1[[#This Row],[tenure_years]]</f>
        <v>10959.388799999999</v>
      </c>
      <c r="Z1323" s="2">
        <f>Table1[[#This Row],[total_collected_premiums]]*(1-$AD$2)</f>
        <v>8000.3538239999989</v>
      </c>
      <c r="AA1323" s="2">
        <f>Table1[[#This Row],[retained_premium]]-Table1[[#This Row],[claim_amount_paid]]</f>
        <v>6000.3538239999989</v>
      </c>
    </row>
    <row r="1324" spans="1:27" x14ac:dyDescent="0.35">
      <c r="A1324" t="s">
        <v>4011</v>
      </c>
      <c r="B1324" t="s">
        <v>4012</v>
      </c>
      <c r="C1324" t="s">
        <v>4013</v>
      </c>
      <c r="D1324" s="1">
        <v>42127</v>
      </c>
      <c r="E1324" s="1">
        <v>44296</v>
      </c>
      <c r="F1324" s="1">
        <v>44301</v>
      </c>
      <c r="G1324">
        <v>5</v>
      </c>
      <c r="H1324">
        <v>139.72</v>
      </c>
      <c r="I1324">
        <v>1676.64</v>
      </c>
      <c r="J1324">
        <v>4000</v>
      </c>
      <c r="K1324" t="s">
        <v>27</v>
      </c>
      <c r="L1324">
        <v>4000</v>
      </c>
      <c r="M1324">
        <v>9.42</v>
      </c>
      <c r="N1324" t="s">
        <v>49</v>
      </c>
      <c r="O1324">
        <v>113</v>
      </c>
      <c r="P1324">
        <v>41</v>
      </c>
      <c r="Q1324">
        <v>1</v>
      </c>
      <c r="R1324">
        <v>2</v>
      </c>
      <c r="S1324" t="s">
        <v>65</v>
      </c>
      <c r="T1324" t="s">
        <v>44</v>
      </c>
      <c r="U1324" t="s">
        <v>31</v>
      </c>
      <c r="V1324" t="s">
        <v>32</v>
      </c>
      <c r="W1324">
        <v>0</v>
      </c>
      <c r="X1324">
        <v>1</v>
      </c>
      <c r="Y1324" s="2">
        <f>Table1[[#This Row],[premium_yearly]]*Table1[[#This Row],[tenure_years]]</f>
        <v>15793.9488</v>
      </c>
      <c r="Z1324" s="2">
        <f>Table1[[#This Row],[total_collected_premiums]]*(1-$AD$2)</f>
        <v>11529.582624000001</v>
      </c>
      <c r="AA1324" s="2">
        <f>Table1[[#This Row],[retained_premium]]-Table1[[#This Row],[claim_amount_paid]]</f>
        <v>7529.5826240000006</v>
      </c>
    </row>
    <row r="1325" spans="1:27" x14ac:dyDescent="0.35">
      <c r="A1325" t="s">
        <v>4014</v>
      </c>
      <c r="B1325" t="s">
        <v>4015</v>
      </c>
      <c r="C1325" t="s">
        <v>4016</v>
      </c>
      <c r="D1325" s="1">
        <v>40814</v>
      </c>
      <c r="E1325" s="1">
        <v>44303</v>
      </c>
      <c r="F1325" s="1">
        <v>44308</v>
      </c>
      <c r="G1325">
        <v>5</v>
      </c>
      <c r="H1325">
        <v>124.91</v>
      </c>
      <c r="I1325">
        <v>1498.92</v>
      </c>
      <c r="J1325">
        <v>5000</v>
      </c>
      <c r="K1325" t="s">
        <v>27</v>
      </c>
      <c r="L1325">
        <v>5000</v>
      </c>
      <c r="M1325">
        <v>8.17</v>
      </c>
      <c r="N1325" t="s">
        <v>28</v>
      </c>
      <c r="O1325">
        <v>98</v>
      </c>
      <c r="P1325">
        <v>31</v>
      </c>
      <c r="Q1325">
        <v>1</v>
      </c>
      <c r="R1325">
        <v>3</v>
      </c>
      <c r="S1325" t="s">
        <v>65</v>
      </c>
      <c r="T1325" t="s">
        <v>30</v>
      </c>
      <c r="U1325" t="s">
        <v>38</v>
      </c>
      <c r="V1325" t="s">
        <v>32</v>
      </c>
      <c r="W1325">
        <v>1</v>
      </c>
      <c r="X1325">
        <v>1</v>
      </c>
      <c r="Y1325" s="2">
        <f>Table1[[#This Row],[premium_yearly]]*Table1[[#This Row],[tenure_years]]</f>
        <v>12246.1764</v>
      </c>
      <c r="Z1325" s="2">
        <f>Table1[[#This Row],[total_collected_premiums]]*(1-$AD$2)</f>
        <v>8939.708772</v>
      </c>
      <c r="AA1325" s="2">
        <f>Table1[[#This Row],[retained_premium]]-Table1[[#This Row],[claim_amount_paid]]</f>
        <v>3939.708772</v>
      </c>
    </row>
    <row r="1326" spans="1:27" x14ac:dyDescent="0.35">
      <c r="A1326" t="s">
        <v>4017</v>
      </c>
      <c r="B1326" t="s">
        <v>4018</v>
      </c>
      <c r="C1326" t="s">
        <v>4019</v>
      </c>
      <c r="D1326" s="1">
        <v>41635</v>
      </c>
      <c r="E1326" s="1">
        <v>44313</v>
      </c>
      <c r="F1326" s="1">
        <v>44313</v>
      </c>
      <c r="G1326">
        <v>0</v>
      </c>
      <c r="H1326">
        <v>128.24</v>
      </c>
      <c r="I1326">
        <v>1538.88</v>
      </c>
      <c r="J1326">
        <v>9000</v>
      </c>
      <c r="K1326" t="s">
        <v>27</v>
      </c>
      <c r="L1326">
        <v>9000</v>
      </c>
      <c r="M1326">
        <v>5.08</v>
      </c>
      <c r="N1326" t="s">
        <v>49</v>
      </c>
      <c r="O1326">
        <v>61</v>
      </c>
      <c r="P1326">
        <v>28</v>
      </c>
      <c r="Q1326">
        <v>1</v>
      </c>
      <c r="R1326">
        <v>2</v>
      </c>
      <c r="S1326" t="s">
        <v>65</v>
      </c>
      <c r="T1326" t="s">
        <v>44</v>
      </c>
      <c r="U1326" t="s">
        <v>38</v>
      </c>
      <c r="V1326" t="s">
        <v>32</v>
      </c>
      <c r="W1326">
        <v>1</v>
      </c>
      <c r="X1326">
        <v>1</v>
      </c>
      <c r="Y1326" s="2">
        <f>Table1[[#This Row],[premium_yearly]]*Table1[[#This Row],[tenure_years]]</f>
        <v>7817.510400000001</v>
      </c>
      <c r="Z1326" s="2">
        <f>Table1[[#This Row],[total_collected_premiums]]*(1-$AD$2)</f>
        <v>5706.7825920000005</v>
      </c>
      <c r="AA1326" s="2">
        <f>Table1[[#This Row],[retained_premium]]-Table1[[#This Row],[claim_amount_paid]]</f>
        <v>-3293.2174079999995</v>
      </c>
    </row>
    <row r="1327" spans="1:27" x14ac:dyDescent="0.35">
      <c r="A1327" t="s">
        <v>4020</v>
      </c>
      <c r="B1327" t="s">
        <v>4021</v>
      </c>
      <c r="C1327" t="s">
        <v>4022</v>
      </c>
      <c r="D1327" s="1">
        <v>41215</v>
      </c>
      <c r="E1327" s="1">
        <v>44313</v>
      </c>
      <c r="F1327" s="1">
        <v>44314</v>
      </c>
      <c r="G1327">
        <v>1</v>
      </c>
      <c r="H1327">
        <v>124.23</v>
      </c>
      <c r="I1327">
        <v>1490.76</v>
      </c>
      <c r="J1327">
        <v>6000</v>
      </c>
      <c r="K1327" t="s">
        <v>27</v>
      </c>
      <c r="L1327">
        <v>6000</v>
      </c>
      <c r="M1327">
        <v>6.58</v>
      </c>
      <c r="N1327" t="s">
        <v>49</v>
      </c>
      <c r="O1327">
        <v>79</v>
      </c>
      <c r="P1327">
        <v>34</v>
      </c>
      <c r="Q1327">
        <v>1</v>
      </c>
      <c r="R1327">
        <v>6</v>
      </c>
      <c r="S1327" t="s">
        <v>65</v>
      </c>
      <c r="T1327" t="s">
        <v>30</v>
      </c>
      <c r="U1327" t="s">
        <v>58</v>
      </c>
      <c r="V1327" t="s">
        <v>32</v>
      </c>
      <c r="W1327">
        <v>0</v>
      </c>
      <c r="X1327">
        <v>0</v>
      </c>
      <c r="Y1327" s="2">
        <f>Table1[[#This Row],[premium_yearly]]*Table1[[#This Row],[tenure_years]]</f>
        <v>9809.2008000000005</v>
      </c>
      <c r="Z1327" s="2">
        <f>Table1[[#This Row],[total_collected_premiums]]*(1-$AD$2)</f>
        <v>7160.7165839999998</v>
      </c>
      <c r="AA1327" s="2">
        <f>Table1[[#This Row],[retained_premium]]-Table1[[#This Row],[claim_amount_paid]]</f>
        <v>1160.7165839999998</v>
      </c>
    </row>
    <row r="1328" spans="1:27" x14ac:dyDescent="0.35">
      <c r="A1328" t="s">
        <v>4023</v>
      </c>
      <c r="B1328" t="s">
        <v>4024</v>
      </c>
      <c r="C1328" t="s">
        <v>4025</v>
      </c>
      <c r="D1328" s="1">
        <v>42537</v>
      </c>
      <c r="E1328" s="1">
        <v>44299</v>
      </c>
      <c r="F1328" s="1">
        <v>44304</v>
      </c>
      <c r="G1328">
        <v>5</v>
      </c>
      <c r="H1328">
        <v>125.16</v>
      </c>
      <c r="I1328">
        <v>1501.92</v>
      </c>
      <c r="J1328">
        <v>1000</v>
      </c>
      <c r="K1328" t="s">
        <v>27</v>
      </c>
      <c r="L1328">
        <v>1000</v>
      </c>
      <c r="M1328">
        <v>9.42</v>
      </c>
      <c r="N1328" t="s">
        <v>49</v>
      </c>
      <c r="O1328">
        <v>113</v>
      </c>
      <c r="P1328">
        <v>52</v>
      </c>
      <c r="Q1328">
        <v>1</v>
      </c>
      <c r="R1328">
        <v>7</v>
      </c>
      <c r="S1328" t="s">
        <v>37</v>
      </c>
      <c r="T1328" t="s">
        <v>50</v>
      </c>
      <c r="U1328" t="s">
        <v>38</v>
      </c>
      <c r="V1328" t="s">
        <v>45</v>
      </c>
      <c r="W1328">
        <v>1</v>
      </c>
      <c r="X1328">
        <v>1</v>
      </c>
      <c r="Y1328" s="2">
        <f>Table1[[#This Row],[premium_yearly]]*Table1[[#This Row],[tenure_years]]</f>
        <v>14148.0864</v>
      </c>
      <c r="Z1328" s="2">
        <f>Table1[[#This Row],[total_collected_premiums]]*(1-$AD$2)</f>
        <v>10328.103072</v>
      </c>
      <c r="AA1328" s="2">
        <f>Table1[[#This Row],[retained_premium]]-Table1[[#This Row],[claim_amount_paid]]</f>
        <v>9328.1030719999999</v>
      </c>
    </row>
    <row r="1329" spans="1:27" x14ac:dyDescent="0.35">
      <c r="A1329" t="s">
        <v>4026</v>
      </c>
      <c r="B1329" t="s">
        <v>4027</v>
      </c>
      <c r="C1329" t="s">
        <v>4028</v>
      </c>
      <c r="D1329" s="1">
        <v>43233</v>
      </c>
      <c r="E1329" s="1">
        <v>44306</v>
      </c>
      <c r="F1329" s="1">
        <v>44311</v>
      </c>
      <c r="G1329">
        <v>5</v>
      </c>
      <c r="H1329">
        <v>132.13999999999999</v>
      </c>
      <c r="I1329">
        <v>1585.68</v>
      </c>
      <c r="J1329">
        <v>6000</v>
      </c>
      <c r="K1329" t="s">
        <v>27</v>
      </c>
      <c r="L1329">
        <v>6000</v>
      </c>
      <c r="M1329">
        <v>1.67</v>
      </c>
      <c r="N1329" t="s">
        <v>49</v>
      </c>
      <c r="O1329">
        <v>20</v>
      </c>
      <c r="P1329">
        <v>53</v>
      </c>
      <c r="Q1329">
        <v>1</v>
      </c>
      <c r="R1329">
        <v>6</v>
      </c>
      <c r="S1329" t="s">
        <v>29</v>
      </c>
      <c r="T1329" t="s">
        <v>30</v>
      </c>
      <c r="U1329" t="s">
        <v>31</v>
      </c>
      <c r="V1329" t="s">
        <v>45</v>
      </c>
      <c r="W1329">
        <v>0</v>
      </c>
      <c r="X1329">
        <v>0</v>
      </c>
      <c r="Y1329" s="2">
        <f>Table1[[#This Row],[premium_yearly]]*Table1[[#This Row],[tenure_years]]</f>
        <v>2648.0855999999999</v>
      </c>
      <c r="Z1329" s="2">
        <f>Table1[[#This Row],[total_collected_premiums]]*(1-$AD$2)</f>
        <v>1933.1024879999998</v>
      </c>
      <c r="AA1329" s="2">
        <f>Table1[[#This Row],[retained_premium]]-Table1[[#This Row],[claim_amount_paid]]</f>
        <v>-4066.8975120000005</v>
      </c>
    </row>
    <row r="1330" spans="1:27" x14ac:dyDescent="0.35">
      <c r="A1330" t="s">
        <v>4029</v>
      </c>
      <c r="B1330" t="s">
        <v>4030</v>
      </c>
      <c r="C1330" t="s">
        <v>4031</v>
      </c>
      <c r="D1330" s="1">
        <v>41288</v>
      </c>
      <c r="E1330" s="1">
        <v>44315</v>
      </c>
      <c r="F1330" s="1">
        <v>44315</v>
      </c>
      <c r="G1330">
        <v>0</v>
      </c>
      <c r="H1330">
        <v>78.83</v>
      </c>
      <c r="I1330">
        <v>945.96</v>
      </c>
      <c r="J1330">
        <v>5000</v>
      </c>
      <c r="K1330" t="s">
        <v>27</v>
      </c>
      <c r="L1330">
        <v>5000</v>
      </c>
      <c r="M1330">
        <v>6.75</v>
      </c>
      <c r="N1330" t="s">
        <v>36</v>
      </c>
      <c r="O1330">
        <v>81</v>
      </c>
      <c r="P1330">
        <v>32</v>
      </c>
      <c r="Q1330">
        <v>1</v>
      </c>
      <c r="R1330">
        <v>3</v>
      </c>
      <c r="S1330" t="s">
        <v>29</v>
      </c>
      <c r="T1330" t="s">
        <v>30</v>
      </c>
      <c r="U1330" t="s">
        <v>38</v>
      </c>
      <c r="V1330" t="s">
        <v>32</v>
      </c>
      <c r="W1330">
        <v>1</v>
      </c>
      <c r="X1330">
        <v>1</v>
      </c>
      <c r="Y1330" s="2">
        <f>Table1[[#This Row],[premium_yearly]]*Table1[[#This Row],[tenure_years]]</f>
        <v>6385.2300000000005</v>
      </c>
      <c r="Z1330" s="2">
        <f>Table1[[#This Row],[total_collected_premiums]]*(1-$AD$2)</f>
        <v>4661.2179000000006</v>
      </c>
      <c r="AA1330" s="2">
        <f>Table1[[#This Row],[retained_premium]]-Table1[[#This Row],[claim_amount_paid]]</f>
        <v>-338.78209999999945</v>
      </c>
    </row>
    <row r="1331" spans="1:27" x14ac:dyDescent="0.35">
      <c r="A1331" t="s">
        <v>4032</v>
      </c>
      <c r="B1331" t="s">
        <v>4033</v>
      </c>
      <c r="C1331" t="s">
        <v>4034</v>
      </c>
      <c r="D1331" s="1">
        <v>41794</v>
      </c>
      <c r="E1331" s="1">
        <v>44301</v>
      </c>
      <c r="F1331" s="1">
        <v>44306</v>
      </c>
      <c r="G1331">
        <v>5</v>
      </c>
      <c r="H1331">
        <v>82.78</v>
      </c>
      <c r="I1331">
        <v>993.36</v>
      </c>
      <c r="J1331">
        <v>8000</v>
      </c>
      <c r="K1331" t="s">
        <v>27</v>
      </c>
      <c r="L1331">
        <v>8000</v>
      </c>
      <c r="M1331">
        <v>1.92</v>
      </c>
      <c r="N1331" t="s">
        <v>36</v>
      </c>
      <c r="O1331">
        <v>23</v>
      </c>
      <c r="P1331">
        <v>27</v>
      </c>
      <c r="Q1331">
        <v>1</v>
      </c>
      <c r="R1331">
        <v>5</v>
      </c>
      <c r="S1331" t="s">
        <v>37</v>
      </c>
      <c r="T1331" t="s">
        <v>30</v>
      </c>
      <c r="U1331" t="s">
        <v>38</v>
      </c>
      <c r="V1331" t="s">
        <v>39</v>
      </c>
      <c r="W1331">
        <v>1</v>
      </c>
      <c r="X1331">
        <v>0</v>
      </c>
      <c r="Y1331" s="2">
        <f>Table1[[#This Row],[premium_yearly]]*Table1[[#This Row],[tenure_years]]</f>
        <v>1907.2511999999999</v>
      </c>
      <c r="Z1331" s="2">
        <f>Table1[[#This Row],[total_collected_premiums]]*(1-$AD$2)</f>
        <v>1392.2933759999999</v>
      </c>
      <c r="AA1331" s="2">
        <f>Table1[[#This Row],[retained_premium]]-Table1[[#This Row],[claim_amount_paid]]</f>
        <v>-6607.7066240000004</v>
      </c>
    </row>
    <row r="1332" spans="1:27" x14ac:dyDescent="0.35">
      <c r="A1332" t="s">
        <v>4035</v>
      </c>
      <c r="B1332" t="s">
        <v>4036</v>
      </c>
      <c r="C1332" t="s">
        <v>4037</v>
      </c>
      <c r="D1332" s="1">
        <v>42383</v>
      </c>
      <c r="E1332" s="1">
        <v>44308</v>
      </c>
      <c r="F1332" s="1">
        <v>44311</v>
      </c>
      <c r="G1332">
        <v>3</v>
      </c>
      <c r="H1332">
        <v>121.26</v>
      </c>
      <c r="I1332">
        <v>1455.12</v>
      </c>
      <c r="J1332">
        <v>8000</v>
      </c>
      <c r="K1332" t="s">
        <v>27</v>
      </c>
      <c r="L1332">
        <v>8000</v>
      </c>
      <c r="M1332">
        <v>7.75</v>
      </c>
      <c r="N1332" t="s">
        <v>28</v>
      </c>
      <c r="O1332">
        <v>93</v>
      </c>
      <c r="P1332">
        <v>31</v>
      </c>
      <c r="Q1332">
        <v>0</v>
      </c>
      <c r="R1332">
        <v>2</v>
      </c>
      <c r="S1332" t="s">
        <v>37</v>
      </c>
      <c r="T1332" t="s">
        <v>30</v>
      </c>
      <c r="U1332" t="s">
        <v>38</v>
      </c>
      <c r="V1332" t="s">
        <v>32</v>
      </c>
      <c r="W1332">
        <v>1</v>
      </c>
      <c r="X1332">
        <v>0</v>
      </c>
      <c r="Y1332" s="2">
        <f>Table1[[#This Row],[premium_yearly]]*Table1[[#This Row],[tenure_years]]</f>
        <v>11277.179999999998</v>
      </c>
      <c r="Z1332" s="2">
        <f>Table1[[#This Row],[total_collected_premiums]]*(1-$AD$2)</f>
        <v>8232.3413999999993</v>
      </c>
      <c r="AA1332" s="2">
        <f>Table1[[#This Row],[retained_premium]]-Table1[[#This Row],[claim_amount_paid]]</f>
        <v>232.34139999999934</v>
      </c>
    </row>
    <row r="1333" spans="1:27" x14ac:dyDescent="0.35">
      <c r="A1333" t="s">
        <v>4038</v>
      </c>
      <c r="B1333" t="s">
        <v>4039</v>
      </c>
      <c r="C1333" t="s">
        <v>4040</v>
      </c>
      <c r="D1333" s="1">
        <v>42266</v>
      </c>
      <c r="E1333" s="1">
        <v>44311</v>
      </c>
      <c r="F1333" s="1">
        <v>44313</v>
      </c>
      <c r="G1333">
        <v>2</v>
      </c>
      <c r="H1333">
        <v>135.07</v>
      </c>
      <c r="I1333">
        <v>1620.84</v>
      </c>
      <c r="J1333">
        <v>10000</v>
      </c>
      <c r="K1333" t="s">
        <v>43</v>
      </c>
      <c r="L1333">
        <v>0</v>
      </c>
      <c r="M1333">
        <v>6.67</v>
      </c>
      <c r="N1333" t="s">
        <v>49</v>
      </c>
      <c r="O1333">
        <v>80</v>
      </c>
      <c r="P1333">
        <v>41</v>
      </c>
      <c r="Q1333">
        <v>1</v>
      </c>
      <c r="R1333">
        <v>4</v>
      </c>
      <c r="S1333" t="s">
        <v>29</v>
      </c>
      <c r="T1333" t="s">
        <v>30</v>
      </c>
      <c r="U1333" t="s">
        <v>38</v>
      </c>
      <c r="V1333" t="s">
        <v>39</v>
      </c>
      <c r="W1333">
        <v>0</v>
      </c>
      <c r="X1333">
        <v>1</v>
      </c>
      <c r="Y1333" s="2">
        <f>Table1[[#This Row],[premium_yearly]]*Table1[[#This Row],[tenure_years]]</f>
        <v>10811.0028</v>
      </c>
      <c r="Z1333" s="2">
        <f>Table1[[#This Row],[total_collected_premiums]]*(1-$AD$2)</f>
        <v>7892.0320439999996</v>
      </c>
      <c r="AA1333" s="2">
        <f>Table1[[#This Row],[retained_premium]]-Table1[[#This Row],[claim_amount_paid]]</f>
        <v>7892.0320439999996</v>
      </c>
    </row>
    <row r="1334" spans="1:27" x14ac:dyDescent="0.35">
      <c r="A1334" t="s">
        <v>4041</v>
      </c>
      <c r="B1334" t="s">
        <v>4042</v>
      </c>
      <c r="C1334" t="s">
        <v>4043</v>
      </c>
      <c r="D1334" s="1">
        <v>42067</v>
      </c>
      <c r="E1334" s="1">
        <v>44312</v>
      </c>
      <c r="F1334" s="1">
        <v>44314</v>
      </c>
      <c r="G1334">
        <v>2</v>
      </c>
      <c r="H1334">
        <v>93.55</v>
      </c>
      <c r="I1334">
        <v>1122.5999999999999</v>
      </c>
      <c r="J1334">
        <v>10000</v>
      </c>
      <c r="K1334" t="s">
        <v>27</v>
      </c>
      <c r="L1334">
        <v>10000</v>
      </c>
      <c r="M1334">
        <v>8.42</v>
      </c>
      <c r="N1334" t="s">
        <v>28</v>
      </c>
      <c r="O1334">
        <v>101</v>
      </c>
      <c r="P1334">
        <v>36</v>
      </c>
      <c r="Q1334">
        <v>1</v>
      </c>
      <c r="R1334">
        <v>3</v>
      </c>
      <c r="S1334" t="s">
        <v>65</v>
      </c>
      <c r="T1334" t="s">
        <v>30</v>
      </c>
      <c r="U1334" t="s">
        <v>31</v>
      </c>
      <c r="V1334" t="s">
        <v>39</v>
      </c>
      <c r="W1334">
        <v>0</v>
      </c>
      <c r="X1334">
        <v>0</v>
      </c>
      <c r="Y1334" s="2">
        <f>Table1[[#This Row],[premium_yearly]]*Table1[[#This Row],[tenure_years]]</f>
        <v>9452.2919999999995</v>
      </c>
      <c r="Z1334" s="2">
        <f>Table1[[#This Row],[total_collected_premiums]]*(1-$AD$2)</f>
        <v>6900.1731599999994</v>
      </c>
      <c r="AA1334" s="2">
        <f>Table1[[#This Row],[retained_premium]]-Table1[[#This Row],[claim_amount_paid]]</f>
        <v>-3099.8268400000006</v>
      </c>
    </row>
    <row r="1335" spans="1:27" x14ac:dyDescent="0.35">
      <c r="A1335" t="s">
        <v>4044</v>
      </c>
      <c r="B1335" t="s">
        <v>4045</v>
      </c>
      <c r="C1335" t="s">
        <v>4046</v>
      </c>
      <c r="D1335" s="1">
        <v>42298</v>
      </c>
      <c r="E1335" s="1">
        <v>44312</v>
      </c>
      <c r="F1335" s="1">
        <v>44314</v>
      </c>
      <c r="G1335">
        <v>2</v>
      </c>
      <c r="H1335">
        <v>86.82</v>
      </c>
      <c r="I1335">
        <v>1041.8399999999999</v>
      </c>
      <c r="J1335">
        <v>4000</v>
      </c>
      <c r="K1335" t="s">
        <v>27</v>
      </c>
      <c r="L1335">
        <v>4000</v>
      </c>
      <c r="M1335">
        <v>6.67</v>
      </c>
      <c r="N1335" t="s">
        <v>49</v>
      </c>
      <c r="O1335">
        <v>80</v>
      </c>
      <c r="P1335">
        <v>43</v>
      </c>
      <c r="Q1335">
        <v>1</v>
      </c>
      <c r="R1335">
        <v>5</v>
      </c>
      <c r="S1335" t="s">
        <v>65</v>
      </c>
      <c r="T1335" t="s">
        <v>44</v>
      </c>
      <c r="U1335" t="s">
        <v>31</v>
      </c>
      <c r="V1335" t="s">
        <v>45</v>
      </c>
      <c r="W1335">
        <v>1</v>
      </c>
      <c r="X1335">
        <v>1</v>
      </c>
      <c r="Y1335" s="2">
        <f>Table1[[#This Row],[premium_yearly]]*Table1[[#This Row],[tenure_years]]</f>
        <v>6949.072799999999</v>
      </c>
      <c r="Z1335" s="2">
        <f>Table1[[#This Row],[total_collected_premiums]]*(1-$AD$2)</f>
        <v>5072.823143999999</v>
      </c>
      <c r="AA1335" s="2">
        <f>Table1[[#This Row],[retained_premium]]-Table1[[#This Row],[claim_amount_paid]]</f>
        <v>1072.823143999999</v>
      </c>
    </row>
    <row r="1336" spans="1:27" x14ac:dyDescent="0.35">
      <c r="A1336" t="s">
        <v>4047</v>
      </c>
      <c r="B1336" t="s">
        <v>4048</v>
      </c>
      <c r="C1336" t="s">
        <v>4049</v>
      </c>
      <c r="D1336" s="1">
        <v>42043</v>
      </c>
      <c r="E1336" s="1">
        <v>44308</v>
      </c>
      <c r="F1336" s="1">
        <v>44313</v>
      </c>
      <c r="G1336">
        <v>5</v>
      </c>
      <c r="H1336">
        <v>94.34</v>
      </c>
      <c r="I1336">
        <v>1132.08</v>
      </c>
      <c r="J1336">
        <v>8000</v>
      </c>
      <c r="K1336" t="s">
        <v>27</v>
      </c>
      <c r="L1336">
        <v>8000</v>
      </c>
      <c r="M1336">
        <v>6.33</v>
      </c>
      <c r="N1336" t="s">
        <v>36</v>
      </c>
      <c r="O1336">
        <v>76</v>
      </c>
      <c r="P1336">
        <v>36</v>
      </c>
      <c r="Q1336">
        <v>1</v>
      </c>
      <c r="R1336">
        <v>4</v>
      </c>
      <c r="S1336" t="s">
        <v>37</v>
      </c>
      <c r="T1336" t="s">
        <v>44</v>
      </c>
      <c r="U1336" t="s">
        <v>58</v>
      </c>
      <c r="V1336" t="s">
        <v>45</v>
      </c>
      <c r="W1336">
        <v>1</v>
      </c>
      <c r="X1336">
        <v>1</v>
      </c>
      <c r="Y1336" s="2">
        <f>Table1[[#This Row],[premium_yearly]]*Table1[[#This Row],[tenure_years]]</f>
        <v>7166.0663999999997</v>
      </c>
      <c r="Z1336" s="2">
        <f>Table1[[#This Row],[total_collected_premiums]]*(1-$AD$2)</f>
        <v>5231.2284719999998</v>
      </c>
      <c r="AA1336" s="2">
        <f>Table1[[#This Row],[retained_premium]]-Table1[[#This Row],[claim_amount_paid]]</f>
        <v>-2768.7715280000002</v>
      </c>
    </row>
    <row r="1337" spans="1:27" x14ac:dyDescent="0.35">
      <c r="A1337" t="s">
        <v>4050</v>
      </c>
      <c r="B1337" t="s">
        <v>4051</v>
      </c>
      <c r="C1337" t="s">
        <v>4052</v>
      </c>
      <c r="D1337" s="1">
        <v>41188</v>
      </c>
      <c r="E1337" s="1">
        <v>44310</v>
      </c>
      <c r="F1337" s="1">
        <v>44313</v>
      </c>
      <c r="G1337">
        <v>3</v>
      </c>
      <c r="H1337">
        <v>98.16</v>
      </c>
      <c r="I1337">
        <v>1177.92</v>
      </c>
      <c r="J1337">
        <v>8000</v>
      </c>
      <c r="K1337" t="s">
        <v>27</v>
      </c>
      <c r="L1337">
        <v>8000</v>
      </c>
      <c r="M1337">
        <v>9.25</v>
      </c>
      <c r="N1337" t="s">
        <v>49</v>
      </c>
      <c r="O1337">
        <v>111</v>
      </c>
      <c r="P1337">
        <v>51</v>
      </c>
      <c r="Q1337">
        <v>1</v>
      </c>
      <c r="R1337">
        <v>4</v>
      </c>
      <c r="S1337" t="s">
        <v>29</v>
      </c>
      <c r="T1337" t="s">
        <v>30</v>
      </c>
      <c r="U1337" t="s">
        <v>38</v>
      </c>
      <c r="V1337" t="s">
        <v>45</v>
      </c>
      <c r="W1337">
        <v>1</v>
      </c>
      <c r="X1337">
        <v>1</v>
      </c>
      <c r="Y1337" s="2">
        <f>Table1[[#This Row],[premium_yearly]]*Table1[[#This Row],[tenure_years]]</f>
        <v>10895.76</v>
      </c>
      <c r="Z1337" s="2">
        <f>Table1[[#This Row],[total_collected_premiums]]*(1-$AD$2)</f>
        <v>7953.9048000000003</v>
      </c>
      <c r="AA1337" s="2">
        <f>Table1[[#This Row],[retained_premium]]-Table1[[#This Row],[claim_amount_paid]]</f>
        <v>-46.09519999999975</v>
      </c>
    </row>
    <row r="1338" spans="1:27" x14ac:dyDescent="0.35">
      <c r="A1338" t="s">
        <v>4053</v>
      </c>
      <c r="B1338" t="s">
        <v>4054</v>
      </c>
      <c r="C1338" t="s">
        <v>4055</v>
      </c>
      <c r="D1338" s="1">
        <v>41236</v>
      </c>
      <c r="E1338" s="1">
        <v>44311</v>
      </c>
      <c r="F1338" s="1">
        <v>44314</v>
      </c>
      <c r="G1338">
        <v>3</v>
      </c>
      <c r="H1338">
        <v>124.21</v>
      </c>
      <c r="I1338">
        <v>1490.52</v>
      </c>
      <c r="J1338">
        <v>7000</v>
      </c>
      <c r="K1338" t="s">
        <v>27</v>
      </c>
      <c r="L1338">
        <v>7000</v>
      </c>
      <c r="M1338">
        <v>0.67</v>
      </c>
      <c r="N1338" t="s">
        <v>36</v>
      </c>
      <c r="O1338">
        <v>8</v>
      </c>
      <c r="P1338">
        <v>29</v>
      </c>
      <c r="Q1338">
        <v>0</v>
      </c>
      <c r="R1338">
        <v>3</v>
      </c>
      <c r="S1338" t="s">
        <v>65</v>
      </c>
      <c r="T1338" t="s">
        <v>44</v>
      </c>
      <c r="U1338" t="s">
        <v>31</v>
      </c>
      <c r="V1338" t="s">
        <v>45</v>
      </c>
      <c r="W1338">
        <v>1</v>
      </c>
      <c r="X1338">
        <v>0</v>
      </c>
      <c r="Y1338" s="2">
        <f>Table1[[#This Row],[premium_yearly]]*Table1[[#This Row],[tenure_years]]</f>
        <v>998.64840000000004</v>
      </c>
      <c r="Z1338" s="2">
        <f>Table1[[#This Row],[total_collected_premiums]]*(1-$AD$2)</f>
        <v>729.01333199999999</v>
      </c>
      <c r="AA1338" s="2">
        <f>Table1[[#This Row],[retained_premium]]-Table1[[#This Row],[claim_amount_paid]]</f>
        <v>-6270.9866679999996</v>
      </c>
    </row>
    <row r="1339" spans="1:27" x14ac:dyDescent="0.35">
      <c r="A1339" t="s">
        <v>4056</v>
      </c>
      <c r="B1339" t="s">
        <v>4057</v>
      </c>
      <c r="C1339" t="s">
        <v>4058</v>
      </c>
      <c r="D1339" s="1">
        <v>42040</v>
      </c>
      <c r="E1339" s="1">
        <v>44312</v>
      </c>
      <c r="F1339" s="1">
        <v>44314</v>
      </c>
      <c r="G1339">
        <v>2</v>
      </c>
      <c r="H1339">
        <v>125.33</v>
      </c>
      <c r="I1339">
        <v>1503.96</v>
      </c>
      <c r="J1339">
        <v>4000</v>
      </c>
      <c r="K1339" t="s">
        <v>27</v>
      </c>
      <c r="L1339">
        <v>4000</v>
      </c>
      <c r="M1339">
        <v>6.83</v>
      </c>
      <c r="N1339" t="s">
        <v>36</v>
      </c>
      <c r="O1339">
        <v>82</v>
      </c>
      <c r="P1339">
        <v>32</v>
      </c>
      <c r="Q1339">
        <v>1</v>
      </c>
      <c r="R1339">
        <v>6</v>
      </c>
      <c r="S1339" t="s">
        <v>65</v>
      </c>
      <c r="T1339" t="s">
        <v>50</v>
      </c>
      <c r="U1339" t="s">
        <v>38</v>
      </c>
      <c r="V1339" t="s">
        <v>39</v>
      </c>
      <c r="W1339">
        <v>1</v>
      </c>
      <c r="X1339">
        <v>0</v>
      </c>
      <c r="Y1339" s="2">
        <f>Table1[[#This Row],[premium_yearly]]*Table1[[#This Row],[tenure_years]]</f>
        <v>10272.0468</v>
      </c>
      <c r="Z1339" s="2">
        <f>Table1[[#This Row],[total_collected_premiums]]*(1-$AD$2)</f>
        <v>7498.5941640000001</v>
      </c>
      <c r="AA1339" s="2">
        <f>Table1[[#This Row],[retained_premium]]-Table1[[#This Row],[claim_amount_paid]]</f>
        <v>3498.5941640000001</v>
      </c>
    </row>
    <row r="1340" spans="1:27" x14ac:dyDescent="0.35">
      <c r="A1340" t="s">
        <v>4059</v>
      </c>
      <c r="B1340" t="s">
        <v>4060</v>
      </c>
      <c r="C1340" t="s">
        <v>4061</v>
      </c>
      <c r="D1340" s="1">
        <v>40489</v>
      </c>
      <c r="E1340" s="1">
        <v>44309</v>
      </c>
      <c r="F1340" s="1">
        <v>44314</v>
      </c>
      <c r="G1340">
        <v>5</v>
      </c>
      <c r="H1340">
        <v>81.17</v>
      </c>
      <c r="I1340">
        <v>974.04</v>
      </c>
      <c r="J1340">
        <v>9000</v>
      </c>
      <c r="K1340" t="s">
        <v>27</v>
      </c>
      <c r="L1340">
        <v>9000</v>
      </c>
      <c r="M1340">
        <v>8.92</v>
      </c>
      <c r="N1340" t="s">
        <v>49</v>
      </c>
      <c r="O1340">
        <v>107</v>
      </c>
      <c r="P1340">
        <v>33</v>
      </c>
      <c r="Q1340">
        <v>1</v>
      </c>
      <c r="R1340">
        <v>3</v>
      </c>
      <c r="S1340" t="s">
        <v>65</v>
      </c>
      <c r="T1340" t="s">
        <v>30</v>
      </c>
      <c r="U1340" t="s">
        <v>51</v>
      </c>
      <c r="V1340" t="s">
        <v>45</v>
      </c>
      <c r="W1340">
        <v>1</v>
      </c>
      <c r="X1340">
        <v>1</v>
      </c>
      <c r="Y1340" s="2">
        <f>Table1[[#This Row],[premium_yearly]]*Table1[[#This Row],[tenure_years]]</f>
        <v>8688.4367999999995</v>
      </c>
      <c r="Z1340" s="2">
        <f>Table1[[#This Row],[total_collected_premiums]]*(1-$AD$2)</f>
        <v>6342.5588639999996</v>
      </c>
      <c r="AA1340" s="2">
        <f>Table1[[#This Row],[retained_premium]]-Table1[[#This Row],[claim_amount_paid]]</f>
        <v>-2657.4411360000004</v>
      </c>
    </row>
    <row r="1341" spans="1:27" x14ac:dyDescent="0.35">
      <c r="A1341" t="s">
        <v>4062</v>
      </c>
      <c r="B1341" t="s">
        <v>4063</v>
      </c>
      <c r="C1341" t="s">
        <v>4064</v>
      </c>
      <c r="D1341" s="1">
        <v>40367</v>
      </c>
      <c r="E1341" s="1">
        <v>44303</v>
      </c>
      <c r="F1341" s="1">
        <v>44308</v>
      </c>
      <c r="G1341">
        <v>5</v>
      </c>
      <c r="H1341">
        <v>72.95</v>
      </c>
      <c r="I1341">
        <v>875.4</v>
      </c>
      <c r="J1341">
        <v>5000</v>
      </c>
      <c r="K1341" t="s">
        <v>27</v>
      </c>
      <c r="L1341">
        <v>5000</v>
      </c>
      <c r="M1341">
        <v>6.67</v>
      </c>
      <c r="N1341" t="s">
        <v>36</v>
      </c>
      <c r="O1341">
        <v>80</v>
      </c>
      <c r="P1341">
        <v>34</v>
      </c>
      <c r="Q1341">
        <v>0</v>
      </c>
      <c r="R1341">
        <v>6</v>
      </c>
      <c r="S1341" t="s">
        <v>29</v>
      </c>
      <c r="T1341" t="s">
        <v>30</v>
      </c>
      <c r="U1341" t="s">
        <v>38</v>
      </c>
      <c r="V1341" t="s">
        <v>39</v>
      </c>
      <c r="W1341">
        <v>0</v>
      </c>
      <c r="X1341">
        <v>1</v>
      </c>
      <c r="Y1341" s="2">
        <f>Table1[[#This Row],[premium_yearly]]*Table1[[#This Row],[tenure_years]]</f>
        <v>5838.9179999999997</v>
      </c>
      <c r="Z1341" s="2">
        <f>Table1[[#This Row],[total_collected_premiums]]*(1-$AD$2)</f>
        <v>4262.41014</v>
      </c>
      <c r="AA1341" s="2">
        <f>Table1[[#This Row],[retained_premium]]-Table1[[#This Row],[claim_amount_paid]]</f>
        <v>-737.58986000000004</v>
      </c>
    </row>
    <row r="1342" spans="1:27" x14ac:dyDescent="0.35">
      <c r="A1342" t="s">
        <v>4065</v>
      </c>
      <c r="B1342" t="s">
        <v>4066</v>
      </c>
      <c r="C1342" t="s">
        <v>4067</v>
      </c>
      <c r="D1342" s="1">
        <v>41364</v>
      </c>
      <c r="E1342" s="1">
        <v>44310</v>
      </c>
      <c r="F1342" s="1">
        <v>44313</v>
      </c>
      <c r="G1342">
        <v>3</v>
      </c>
      <c r="H1342">
        <v>130.76</v>
      </c>
      <c r="I1342">
        <v>1569.12</v>
      </c>
      <c r="J1342">
        <v>3000</v>
      </c>
      <c r="K1342" t="s">
        <v>27</v>
      </c>
      <c r="L1342">
        <v>3000</v>
      </c>
      <c r="M1342">
        <v>8.75</v>
      </c>
      <c r="N1342" t="s">
        <v>49</v>
      </c>
      <c r="O1342">
        <v>105</v>
      </c>
      <c r="P1342">
        <v>46</v>
      </c>
      <c r="Q1342">
        <v>1</v>
      </c>
      <c r="R1342">
        <v>4</v>
      </c>
      <c r="S1342" t="s">
        <v>37</v>
      </c>
      <c r="T1342" t="s">
        <v>30</v>
      </c>
      <c r="U1342" t="s">
        <v>38</v>
      </c>
      <c r="V1342" t="s">
        <v>32</v>
      </c>
      <c r="W1342">
        <v>0</v>
      </c>
      <c r="X1342">
        <v>1</v>
      </c>
      <c r="Y1342" s="2">
        <f>Table1[[#This Row],[premium_yearly]]*Table1[[#This Row],[tenure_years]]</f>
        <v>13729.8</v>
      </c>
      <c r="Z1342" s="2">
        <f>Table1[[#This Row],[total_collected_premiums]]*(1-$AD$2)</f>
        <v>10022.753999999999</v>
      </c>
      <c r="AA1342" s="2">
        <f>Table1[[#This Row],[retained_premium]]-Table1[[#This Row],[claim_amount_paid]]</f>
        <v>7022.753999999999</v>
      </c>
    </row>
    <row r="1343" spans="1:27" x14ac:dyDescent="0.35">
      <c r="A1343" t="s">
        <v>4068</v>
      </c>
      <c r="B1343" t="s">
        <v>4069</v>
      </c>
      <c r="C1343" t="s">
        <v>4070</v>
      </c>
      <c r="D1343" s="1">
        <v>41078</v>
      </c>
      <c r="E1343" s="1">
        <v>44304</v>
      </c>
      <c r="F1343" s="1">
        <v>44309</v>
      </c>
      <c r="G1343">
        <v>5</v>
      </c>
      <c r="H1343">
        <v>92.25</v>
      </c>
      <c r="I1343">
        <v>1107</v>
      </c>
      <c r="J1343">
        <v>10000</v>
      </c>
      <c r="K1343" t="s">
        <v>27</v>
      </c>
      <c r="L1343">
        <v>10000</v>
      </c>
      <c r="M1343">
        <v>3.17</v>
      </c>
      <c r="N1343" t="s">
        <v>28</v>
      </c>
      <c r="O1343">
        <v>38</v>
      </c>
      <c r="P1343">
        <v>39</v>
      </c>
      <c r="Q1343">
        <v>1</v>
      </c>
      <c r="R1343">
        <v>4</v>
      </c>
      <c r="S1343" t="s">
        <v>29</v>
      </c>
      <c r="T1343" t="s">
        <v>50</v>
      </c>
      <c r="U1343" t="s">
        <v>38</v>
      </c>
      <c r="V1343" t="s">
        <v>45</v>
      </c>
      <c r="W1343">
        <v>0</v>
      </c>
      <c r="X1343">
        <v>1</v>
      </c>
      <c r="Y1343" s="2">
        <f>Table1[[#This Row],[premium_yearly]]*Table1[[#This Row],[tenure_years]]</f>
        <v>3509.19</v>
      </c>
      <c r="Z1343" s="2">
        <f>Table1[[#This Row],[total_collected_premiums]]*(1-$AD$2)</f>
        <v>2561.7087000000001</v>
      </c>
      <c r="AA1343" s="2">
        <f>Table1[[#This Row],[retained_premium]]-Table1[[#This Row],[claim_amount_paid]]</f>
        <v>-7438.2912999999999</v>
      </c>
    </row>
    <row r="1344" spans="1:27" x14ac:dyDescent="0.35">
      <c r="A1344" t="s">
        <v>4071</v>
      </c>
      <c r="B1344" t="s">
        <v>4072</v>
      </c>
      <c r="C1344" t="s">
        <v>4073</v>
      </c>
      <c r="D1344" s="1">
        <v>42775</v>
      </c>
      <c r="E1344" s="1">
        <v>44314</v>
      </c>
      <c r="F1344" s="1">
        <v>44316</v>
      </c>
      <c r="G1344">
        <v>2</v>
      </c>
      <c r="H1344">
        <v>112.94</v>
      </c>
      <c r="I1344">
        <v>1355.28</v>
      </c>
      <c r="J1344">
        <v>1000</v>
      </c>
      <c r="K1344" t="s">
        <v>27</v>
      </c>
      <c r="L1344">
        <v>1000</v>
      </c>
      <c r="M1344">
        <v>9.67</v>
      </c>
      <c r="N1344" t="s">
        <v>49</v>
      </c>
      <c r="O1344">
        <v>116</v>
      </c>
      <c r="P1344">
        <v>39</v>
      </c>
      <c r="Q1344">
        <v>1</v>
      </c>
      <c r="R1344">
        <v>6</v>
      </c>
      <c r="S1344" t="s">
        <v>65</v>
      </c>
      <c r="T1344" t="s">
        <v>30</v>
      </c>
      <c r="U1344" t="s">
        <v>66</v>
      </c>
      <c r="V1344" t="s">
        <v>45</v>
      </c>
      <c r="W1344">
        <v>0</v>
      </c>
      <c r="X1344">
        <v>0</v>
      </c>
      <c r="Y1344" s="2">
        <f>Table1[[#This Row],[premium_yearly]]*Table1[[#This Row],[tenure_years]]</f>
        <v>13105.5576</v>
      </c>
      <c r="Z1344" s="2">
        <f>Table1[[#This Row],[total_collected_premiums]]*(1-$AD$2)</f>
        <v>9567.0570480000006</v>
      </c>
      <c r="AA1344" s="2">
        <f>Table1[[#This Row],[retained_premium]]-Table1[[#This Row],[claim_amount_paid]]</f>
        <v>8567.0570480000006</v>
      </c>
    </row>
    <row r="1345" spans="1:27" x14ac:dyDescent="0.35">
      <c r="A1345" t="s">
        <v>4074</v>
      </c>
      <c r="B1345" t="s">
        <v>4075</v>
      </c>
      <c r="C1345" t="s">
        <v>4076</v>
      </c>
      <c r="D1345" s="1">
        <v>41906</v>
      </c>
      <c r="E1345" s="1">
        <v>44312</v>
      </c>
      <c r="F1345" s="1">
        <v>44315</v>
      </c>
      <c r="G1345">
        <v>3</v>
      </c>
      <c r="H1345">
        <v>71.36</v>
      </c>
      <c r="I1345">
        <v>856.32</v>
      </c>
      <c r="J1345">
        <v>5000</v>
      </c>
      <c r="K1345" t="s">
        <v>27</v>
      </c>
      <c r="L1345">
        <v>5000</v>
      </c>
      <c r="M1345">
        <v>7.67</v>
      </c>
      <c r="N1345" t="s">
        <v>36</v>
      </c>
      <c r="O1345">
        <v>92</v>
      </c>
      <c r="P1345">
        <v>42</v>
      </c>
      <c r="Q1345">
        <v>1</v>
      </c>
      <c r="R1345">
        <v>5</v>
      </c>
      <c r="S1345" t="s">
        <v>29</v>
      </c>
      <c r="T1345" t="s">
        <v>30</v>
      </c>
      <c r="U1345" t="s">
        <v>107</v>
      </c>
      <c r="V1345" t="s">
        <v>45</v>
      </c>
      <c r="W1345">
        <v>1</v>
      </c>
      <c r="X1345">
        <v>0</v>
      </c>
      <c r="Y1345" s="2">
        <f>Table1[[#This Row],[premium_yearly]]*Table1[[#This Row],[tenure_years]]</f>
        <v>6567.9744000000001</v>
      </c>
      <c r="Z1345" s="2">
        <f>Table1[[#This Row],[total_collected_premiums]]*(1-$AD$2)</f>
        <v>4794.6213120000002</v>
      </c>
      <c r="AA1345" s="2">
        <f>Table1[[#This Row],[retained_premium]]-Table1[[#This Row],[claim_amount_paid]]</f>
        <v>-205.37868799999978</v>
      </c>
    </row>
    <row r="1346" spans="1:27" x14ac:dyDescent="0.35">
      <c r="A1346" t="s">
        <v>4077</v>
      </c>
      <c r="B1346" t="s">
        <v>4078</v>
      </c>
      <c r="C1346" t="s">
        <v>4079</v>
      </c>
      <c r="D1346" s="1">
        <v>42938</v>
      </c>
      <c r="E1346" s="1">
        <v>44319</v>
      </c>
      <c r="F1346" s="1">
        <v>44319</v>
      </c>
      <c r="G1346">
        <v>0</v>
      </c>
      <c r="H1346">
        <v>72.28</v>
      </c>
      <c r="I1346">
        <v>867.36</v>
      </c>
      <c r="J1346">
        <v>5000</v>
      </c>
      <c r="K1346" t="s">
        <v>27</v>
      </c>
      <c r="L1346">
        <v>5000</v>
      </c>
      <c r="M1346">
        <v>6.58</v>
      </c>
      <c r="N1346" t="s">
        <v>28</v>
      </c>
      <c r="O1346">
        <v>79</v>
      </c>
      <c r="P1346">
        <v>38</v>
      </c>
      <c r="Q1346">
        <v>1</v>
      </c>
      <c r="R1346">
        <v>6</v>
      </c>
      <c r="S1346" t="s">
        <v>37</v>
      </c>
      <c r="T1346" t="s">
        <v>30</v>
      </c>
      <c r="U1346" t="s">
        <v>38</v>
      </c>
      <c r="V1346" t="s">
        <v>45</v>
      </c>
      <c r="W1346">
        <v>1</v>
      </c>
      <c r="X1346">
        <v>0</v>
      </c>
      <c r="Y1346" s="2">
        <f>Table1[[#This Row],[premium_yearly]]*Table1[[#This Row],[tenure_years]]</f>
        <v>5707.2287999999999</v>
      </c>
      <c r="Z1346" s="2">
        <f>Table1[[#This Row],[total_collected_premiums]]*(1-$AD$2)</f>
        <v>4166.277024</v>
      </c>
      <c r="AA1346" s="2">
        <f>Table1[[#This Row],[retained_premium]]-Table1[[#This Row],[claim_amount_paid]]</f>
        <v>-833.72297600000002</v>
      </c>
    </row>
    <row r="1347" spans="1:27" x14ac:dyDescent="0.35">
      <c r="A1347" t="s">
        <v>4080</v>
      </c>
      <c r="B1347" t="s">
        <v>4081</v>
      </c>
      <c r="C1347" t="s">
        <v>4082</v>
      </c>
      <c r="D1347" s="1">
        <v>43401</v>
      </c>
      <c r="E1347" s="1">
        <v>44312</v>
      </c>
      <c r="F1347" s="1">
        <v>44315</v>
      </c>
      <c r="G1347">
        <v>3</v>
      </c>
      <c r="H1347">
        <v>76.099999999999994</v>
      </c>
      <c r="I1347">
        <v>913.2</v>
      </c>
      <c r="J1347">
        <v>9000</v>
      </c>
      <c r="K1347" t="s">
        <v>27</v>
      </c>
      <c r="L1347">
        <v>9000</v>
      </c>
      <c r="M1347">
        <v>7.25</v>
      </c>
      <c r="N1347" t="s">
        <v>49</v>
      </c>
      <c r="O1347">
        <v>87</v>
      </c>
      <c r="P1347">
        <v>48</v>
      </c>
      <c r="Q1347">
        <v>1</v>
      </c>
      <c r="R1347">
        <v>5</v>
      </c>
      <c r="S1347" t="s">
        <v>29</v>
      </c>
      <c r="T1347" t="s">
        <v>30</v>
      </c>
      <c r="U1347" t="s">
        <v>31</v>
      </c>
      <c r="V1347" t="s">
        <v>32</v>
      </c>
      <c r="W1347">
        <v>1</v>
      </c>
      <c r="X1347">
        <v>1</v>
      </c>
      <c r="Y1347" s="2">
        <f>Table1[[#This Row],[premium_yearly]]*Table1[[#This Row],[tenure_years]]</f>
        <v>6620.7000000000007</v>
      </c>
      <c r="Z1347" s="2">
        <f>Table1[[#This Row],[total_collected_premiums]]*(1-$AD$2)</f>
        <v>4833.1110000000008</v>
      </c>
      <c r="AA1347" s="2">
        <f>Table1[[#This Row],[retained_premium]]-Table1[[#This Row],[claim_amount_paid]]</f>
        <v>-4166.8889999999992</v>
      </c>
    </row>
    <row r="1348" spans="1:27" x14ac:dyDescent="0.35">
      <c r="A1348" t="s">
        <v>4083</v>
      </c>
      <c r="B1348" t="s">
        <v>4084</v>
      </c>
      <c r="C1348" t="s">
        <v>4085</v>
      </c>
      <c r="D1348" s="1">
        <v>41676</v>
      </c>
      <c r="E1348" s="1">
        <v>44316</v>
      </c>
      <c r="F1348" s="1">
        <v>44318</v>
      </c>
      <c r="G1348">
        <v>2</v>
      </c>
      <c r="H1348">
        <v>122.95</v>
      </c>
      <c r="I1348">
        <v>1475.4</v>
      </c>
      <c r="J1348">
        <v>6000</v>
      </c>
      <c r="K1348" t="s">
        <v>27</v>
      </c>
      <c r="L1348">
        <v>6000</v>
      </c>
      <c r="M1348">
        <v>7.17</v>
      </c>
      <c r="N1348" t="s">
        <v>49</v>
      </c>
      <c r="O1348">
        <v>86</v>
      </c>
      <c r="P1348">
        <v>63</v>
      </c>
      <c r="Q1348">
        <v>0</v>
      </c>
      <c r="R1348">
        <v>7</v>
      </c>
      <c r="S1348" t="s">
        <v>65</v>
      </c>
      <c r="T1348" t="s">
        <v>50</v>
      </c>
      <c r="U1348" t="s">
        <v>38</v>
      </c>
      <c r="V1348" t="s">
        <v>32</v>
      </c>
      <c r="W1348">
        <v>0</v>
      </c>
      <c r="X1348">
        <v>0</v>
      </c>
      <c r="Y1348" s="2">
        <f>Table1[[#This Row],[premium_yearly]]*Table1[[#This Row],[tenure_years]]</f>
        <v>10578.618</v>
      </c>
      <c r="Z1348" s="2">
        <f>Table1[[#This Row],[total_collected_premiums]]*(1-$AD$2)</f>
        <v>7722.3911399999997</v>
      </c>
      <c r="AA1348" s="2">
        <f>Table1[[#This Row],[retained_premium]]-Table1[[#This Row],[claim_amount_paid]]</f>
        <v>1722.3911399999997</v>
      </c>
    </row>
    <row r="1349" spans="1:27" x14ac:dyDescent="0.35">
      <c r="A1349" t="s">
        <v>4086</v>
      </c>
      <c r="B1349" t="s">
        <v>4087</v>
      </c>
      <c r="C1349" t="s">
        <v>4088</v>
      </c>
      <c r="D1349" s="1">
        <v>43420</v>
      </c>
      <c r="E1349" s="1">
        <v>44302</v>
      </c>
      <c r="F1349" s="1">
        <v>44307</v>
      </c>
      <c r="G1349">
        <v>5</v>
      </c>
      <c r="H1349">
        <v>96.15</v>
      </c>
      <c r="I1349">
        <v>1153.8</v>
      </c>
      <c r="J1349">
        <v>7000</v>
      </c>
      <c r="K1349" t="s">
        <v>27</v>
      </c>
      <c r="L1349">
        <v>7000</v>
      </c>
      <c r="M1349">
        <v>2.58</v>
      </c>
      <c r="N1349" t="s">
        <v>28</v>
      </c>
      <c r="O1349">
        <v>31</v>
      </c>
      <c r="P1349">
        <v>54</v>
      </c>
      <c r="Q1349">
        <v>1</v>
      </c>
      <c r="R1349">
        <v>2</v>
      </c>
      <c r="S1349" t="s">
        <v>65</v>
      </c>
      <c r="T1349" t="s">
        <v>44</v>
      </c>
      <c r="U1349" t="s">
        <v>58</v>
      </c>
      <c r="V1349" t="s">
        <v>39</v>
      </c>
      <c r="W1349">
        <v>1</v>
      </c>
      <c r="X1349">
        <v>0</v>
      </c>
      <c r="Y1349" s="2">
        <f>Table1[[#This Row],[premium_yearly]]*Table1[[#This Row],[tenure_years]]</f>
        <v>2976.8040000000001</v>
      </c>
      <c r="Z1349" s="2">
        <f>Table1[[#This Row],[total_collected_premiums]]*(1-$AD$2)</f>
        <v>2173.0669200000002</v>
      </c>
      <c r="AA1349" s="2">
        <f>Table1[[#This Row],[retained_premium]]-Table1[[#This Row],[claim_amount_paid]]</f>
        <v>-4826.9330799999998</v>
      </c>
    </row>
    <row r="1350" spans="1:27" x14ac:dyDescent="0.35">
      <c r="A1350" t="s">
        <v>4089</v>
      </c>
      <c r="B1350" t="s">
        <v>4090</v>
      </c>
      <c r="C1350" t="s">
        <v>4091</v>
      </c>
      <c r="D1350" s="1">
        <v>40528</v>
      </c>
      <c r="E1350" s="1">
        <v>44307</v>
      </c>
      <c r="F1350" s="1">
        <v>44312</v>
      </c>
      <c r="G1350">
        <v>5</v>
      </c>
      <c r="H1350">
        <v>122.46</v>
      </c>
      <c r="I1350">
        <v>1469.52</v>
      </c>
      <c r="J1350">
        <v>10000</v>
      </c>
      <c r="K1350" t="s">
        <v>27</v>
      </c>
      <c r="L1350">
        <v>10000</v>
      </c>
      <c r="M1350">
        <v>5.83</v>
      </c>
      <c r="N1350" t="s">
        <v>28</v>
      </c>
      <c r="O1350">
        <v>70</v>
      </c>
      <c r="P1350">
        <v>34</v>
      </c>
      <c r="Q1350">
        <v>1</v>
      </c>
      <c r="R1350">
        <v>3</v>
      </c>
      <c r="S1350" t="s">
        <v>29</v>
      </c>
      <c r="T1350" t="s">
        <v>44</v>
      </c>
      <c r="U1350" t="s">
        <v>38</v>
      </c>
      <c r="V1350" t="s">
        <v>32</v>
      </c>
      <c r="W1350">
        <v>1</v>
      </c>
      <c r="X1350">
        <v>1</v>
      </c>
      <c r="Y1350" s="2">
        <f>Table1[[#This Row],[premium_yearly]]*Table1[[#This Row],[tenure_years]]</f>
        <v>8567.3016000000007</v>
      </c>
      <c r="Z1350" s="2">
        <f>Table1[[#This Row],[total_collected_premiums]]*(1-$AD$2)</f>
        <v>6254.1301680000006</v>
      </c>
      <c r="AA1350" s="2">
        <f>Table1[[#This Row],[retained_premium]]-Table1[[#This Row],[claim_amount_paid]]</f>
        <v>-3745.8698319999994</v>
      </c>
    </row>
    <row r="1351" spans="1:27" x14ac:dyDescent="0.35">
      <c r="A1351" t="s">
        <v>4092</v>
      </c>
      <c r="B1351" t="s">
        <v>4093</v>
      </c>
      <c r="C1351" t="s">
        <v>4094</v>
      </c>
      <c r="D1351" s="1">
        <v>42905</v>
      </c>
      <c r="E1351" s="1">
        <v>44313</v>
      </c>
      <c r="F1351" s="1">
        <v>44316</v>
      </c>
      <c r="G1351">
        <v>3</v>
      </c>
      <c r="H1351">
        <v>134.59</v>
      </c>
      <c r="I1351">
        <v>1615.08</v>
      </c>
      <c r="J1351">
        <v>3000</v>
      </c>
      <c r="K1351" t="s">
        <v>27</v>
      </c>
      <c r="L1351">
        <v>3000</v>
      </c>
      <c r="M1351">
        <v>3.08</v>
      </c>
      <c r="N1351" t="s">
        <v>49</v>
      </c>
      <c r="O1351">
        <v>37</v>
      </c>
      <c r="P1351">
        <v>62</v>
      </c>
      <c r="Q1351">
        <v>1</v>
      </c>
      <c r="R1351">
        <v>7</v>
      </c>
      <c r="S1351" t="s">
        <v>29</v>
      </c>
      <c r="T1351" t="s">
        <v>30</v>
      </c>
      <c r="U1351" t="s">
        <v>66</v>
      </c>
      <c r="V1351" t="s">
        <v>39</v>
      </c>
      <c r="W1351">
        <v>1</v>
      </c>
      <c r="X1351">
        <v>0</v>
      </c>
      <c r="Y1351" s="2">
        <f>Table1[[#This Row],[premium_yearly]]*Table1[[#This Row],[tenure_years]]</f>
        <v>4974.4463999999998</v>
      </c>
      <c r="Z1351" s="2">
        <f>Table1[[#This Row],[total_collected_premiums]]*(1-$AD$2)</f>
        <v>3631.3458719999999</v>
      </c>
      <c r="AA1351" s="2">
        <f>Table1[[#This Row],[retained_premium]]-Table1[[#This Row],[claim_amount_paid]]</f>
        <v>631.34587199999987</v>
      </c>
    </row>
    <row r="1352" spans="1:27" x14ac:dyDescent="0.35">
      <c r="A1352" t="s">
        <v>4095</v>
      </c>
      <c r="B1352" t="s">
        <v>4096</v>
      </c>
      <c r="C1352" t="s">
        <v>4097</v>
      </c>
      <c r="D1352" s="1">
        <v>41515</v>
      </c>
      <c r="E1352" s="1">
        <v>44321</v>
      </c>
      <c r="F1352" s="1">
        <v>44321</v>
      </c>
      <c r="G1352">
        <v>0</v>
      </c>
      <c r="H1352">
        <v>70.61</v>
      </c>
      <c r="I1352">
        <v>847.32</v>
      </c>
      <c r="J1352">
        <v>7000</v>
      </c>
      <c r="K1352" t="s">
        <v>27</v>
      </c>
      <c r="L1352">
        <v>7000</v>
      </c>
      <c r="M1352">
        <v>8.42</v>
      </c>
      <c r="N1352" t="s">
        <v>49</v>
      </c>
      <c r="O1352">
        <v>101</v>
      </c>
      <c r="P1352">
        <v>26</v>
      </c>
      <c r="Q1352">
        <v>0</v>
      </c>
      <c r="R1352">
        <v>4</v>
      </c>
      <c r="S1352" t="s">
        <v>65</v>
      </c>
      <c r="T1352" t="s">
        <v>30</v>
      </c>
      <c r="U1352" t="s">
        <v>38</v>
      </c>
      <c r="V1352" t="s">
        <v>45</v>
      </c>
      <c r="W1352">
        <v>0</v>
      </c>
      <c r="X1352">
        <v>1</v>
      </c>
      <c r="Y1352" s="2">
        <f>Table1[[#This Row],[premium_yearly]]*Table1[[#This Row],[tenure_years]]</f>
        <v>7134.4344000000001</v>
      </c>
      <c r="Z1352" s="2">
        <f>Table1[[#This Row],[total_collected_premiums]]*(1-$AD$2)</f>
        <v>5208.1371120000003</v>
      </c>
      <c r="AA1352" s="2">
        <f>Table1[[#This Row],[retained_premium]]-Table1[[#This Row],[claim_amount_paid]]</f>
        <v>-1791.8628879999997</v>
      </c>
    </row>
    <row r="1353" spans="1:27" x14ac:dyDescent="0.35">
      <c r="A1353" t="s">
        <v>4098</v>
      </c>
      <c r="B1353" t="s">
        <v>4099</v>
      </c>
      <c r="C1353" t="s">
        <v>4100</v>
      </c>
      <c r="D1353" s="1">
        <v>40409</v>
      </c>
      <c r="E1353" s="1">
        <v>44312</v>
      </c>
      <c r="F1353" s="1">
        <v>44317</v>
      </c>
      <c r="G1353">
        <v>5</v>
      </c>
      <c r="H1353">
        <v>109.65</v>
      </c>
      <c r="I1353">
        <v>1315.8</v>
      </c>
      <c r="J1353">
        <v>3000</v>
      </c>
      <c r="K1353" t="s">
        <v>27</v>
      </c>
      <c r="L1353">
        <v>3000</v>
      </c>
      <c r="M1353">
        <v>6</v>
      </c>
      <c r="N1353" t="s">
        <v>28</v>
      </c>
      <c r="O1353">
        <v>72</v>
      </c>
      <c r="P1353">
        <v>55</v>
      </c>
      <c r="Q1353">
        <v>1</v>
      </c>
      <c r="R1353">
        <v>7</v>
      </c>
      <c r="S1353" t="s">
        <v>29</v>
      </c>
      <c r="T1353" t="s">
        <v>44</v>
      </c>
      <c r="U1353" t="s">
        <v>66</v>
      </c>
      <c r="V1353" t="s">
        <v>39</v>
      </c>
      <c r="W1353">
        <v>1</v>
      </c>
      <c r="X1353">
        <v>1</v>
      </c>
      <c r="Y1353" s="2">
        <f>Table1[[#This Row],[premium_yearly]]*Table1[[#This Row],[tenure_years]]</f>
        <v>7894.7999999999993</v>
      </c>
      <c r="Z1353" s="2">
        <f>Table1[[#This Row],[total_collected_premiums]]*(1-$AD$2)</f>
        <v>5763.2039999999997</v>
      </c>
      <c r="AA1353" s="2">
        <f>Table1[[#This Row],[retained_premium]]-Table1[[#This Row],[claim_amount_paid]]</f>
        <v>2763.2039999999997</v>
      </c>
    </row>
    <row r="1354" spans="1:27" x14ac:dyDescent="0.35">
      <c r="A1354" t="s">
        <v>4101</v>
      </c>
      <c r="B1354" t="s">
        <v>4102</v>
      </c>
      <c r="C1354" t="s">
        <v>4103</v>
      </c>
      <c r="D1354" s="1">
        <v>41808</v>
      </c>
      <c r="E1354" s="1">
        <v>44314</v>
      </c>
      <c r="F1354" s="1">
        <v>44317</v>
      </c>
      <c r="G1354">
        <v>3</v>
      </c>
      <c r="H1354">
        <v>111.15</v>
      </c>
      <c r="I1354">
        <v>1333.8</v>
      </c>
      <c r="J1354">
        <v>5000</v>
      </c>
      <c r="K1354" t="s">
        <v>27</v>
      </c>
      <c r="L1354">
        <v>5000</v>
      </c>
      <c r="M1354">
        <v>2.75</v>
      </c>
      <c r="N1354" t="s">
        <v>36</v>
      </c>
      <c r="O1354">
        <v>33</v>
      </c>
      <c r="P1354">
        <v>42</v>
      </c>
      <c r="Q1354">
        <v>1</v>
      </c>
      <c r="R1354">
        <v>5</v>
      </c>
      <c r="S1354" t="s">
        <v>65</v>
      </c>
      <c r="T1354" t="s">
        <v>30</v>
      </c>
      <c r="U1354" t="s">
        <v>107</v>
      </c>
      <c r="V1354" t="s">
        <v>45</v>
      </c>
      <c r="W1354">
        <v>1</v>
      </c>
      <c r="X1354">
        <v>1</v>
      </c>
      <c r="Y1354" s="2">
        <f>Table1[[#This Row],[premium_yearly]]*Table1[[#This Row],[tenure_years]]</f>
        <v>3667.95</v>
      </c>
      <c r="Z1354" s="2">
        <f>Table1[[#This Row],[total_collected_premiums]]*(1-$AD$2)</f>
        <v>2677.6034999999997</v>
      </c>
      <c r="AA1354" s="2">
        <f>Table1[[#This Row],[retained_premium]]-Table1[[#This Row],[claim_amount_paid]]</f>
        <v>-2322.3965000000003</v>
      </c>
    </row>
    <row r="1355" spans="1:27" x14ac:dyDescent="0.35">
      <c r="A1355" t="s">
        <v>4104</v>
      </c>
      <c r="B1355" t="s">
        <v>4105</v>
      </c>
      <c r="C1355" t="s">
        <v>4106</v>
      </c>
      <c r="D1355" s="1">
        <v>41310</v>
      </c>
      <c r="E1355" s="1">
        <v>44310</v>
      </c>
      <c r="F1355" s="1">
        <v>44315</v>
      </c>
      <c r="G1355">
        <v>5</v>
      </c>
      <c r="H1355">
        <v>96</v>
      </c>
      <c r="I1355">
        <v>1152</v>
      </c>
      <c r="J1355">
        <v>3000</v>
      </c>
      <c r="K1355" t="s">
        <v>27</v>
      </c>
      <c r="L1355">
        <v>3000</v>
      </c>
      <c r="M1355">
        <v>3.83</v>
      </c>
      <c r="N1355" t="s">
        <v>28</v>
      </c>
      <c r="O1355">
        <v>46</v>
      </c>
      <c r="P1355">
        <v>49</v>
      </c>
      <c r="Q1355">
        <v>1</v>
      </c>
      <c r="R1355">
        <v>4</v>
      </c>
      <c r="S1355" t="s">
        <v>29</v>
      </c>
      <c r="T1355" t="s">
        <v>30</v>
      </c>
      <c r="U1355" t="s">
        <v>31</v>
      </c>
      <c r="V1355" t="s">
        <v>45</v>
      </c>
      <c r="W1355">
        <v>1</v>
      </c>
      <c r="X1355">
        <v>1</v>
      </c>
      <c r="Y1355" s="2">
        <f>Table1[[#This Row],[premium_yearly]]*Table1[[#This Row],[tenure_years]]</f>
        <v>4412.16</v>
      </c>
      <c r="Z1355" s="2">
        <f>Table1[[#This Row],[total_collected_premiums]]*(1-$AD$2)</f>
        <v>3220.8768</v>
      </c>
      <c r="AA1355" s="2">
        <f>Table1[[#This Row],[retained_premium]]-Table1[[#This Row],[claim_amount_paid]]</f>
        <v>220.8768</v>
      </c>
    </row>
    <row r="1356" spans="1:27" x14ac:dyDescent="0.35">
      <c r="A1356" t="s">
        <v>4107</v>
      </c>
      <c r="B1356" t="s">
        <v>4108</v>
      </c>
      <c r="C1356" t="s">
        <v>4109</v>
      </c>
      <c r="D1356" s="1">
        <v>41057</v>
      </c>
      <c r="E1356" s="1">
        <v>44319</v>
      </c>
      <c r="F1356" s="1">
        <v>44320</v>
      </c>
      <c r="G1356">
        <v>1</v>
      </c>
      <c r="H1356">
        <v>84.82</v>
      </c>
      <c r="I1356">
        <v>1017.84</v>
      </c>
      <c r="J1356">
        <v>9000</v>
      </c>
      <c r="K1356" t="s">
        <v>27</v>
      </c>
      <c r="L1356">
        <v>9000</v>
      </c>
      <c r="M1356">
        <v>8.42</v>
      </c>
      <c r="N1356" t="s">
        <v>49</v>
      </c>
      <c r="O1356">
        <v>101</v>
      </c>
      <c r="P1356">
        <v>52</v>
      </c>
      <c r="Q1356">
        <v>1</v>
      </c>
      <c r="R1356">
        <v>3</v>
      </c>
      <c r="S1356" t="s">
        <v>65</v>
      </c>
      <c r="T1356" t="s">
        <v>50</v>
      </c>
      <c r="U1356" t="s">
        <v>38</v>
      </c>
      <c r="V1356" t="s">
        <v>39</v>
      </c>
      <c r="W1356">
        <v>0</v>
      </c>
      <c r="X1356">
        <v>0</v>
      </c>
      <c r="Y1356" s="2">
        <f>Table1[[#This Row],[premium_yearly]]*Table1[[#This Row],[tenure_years]]</f>
        <v>8570.2127999999993</v>
      </c>
      <c r="Z1356" s="2">
        <f>Table1[[#This Row],[total_collected_premiums]]*(1-$AD$2)</f>
        <v>6256.2553439999992</v>
      </c>
      <c r="AA1356" s="2">
        <f>Table1[[#This Row],[retained_premium]]-Table1[[#This Row],[claim_amount_paid]]</f>
        <v>-2743.7446560000008</v>
      </c>
    </row>
    <row r="1357" spans="1:27" x14ac:dyDescent="0.35">
      <c r="A1357" t="s">
        <v>4110</v>
      </c>
      <c r="B1357" t="s">
        <v>4111</v>
      </c>
      <c r="C1357" t="s">
        <v>4112</v>
      </c>
      <c r="D1357" s="1">
        <v>40652</v>
      </c>
      <c r="E1357" s="1">
        <v>44305</v>
      </c>
      <c r="F1357" s="1">
        <v>44310</v>
      </c>
      <c r="G1357">
        <v>5</v>
      </c>
      <c r="H1357">
        <v>86.62</v>
      </c>
      <c r="I1357">
        <v>1039.44</v>
      </c>
      <c r="J1357">
        <v>8000</v>
      </c>
      <c r="K1357" t="s">
        <v>43</v>
      </c>
      <c r="L1357">
        <v>0</v>
      </c>
      <c r="M1357">
        <v>4</v>
      </c>
      <c r="N1357" t="s">
        <v>49</v>
      </c>
      <c r="O1357">
        <v>48</v>
      </c>
      <c r="P1357">
        <v>33</v>
      </c>
      <c r="Q1357">
        <v>1</v>
      </c>
      <c r="R1357">
        <v>6</v>
      </c>
      <c r="S1357" t="s">
        <v>29</v>
      </c>
      <c r="T1357" t="s">
        <v>50</v>
      </c>
      <c r="U1357" t="s">
        <v>66</v>
      </c>
      <c r="V1357" t="s">
        <v>39</v>
      </c>
      <c r="W1357">
        <v>1</v>
      </c>
      <c r="X1357">
        <v>0</v>
      </c>
      <c r="Y1357" s="2">
        <f>Table1[[#This Row],[premium_yearly]]*Table1[[#This Row],[tenure_years]]</f>
        <v>4157.76</v>
      </c>
      <c r="Z1357" s="2">
        <f>Table1[[#This Row],[total_collected_premiums]]*(1-$AD$2)</f>
        <v>3035.1648</v>
      </c>
      <c r="AA1357" s="2">
        <f>Table1[[#This Row],[retained_premium]]-Table1[[#This Row],[claim_amount_paid]]</f>
        <v>3035.1648</v>
      </c>
    </row>
    <row r="1358" spans="1:27" x14ac:dyDescent="0.35">
      <c r="A1358" t="s">
        <v>4113</v>
      </c>
      <c r="B1358" t="s">
        <v>4114</v>
      </c>
      <c r="C1358" t="s">
        <v>4115</v>
      </c>
      <c r="D1358" s="1">
        <v>42787</v>
      </c>
      <c r="E1358" s="1">
        <v>44308</v>
      </c>
      <c r="F1358" s="1">
        <v>44313</v>
      </c>
      <c r="G1358">
        <v>5</v>
      </c>
      <c r="H1358">
        <v>98.44</v>
      </c>
      <c r="I1358">
        <v>1181.28</v>
      </c>
      <c r="J1358">
        <v>1000</v>
      </c>
      <c r="K1358" t="s">
        <v>27</v>
      </c>
      <c r="L1358">
        <v>1000</v>
      </c>
      <c r="M1358">
        <v>6.75</v>
      </c>
      <c r="N1358" t="s">
        <v>49</v>
      </c>
      <c r="O1358">
        <v>81</v>
      </c>
      <c r="P1358">
        <v>58</v>
      </c>
      <c r="Q1358">
        <v>1</v>
      </c>
      <c r="R1358">
        <v>3</v>
      </c>
      <c r="S1358" t="s">
        <v>65</v>
      </c>
      <c r="T1358" t="s">
        <v>50</v>
      </c>
      <c r="U1358" t="s">
        <v>38</v>
      </c>
      <c r="V1358" t="s">
        <v>45</v>
      </c>
      <c r="W1358">
        <v>1</v>
      </c>
      <c r="X1358">
        <v>1</v>
      </c>
      <c r="Y1358" s="2">
        <f>Table1[[#This Row],[premium_yearly]]*Table1[[#This Row],[tenure_years]]</f>
        <v>7973.6399999999994</v>
      </c>
      <c r="Z1358" s="2">
        <f>Table1[[#This Row],[total_collected_premiums]]*(1-$AD$2)</f>
        <v>5820.7571999999991</v>
      </c>
      <c r="AA1358" s="2">
        <f>Table1[[#This Row],[retained_premium]]-Table1[[#This Row],[claim_amount_paid]]</f>
        <v>4820.7571999999991</v>
      </c>
    </row>
    <row r="1359" spans="1:27" x14ac:dyDescent="0.35">
      <c r="A1359" t="s">
        <v>4116</v>
      </c>
      <c r="B1359" t="s">
        <v>4117</v>
      </c>
      <c r="C1359" t="s">
        <v>4118</v>
      </c>
      <c r="D1359" s="1">
        <v>41403</v>
      </c>
      <c r="E1359" s="1">
        <v>44312</v>
      </c>
      <c r="F1359" s="1">
        <v>44317</v>
      </c>
      <c r="G1359">
        <v>5</v>
      </c>
      <c r="H1359">
        <v>119.31</v>
      </c>
      <c r="I1359">
        <v>1431.72</v>
      </c>
      <c r="J1359">
        <v>8000</v>
      </c>
      <c r="K1359" t="s">
        <v>27</v>
      </c>
      <c r="L1359">
        <v>8000</v>
      </c>
      <c r="M1359">
        <v>0.67</v>
      </c>
      <c r="N1359" t="s">
        <v>28</v>
      </c>
      <c r="O1359">
        <v>8</v>
      </c>
      <c r="P1359">
        <v>58</v>
      </c>
      <c r="Q1359">
        <v>0</v>
      </c>
      <c r="R1359">
        <v>4</v>
      </c>
      <c r="S1359" t="s">
        <v>65</v>
      </c>
      <c r="T1359" t="s">
        <v>44</v>
      </c>
      <c r="U1359" t="s">
        <v>58</v>
      </c>
      <c r="V1359" t="s">
        <v>45</v>
      </c>
      <c r="W1359">
        <v>0</v>
      </c>
      <c r="X1359">
        <v>0</v>
      </c>
      <c r="Y1359" s="2">
        <f>Table1[[#This Row],[premium_yearly]]*Table1[[#This Row],[tenure_years]]</f>
        <v>959.25240000000008</v>
      </c>
      <c r="Z1359" s="2">
        <f>Table1[[#This Row],[total_collected_premiums]]*(1-$AD$2)</f>
        <v>700.25425200000006</v>
      </c>
      <c r="AA1359" s="2">
        <f>Table1[[#This Row],[retained_premium]]-Table1[[#This Row],[claim_amount_paid]]</f>
        <v>-7299.7457480000003</v>
      </c>
    </row>
    <row r="1360" spans="1:27" x14ac:dyDescent="0.35">
      <c r="A1360" t="s">
        <v>4119</v>
      </c>
      <c r="B1360" t="s">
        <v>4120</v>
      </c>
      <c r="C1360" t="s">
        <v>4121</v>
      </c>
      <c r="D1360" s="1">
        <v>42413</v>
      </c>
      <c r="E1360" s="1">
        <v>44314</v>
      </c>
      <c r="F1360" s="1">
        <v>44317</v>
      </c>
      <c r="G1360">
        <v>3</v>
      </c>
      <c r="H1360">
        <v>133.69999999999999</v>
      </c>
      <c r="I1360">
        <v>1604.4</v>
      </c>
      <c r="J1360">
        <v>5000</v>
      </c>
      <c r="K1360" t="s">
        <v>27</v>
      </c>
      <c r="L1360">
        <v>5000</v>
      </c>
      <c r="M1360">
        <v>5.17</v>
      </c>
      <c r="N1360" t="s">
        <v>28</v>
      </c>
      <c r="O1360">
        <v>62</v>
      </c>
      <c r="P1360">
        <v>36</v>
      </c>
      <c r="Q1360">
        <v>0</v>
      </c>
      <c r="R1360">
        <v>6</v>
      </c>
      <c r="S1360" t="s">
        <v>29</v>
      </c>
      <c r="T1360" t="s">
        <v>44</v>
      </c>
      <c r="U1360" t="s">
        <v>66</v>
      </c>
      <c r="V1360" t="s">
        <v>32</v>
      </c>
      <c r="W1360">
        <v>0</v>
      </c>
      <c r="X1360">
        <v>1</v>
      </c>
      <c r="Y1360" s="2">
        <f>Table1[[#This Row],[premium_yearly]]*Table1[[#This Row],[tenure_years]]</f>
        <v>8294.7479999999996</v>
      </c>
      <c r="Z1360" s="2">
        <f>Table1[[#This Row],[total_collected_premiums]]*(1-$AD$2)</f>
        <v>6055.1660399999992</v>
      </c>
      <c r="AA1360" s="2">
        <f>Table1[[#This Row],[retained_premium]]-Table1[[#This Row],[claim_amount_paid]]</f>
        <v>1055.1660399999992</v>
      </c>
    </row>
    <row r="1361" spans="1:27" x14ac:dyDescent="0.35">
      <c r="A1361" t="s">
        <v>4122</v>
      </c>
      <c r="B1361" t="s">
        <v>4123</v>
      </c>
      <c r="C1361" t="s">
        <v>4124</v>
      </c>
      <c r="D1361" s="1">
        <v>40404</v>
      </c>
      <c r="E1361" s="1">
        <v>44322</v>
      </c>
      <c r="F1361" s="1">
        <v>44322</v>
      </c>
      <c r="G1361">
        <v>0</v>
      </c>
      <c r="H1361">
        <v>71.36</v>
      </c>
      <c r="I1361">
        <v>856.32</v>
      </c>
      <c r="J1361">
        <v>5000</v>
      </c>
      <c r="K1361" t="s">
        <v>27</v>
      </c>
      <c r="L1361">
        <v>5000</v>
      </c>
      <c r="M1361">
        <v>4</v>
      </c>
      <c r="N1361" t="s">
        <v>36</v>
      </c>
      <c r="O1361">
        <v>48</v>
      </c>
      <c r="P1361">
        <v>57</v>
      </c>
      <c r="Q1361">
        <v>1</v>
      </c>
      <c r="R1361">
        <v>7</v>
      </c>
      <c r="S1361" t="s">
        <v>29</v>
      </c>
      <c r="T1361" t="s">
        <v>30</v>
      </c>
      <c r="U1361" t="s">
        <v>38</v>
      </c>
      <c r="V1361" t="s">
        <v>39</v>
      </c>
      <c r="W1361">
        <v>0</v>
      </c>
      <c r="X1361">
        <v>1</v>
      </c>
      <c r="Y1361" s="2">
        <f>Table1[[#This Row],[premium_yearly]]*Table1[[#This Row],[tenure_years]]</f>
        <v>3425.28</v>
      </c>
      <c r="Z1361" s="2">
        <f>Table1[[#This Row],[total_collected_premiums]]*(1-$AD$2)</f>
        <v>2500.4544000000001</v>
      </c>
      <c r="AA1361" s="2">
        <f>Table1[[#This Row],[retained_premium]]-Table1[[#This Row],[claim_amount_paid]]</f>
        <v>-2499.5455999999999</v>
      </c>
    </row>
    <row r="1362" spans="1:27" x14ac:dyDescent="0.35">
      <c r="A1362" t="s">
        <v>4125</v>
      </c>
      <c r="B1362" t="s">
        <v>4126</v>
      </c>
      <c r="C1362" t="s">
        <v>4127</v>
      </c>
      <c r="D1362" s="1">
        <v>43369</v>
      </c>
      <c r="E1362" s="1">
        <v>44311</v>
      </c>
      <c r="F1362" s="1">
        <v>44316</v>
      </c>
      <c r="G1362">
        <v>5</v>
      </c>
      <c r="H1362">
        <v>118.98</v>
      </c>
      <c r="I1362">
        <v>1427.76</v>
      </c>
      <c r="J1362">
        <v>9000</v>
      </c>
      <c r="K1362" t="s">
        <v>27</v>
      </c>
      <c r="L1362">
        <v>9000</v>
      </c>
      <c r="M1362">
        <v>1</v>
      </c>
      <c r="N1362" t="s">
        <v>36</v>
      </c>
      <c r="O1362">
        <v>12</v>
      </c>
      <c r="P1362">
        <v>28</v>
      </c>
      <c r="Q1362">
        <v>0</v>
      </c>
      <c r="R1362">
        <v>3</v>
      </c>
      <c r="S1362" t="s">
        <v>65</v>
      </c>
      <c r="T1362" t="s">
        <v>44</v>
      </c>
      <c r="U1362" t="s">
        <v>31</v>
      </c>
      <c r="V1362" t="s">
        <v>45</v>
      </c>
      <c r="W1362">
        <v>0</v>
      </c>
      <c r="X1362">
        <v>0</v>
      </c>
      <c r="Y1362" s="2">
        <f>Table1[[#This Row],[premium_yearly]]*Table1[[#This Row],[tenure_years]]</f>
        <v>1427.76</v>
      </c>
      <c r="Z1362" s="2">
        <f>Table1[[#This Row],[total_collected_premiums]]*(1-$AD$2)</f>
        <v>1042.2647999999999</v>
      </c>
      <c r="AA1362" s="2">
        <f>Table1[[#This Row],[retained_premium]]-Table1[[#This Row],[claim_amount_paid]]</f>
        <v>-7957.7352000000001</v>
      </c>
    </row>
    <row r="1363" spans="1:27" x14ac:dyDescent="0.35">
      <c r="A1363" t="s">
        <v>4128</v>
      </c>
      <c r="B1363" t="s">
        <v>4129</v>
      </c>
      <c r="C1363" t="s">
        <v>4130</v>
      </c>
      <c r="D1363" s="1">
        <v>41292</v>
      </c>
      <c r="E1363" s="1">
        <v>44314</v>
      </c>
      <c r="F1363" s="1">
        <v>44317</v>
      </c>
      <c r="G1363">
        <v>3</v>
      </c>
      <c r="H1363">
        <v>95.48</v>
      </c>
      <c r="I1363">
        <v>1145.76</v>
      </c>
      <c r="J1363">
        <v>2000</v>
      </c>
      <c r="K1363" t="s">
        <v>27</v>
      </c>
      <c r="L1363">
        <v>2000</v>
      </c>
      <c r="M1363">
        <v>1.08</v>
      </c>
      <c r="N1363" t="s">
        <v>49</v>
      </c>
      <c r="O1363">
        <v>13</v>
      </c>
      <c r="P1363">
        <v>53</v>
      </c>
      <c r="Q1363">
        <v>1</v>
      </c>
      <c r="R1363">
        <v>5</v>
      </c>
      <c r="S1363" t="s">
        <v>65</v>
      </c>
      <c r="T1363" t="s">
        <v>50</v>
      </c>
      <c r="U1363" t="s">
        <v>51</v>
      </c>
      <c r="V1363" t="s">
        <v>39</v>
      </c>
      <c r="W1363">
        <v>0</v>
      </c>
      <c r="X1363">
        <v>1</v>
      </c>
      <c r="Y1363" s="2">
        <f>Table1[[#This Row],[premium_yearly]]*Table1[[#This Row],[tenure_years]]</f>
        <v>1237.4208000000001</v>
      </c>
      <c r="Z1363" s="2">
        <f>Table1[[#This Row],[total_collected_premiums]]*(1-$AD$2)</f>
        <v>903.317184</v>
      </c>
      <c r="AA1363" s="2">
        <f>Table1[[#This Row],[retained_premium]]-Table1[[#This Row],[claim_amount_paid]]</f>
        <v>-1096.682816</v>
      </c>
    </row>
    <row r="1364" spans="1:27" x14ac:dyDescent="0.35">
      <c r="A1364" t="s">
        <v>4131</v>
      </c>
      <c r="B1364" t="s">
        <v>4132</v>
      </c>
      <c r="C1364" t="s">
        <v>4133</v>
      </c>
      <c r="D1364" s="1">
        <v>42736</v>
      </c>
      <c r="E1364" s="1">
        <v>44313</v>
      </c>
      <c r="F1364" s="1">
        <v>44318</v>
      </c>
      <c r="G1364">
        <v>5</v>
      </c>
      <c r="H1364">
        <v>90.86</v>
      </c>
      <c r="I1364">
        <v>1090.32</v>
      </c>
      <c r="J1364">
        <v>8000</v>
      </c>
      <c r="K1364" t="s">
        <v>27</v>
      </c>
      <c r="L1364">
        <v>8000</v>
      </c>
      <c r="M1364">
        <v>9.75</v>
      </c>
      <c r="N1364" t="s">
        <v>49</v>
      </c>
      <c r="O1364">
        <v>117</v>
      </c>
      <c r="P1364">
        <v>45</v>
      </c>
      <c r="Q1364">
        <v>1</v>
      </c>
      <c r="R1364">
        <v>7</v>
      </c>
      <c r="S1364" t="s">
        <v>29</v>
      </c>
      <c r="T1364" t="s">
        <v>50</v>
      </c>
      <c r="U1364" t="s">
        <v>31</v>
      </c>
      <c r="V1364" t="s">
        <v>32</v>
      </c>
      <c r="W1364">
        <v>0</v>
      </c>
      <c r="X1364">
        <v>1</v>
      </c>
      <c r="Y1364" s="2">
        <f>Table1[[#This Row],[premium_yearly]]*Table1[[#This Row],[tenure_years]]</f>
        <v>10630.619999999999</v>
      </c>
      <c r="Z1364" s="2">
        <f>Table1[[#This Row],[total_collected_premiums]]*(1-$AD$2)</f>
        <v>7760.3525999999993</v>
      </c>
      <c r="AA1364" s="2">
        <f>Table1[[#This Row],[retained_premium]]-Table1[[#This Row],[claim_amount_paid]]</f>
        <v>-239.64740000000074</v>
      </c>
    </row>
    <row r="1365" spans="1:27" x14ac:dyDescent="0.35">
      <c r="A1365" t="s">
        <v>4134</v>
      </c>
      <c r="B1365" t="s">
        <v>4135</v>
      </c>
      <c r="C1365" t="s">
        <v>4136</v>
      </c>
      <c r="D1365" s="1">
        <v>42406</v>
      </c>
      <c r="E1365" s="1">
        <v>44314</v>
      </c>
      <c r="F1365" s="1">
        <v>44319</v>
      </c>
      <c r="G1365">
        <v>5</v>
      </c>
      <c r="H1365">
        <v>91.52</v>
      </c>
      <c r="I1365">
        <v>1098.24</v>
      </c>
      <c r="J1365">
        <v>6000</v>
      </c>
      <c r="K1365" t="s">
        <v>27</v>
      </c>
      <c r="L1365">
        <v>6000</v>
      </c>
      <c r="M1365">
        <v>2.83</v>
      </c>
      <c r="N1365" t="s">
        <v>49</v>
      </c>
      <c r="O1365">
        <v>34</v>
      </c>
      <c r="P1365">
        <v>44</v>
      </c>
      <c r="Q1365">
        <v>0</v>
      </c>
      <c r="R1365">
        <v>2</v>
      </c>
      <c r="S1365" t="s">
        <v>29</v>
      </c>
      <c r="T1365" t="s">
        <v>30</v>
      </c>
      <c r="U1365" t="s">
        <v>38</v>
      </c>
      <c r="V1365" t="s">
        <v>32</v>
      </c>
      <c r="W1365">
        <v>1</v>
      </c>
      <c r="X1365">
        <v>1</v>
      </c>
      <c r="Y1365" s="2">
        <f>Table1[[#This Row],[premium_yearly]]*Table1[[#This Row],[tenure_years]]</f>
        <v>3108.0192000000002</v>
      </c>
      <c r="Z1365" s="2">
        <f>Table1[[#This Row],[total_collected_premiums]]*(1-$AD$2)</f>
        <v>2268.8540160000002</v>
      </c>
      <c r="AA1365" s="2">
        <f>Table1[[#This Row],[retained_premium]]-Table1[[#This Row],[claim_amount_paid]]</f>
        <v>-3731.1459839999998</v>
      </c>
    </row>
    <row r="1366" spans="1:27" x14ac:dyDescent="0.35">
      <c r="A1366" t="s">
        <v>4137</v>
      </c>
      <c r="B1366" t="s">
        <v>4138</v>
      </c>
      <c r="C1366" t="s">
        <v>4139</v>
      </c>
      <c r="D1366" s="1">
        <v>43523</v>
      </c>
      <c r="E1366" s="1">
        <v>44308</v>
      </c>
      <c r="F1366" s="1">
        <v>44313</v>
      </c>
      <c r="G1366">
        <v>5</v>
      </c>
      <c r="H1366">
        <v>139.55000000000001</v>
      </c>
      <c r="I1366">
        <v>1674.6</v>
      </c>
      <c r="J1366">
        <v>1000</v>
      </c>
      <c r="K1366" t="s">
        <v>27</v>
      </c>
      <c r="L1366">
        <v>1000</v>
      </c>
      <c r="M1366">
        <v>3.33</v>
      </c>
      <c r="N1366" t="s">
        <v>28</v>
      </c>
      <c r="O1366">
        <v>40</v>
      </c>
      <c r="P1366">
        <v>61</v>
      </c>
      <c r="Q1366">
        <v>1</v>
      </c>
      <c r="R1366">
        <v>4</v>
      </c>
      <c r="S1366" t="s">
        <v>29</v>
      </c>
      <c r="T1366" t="s">
        <v>44</v>
      </c>
      <c r="U1366" t="s">
        <v>38</v>
      </c>
      <c r="V1366" t="s">
        <v>32</v>
      </c>
      <c r="W1366">
        <v>1</v>
      </c>
      <c r="X1366">
        <v>1</v>
      </c>
      <c r="Y1366" s="2">
        <f>Table1[[#This Row],[premium_yearly]]*Table1[[#This Row],[tenure_years]]</f>
        <v>5576.4179999999997</v>
      </c>
      <c r="Z1366" s="2">
        <f>Table1[[#This Row],[total_collected_premiums]]*(1-$AD$2)</f>
        <v>4070.7851399999995</v>
      </c>
      <c r="AA1366" s="2">
        <f>Table1[[#This Row],[retained_premium]]-Table1[[#This Row],[claim_amount_paid]]</f>
        <v>3070.7851399999995</v>
      </c>
    </row>
    <row r="1367" spans="1:27" x14ac:dyDescent="0.35">
      <c r="A1367" t="s">
        <v>4140</v>
      </c>
      <c r="B1367" t="s">
        <v>4141</v>
      </c>
      <c r="C1367" t="s">
        <v>4142</v>
      </c>
      <c r="D1367" s="1">
        <v>43128</v>
      </c>
      <c r="E1367" s="1">
        <v>44321</v>
      </c>
      <c r="F1367" s="1">
        <v>44322</v>
      </c>
      <c r="G1367">
        <v>1</v>
      </c>
      <c r="H1367">
        <v>132.97</v>
      </c>
      <c r="I1367">
        <v>1595.64</v>
      </c>
      <c r="J1367">
        <v>1000</v>
      </c>
      <c r="K1367" t="s">
        <v>27</v>
      </c>
      <c r="L1367">
        <v>1000</v>
      </c>
      <c r="M1367">
        <v>4.67</v>
      </c>
      <c r="N1367" t="s">
        <v>49</v>
      </c>
      <c r="O1367">
        <v>56</v>
      </c>
      <c r="P1367">
        <v>60</v>
      </c>
      <c r="Q1367">
        <v>1</v>
      </c>
      <c r="R1367">
        <v>3</v>
      </c>
      <c r="S1367" t="s">
        <v>29</v>
      </c>
      <c r="T1367" t="s">
        <v>44</v>
      </c>
      <c r="U1367" t="s">
        <v>38</v>
      </c>
      <c r="V1367" t="s">
        <v>39</v>
      </c>
      <c r="W1367">
        <v>0</v>
      </c>
      <c r="X1367">
        <v>1</v>
      </c>
      <c r="Y1367" s="2">
        <f>Table1[[#This Row],[premium_yearly]]*Table1[[#This Row],[tenure_years]]</f>
        <v>7451.6388000000006</v>
      </c>
      <c r="Z1367" s="2">
        <f>Table1[[#This Row],[total_collected_premiums]]*(1-$AD$2)</f>
        <v>5439.6963240000005</v>
      </c>
      <c r="AA1367" s="2">
        <f>Table1[[#This Row],[retained_premium]]-Table1[[#This Row],[claim_amount_paid]]</f>
        <v>4439.6963240000005</v>
      </c>
    </row>
    <row r="1368" spans="1:27" x14ac:dyDescent="0.35">
      <c r="A1368" t="s">
        <v>4143</v>
      </c>
      <c r="B1368" t="s">
        <v>4144</v>
      </c>
      <c r="C1368" t="s">
        <v>4145</v>
      </c>
      <c r="D1368" s="1">
        <v>40907</v>
      </c>
      <c r="E1368" s="1">
        <v>44319</v>
      </c>
      <c r="F1368" s="1">
        <v>44321</v>
      </c>
      <c r="G1368">
        <v>2</v>
      </c>
      <c r="H1368">
        <v>86.06</v>
      </c>
      <c r="I1368">
        <v>1032.72</v>
      </c>
      <c r="J1368">
        <v>2000</v>
      </c>
      <c r="K1368" t="s">
        <v>27</v>
      </c>
      <c r="L1368">
        <v>2000</v>
      </c>
      <c r="M1368">
        <v>9.08</v>
      </c>
      <c r="N1368" t="s">
        <v>28</v>
      </c>
      <c r="O1368">
        <v>109</v>
      </c>
      <c r="P1368">
        <v>32</v>
      </c>
      <c r="Q1368">
        <v>1</v>
      </c>
      <c r="R1368">
        <v>7</v>
      </c>
      <c r="S1368" t="s">
        <v>29</v>
      </c>
      <c r="T1368" t="s">
        <v>30</v>
      </c>
      <c r="U1368" t="s">
        <v>107</v>
      </c>
      <c r="V1368" t="s">
        <v>39</v>
      </c>
      <c r="W1368">
        <v>1</v>
      </c>
      <c r="X1368">
        <v>1</v>
      </c>
      <c r="Y1368" s="2">
        <f>Table1[[#This Row],[premium_yearly]]*Table1[[#This Row],[tenure_years]]</f>
        <v>9377.097600000001</v>
      </c>
      <c r="Z1368" s="2">
        <f>Table1[[#This Row],[total_collected_premiums]]*(1-$AD$2)</f>
        <v>6845.2812480000002</v>
      </c>
      <c r="AA1368" s="2">
        <f>Table1[[#This Row],[retained_premium]]-Table1[[#This Row],[claim_amount_paid]]</f>
        <v>4845.2812480000002</v>
      </c>
    </row>
    <row r="1369" spans="1:27" x14ac:dyDescent="0.35">
      <c r="A1369" t="s">
        <v>4146</v>
      </c>
      <c r="B1369" t="s">
        <v>4147</v>
      </c>
      <c r="C1369" t="s">
        <v>4148</v>
      </c>
      <c r="D1369" s="1">
        <v>42491</v>
      </c>
      <c r="E1369" s="1">
        <v>44320</v>
      </c>
      <c r="F1369" s="1">
        <v>44321</v>
      </c>
      <c r="G1369">
        <v>1</v>
      </c>
      <c r="H1369">
        <v>127.41</v>
      </c>
      <c r="I1369">
        <v>1528.92</v>
      </c>
      <c r="J1369">
        <v>7000</v>
      </c>
      <c r="K1369" t="s">
        <v>27</v>
      </c>
      <c r="L1369">
        <v>7000</v>
      </c>
      <c r="M1369">
        <v>7.67</v>
      </c>
      <c r="N1369" t="s">
        <v>36</v>
      </c>
      <c r="O1369">
        <v>92</v>
      </c>
      <c r="P1369">
        <v>43</v>
      </c>
      <c r="Q1369">
        <v>0</v>
      </c>
      <c r="R1369">
        <v>6</v>
      </c>
      <c r="S1369" t="s">
        <v>37</v>
      </c>
      <c r="T1369" t="s">
        <v>44</v>
      </c>
      <c r="U1369" t="s">
        <v>51</v>
      </c>
      <c r="V1369" t="s">
        <v>39</v>
      </c>
      <c r="W1369">
        <v>1</v>
      </c>
      <c r="X1369">
        <v>1</v>
      </c>
      <c r="Y1369" s="2">
        <f>Table1[[#This Row],[premium_yearly]]*Table1[[#This Row],[tenure_years]]</f>
        <v>11726.8164</v>
      </c>
      <c r="Z1369" s="2">
        <f>Table1[[#This Row],[total_collected_premiums]]*(1-$AD$2)</f>
        <v>8560.5759719999987</v>
      </c>
      <c r="AA1369" s="2">
        <f>Table1[[#This Row],[retained_premium]]-Table1[[#This Row],[claim_amount_paid]]</f>
        <v>1560.5759719999987</v>
      </c>
    </row>
    <row r="1370" spans="1:27" x14ac:dyDescent="0.35">
      <c r="A1370" t="s">
        <v>4149</v>
      </c>
      <c r="B1370" t="s">
        <v>4150</v>
      </c>
      <c r="C1370" t="s">
        <v>4151</v>
      </c>
      <c r="D1370" s="1">
        <v>42866</v>
      </c>
      <c r="E1370" s="1">
        <v>44308</v>
      </c>
      <c r="F1370" s="1">
        <v>44313</v>
      </c>
      <c r="G1370">
        <v>5</v>
      </c>
      <c r="H1370">
        <v>125.2</v>
      </c>
      <c r="I1370">
        <v>1502.4</v>
      </c>
      <c r="J1370">
        <v>10000</v>
      </c>
      <c r="K1370" t="s">
        <v>27</v>
      </c>
      <c r="L1370">
        <v>10000</v>
      </c>
      <c r="M1370">
        <v>3.33</v>
      </c>
      <c r="N1370" t="s">
        <v>36</v>
      </c>
      <c r="O1370">
        <v>40</v>
      </c>
      <c r="P1370">
        <v>41</v>
      </c>
      <c r="Q1370">
        <v>1</v>
      </c>
      <c r="R1370">
        <v>6</v>
      </c>
      <c r="S1370" t="s">
        <v>65</v>
      </c>
      <c r="T1370" t="s">
        <v>30</v>
      </c>
      <c r="U1370" t="s">
        <v>31</v>
      </c>
      <c r="V1370" t="s">
        <v>32</v>
      </c>
      <c r="W1370">
        <v>1</v>
      </c>
      <c r="X1370">
        <v>0</v>
      </c>
      <c r="Y1370" s="2">
        <f>Table1[[#This Row],[premium_yearly]]*Table1[[#This Row],[tenure_years]]</f>
        <v>5002.9920000000002</v>
      </c>
      <c r="Z1370" s="2">
        <f>Table1[[#This Row],[total_collected_premiums]]*(1-$AD$2)</f>
        <v>3652.1841600000002</v>
      </c>
      <c r="AA1370" s="2">
        <f>Table1[[#This Row],[retained_premium]]-Table1[[#This Row],[claim_amount_paid]]</f>
        <v>-6347.8158399999993</v>
      </c>
    </row>
    <row r="1371" spans="1:27" x14ac:dyDescent="0.35">
      <c r="A1371" t="s">
        <v>4152</v>
      </c>
      <c r="B1371" t="s">
        <v>4153</v>
      </c>
      <c r="C1371" t="s">
        <v>4154</v>
      </c>
      <c r="D1371" s="1">
        <v>42752</v>
      </c>
      <c r="E1371" s="1">
        <v>44312</v>
      </c>
      <c r="F1371" s="1">
        <v>44317</v>
      </c>
      <c r="G1371">
        <v>5</v>
      </c>
      <c r="H1371">
        <v>87.82</v>
      </c>
      <c r="I1371">
        <v>1053.8399999999999</v>
      </c>
      <c r="J1371">
        <v>7000</v>
      </c>
      <c r="K1371" t="s">
        <v>27</v>
      </c>
      <c r="L1371">
        <v>7000</v>
      </c>
      <c r="M1371">
        <v>9.67</v>
      </c>
      <c r="N1371" t="s">
        <v>36</v>
      </c>
      <c r="O1371">
        <v>116</v>
      </c>
      <c r="P1371">
        <v>46</v>
      </c>
      <c r="Q1371">
        <v>0</v>
      </c>
      <c r="R1371">
        <v>6</v>
      </c>
      <c r="S1371" t="s">
        <v>29</v>
      </c>
      <c r="T1371" t="s">
        <v>50</v>
      </c>
      <c r="U1371" t="s">
        <v>31</v>
      </c>
      <c r="V1371" t="s">
        <v>32</v>
      </c>
      <c r="W1371">
        <v>1</v>
      </c>
      <c r="X1371">
        <v>1</v>
      </c>
      <c r="Y1371" s="2">
        <f>Table1[[#This Row],[premium_yearly]]*Table1[[#This Row],[tenure_years]]</f>
        <v>10190.632799999999</v>
      </c>
      <c r="Z1371" s="2">
        <f>Table1[[#This Row],[total_collected_premiums]]*(1-$AD$2)</f>
        <v>7439.1619439999995</v>
      </c>
      <c r="AA1371" s="2">
        <f>Table1[[#This Row],[retained_premium]]-Table1[[#This Row],[claim_amount_paid]]</f>
        <v>439.16194399999949</v>
      </c>
    </row>
    <row r="1372" spans="1:27" x14ac:dyDescent="0.35">
      <c r="A1372" t="s">
        <v>4155</v>
      </c>
      <c r="B1372" t="s">
        <v>4156</v>
      </c>
      <c r="C1372" t="s">
        <v>4157</v>
      </c>
      <c r="D1372" s="1">
        <v>40728</v>
      </c>
      <c r="E1372" s="1">
        <v>44319</v>
      </c>
      <c r="F1372" s="1">
        <v>44321</v>
      </c>
      <c r="G1372">
        <v>2</v>
      </c>
      <c r="H1372">
        <v>77.69</v>
      </c>
      <c r="I1372">
        <v>932.28</v>
      </c>
      <c r="J1372">
        <v>9000</v>
      </c>
      <c r="K1372" t="s">
        <v>27</v>
      </c>
      <c r="L1372">
        <v>9000</v>
      </c>
      <c r="M1372">
        <v>0.67</v>
      </c>
      <c r="N1372" t="s">
        <v>36</v>
      </c>
      <c r="O1372">
        <v>8</v>
      </c>
      <c r="P1372">
        <v>41</v>
      </c>
      <c r="Q1372">
        <v>1</v>
      </c>
      <c r="R1372">
        <v>3</v>
      </c>
      <c r="S1372" t="s">
        <v>29</v>
      </c>
      <c r="T1372" t="s">
        <v>30</v>
      </c>
      <c r="U1372" t="s">
        <v>38</v>
      </c>
      <c r="V1372" t="s">
        <v>45</v>
      </c>
      <c r="W1372">
        <v>1</v>
      </c>
      <c r="X1372">
        <v>1</v>
      </c>
      <c r="Y1372" s="2">
        <f>Table1[[#This Row],[premium_yearly]]*Table1[[#This Row],[tenure_years]]</f>
        <v>624.62760000000003</v>
      </c>
      <c r="Z1372" s="2">
        <f>Table1[[#This Row],[total_collected_premiums]]*(1-$AD$2)</f>
        <v>455.97814800000003</v>
      </c>
      <c r="AA1372" s="2">
        <f>Table1[[#This Row],[retained_premium]]-Table1[[#This Row],[claim_amount_paid]]</f>
        <v>-8544.0218519999999</v>
      </c>
    </row>
    <row r="1373" spans="1:27" x14ac:dyDescent="0.35">
      <c r="A1373" t="s">
        <v>4158</v>
      </c>
      <c r="B1373" t="s">
        <v>4159</v>
      </c>
      <c r="C1373" t="s">
        <v>4160</v>
      </c>
      <c r="D1373" s="1">
        <v>41872</v>
      </c>
      <c r="E1373" s="1">
        <v>44310</v>
      </c>
      <c r="F1373" s="1">
        <v>44315</v>
      </c>
      <c r="G1373">
        <v>5</v>
      </c>
      <c r="H1373">
        <v>112.71</v>
      </c>
      <c r="I1373">
        <v>1352.52</v>
      </c>
      <c r="J1373">
        <v>7000</v>
      </c>
      <c r="K1373" t="s">
        <v>27</v>
      </c>
      <c r="L1373">
        <v>7000</v>
      </c>
      <c r="M1373">
        <v>3.17</v>
      </c>
      <c r="N1373" t="s">
        <v>49</v>
      </c>
      <c r="O1373">
        <v>38</v>
      </c>
      <c r="P1373">
        <v>51</v>
      </c>
      <c r="Q1373">
        <v>1</v>
      </c>
      <c r="R1373">
        <v>2</v>
      </c>
      <c r="S1373" t="s">
        <v>65</v>
      </c>
      <c r="T1373" t="s">
        <v>44</v>
      </c>
      <c r="U1373" t="s">
        <v>107</v>
      </c>
      <c r="V1373" t="s">
        <v>32</v>
      </c>
      <c r="W1373">
        <v>0</v>
      </c>
      <c r="X1373">
        <v>1</v>
      </c>
      <c r="Y1373" s="2">
        <f>Table1[[#This Row],[premium_yearly]]*Table1[[#This Row],[tenure_years]]</f>
        <v>4287.4884000000002</v>
      </c>
      <c r="Z1373" s="2">
        <f>Table1[[#This Row],[total_collected_premiums]]*(1-$AD$2)</f>
        <v>3129.866532</v>
      </c>
      <c r="AA1373" s="2">
        <f>Table1[[#This Row],[retained_premium]]-Table1[[#This Row],[claim_amount_paid]]</f>
        <v>-3870.133468</v>
      </c>
    </row>
    <row r="1374" spans="1:27" x14ac:dyDescent="0.35">
      <c r="A1374" t="s">
        <v>4161</v>
      </c>
      <c r="B1374" t="s">
        <v>4162</v>
      </c>
      <c r="C1374" t="s">
        <v>4163</v>
      </c>
      <c r="D1374" s="1">
        <v>41304</v>
      </c>
      <c r="E1374" s="1">
        <v>44311</v>
      </c>
      <c r="F1374" s="1">
        <v>44316</v>
      </c>
      <c r="G1374">
        <v>5</v>
      </c>
      <c r="H1374">
        <v>115.17</v>
      </c>
      <c r="I1374">
        <v>1382.04</v>
      </c>
      <c r="J1374">
        <v>1000</v>
      </c>
      <c r="K1374" t="s">
        <v>27</v>
      </c>
      <c r="L1374">
        <v>1000</v>
      </c>
      <c r="M1374">
        <v>7.25</v>
      </c>
      <c r="N1374" t="s">
        <v>49</v>
      </c>
      <c r="O1374">
        <v>87</v>
      </c>
      <c r="P1374">
        <v>25</v>
      </c>
      <c r="Q1374">
        <v>1</v>
      </c>
      <c r="R1374">
        <v>7</v>
      </c>
      <c r="S1374" t="s">
        <v>29</v>
      </c>
      <c r="T1374" t="s">
        <v>30</v>
      </c>
      <c r="U1374" t="s">
        <v>66</v>
      </c>
      <c r="V1374" t="s">
        <v>32</v>
      </c>
      <c r="W1374">
        <v>1</v>
      </c>
      <c r="X1374">
        <v>0</v>
      </c>
      <c r="Y1374" s="2">
        <f>Table1[[#This Row],[premium_yearly]]*Table1[[#This Row],[tenure_years]]</f>
        <v>10019.789999999999</v>
      </c>
      <c r="Z1374" s="2">
        <f>Table1[[#This Row],[total_collected_premiums]]*(1-$AD$2)</f>
        <v>7314.4466999999995</v>
      </c>
      <c r="AA1374" s="2">
        <f>Table1[[#This Row],[retained_premium]]-Table1[[#This Row],[claim_amount_paid]]</f>
        <v>6314.4466999999995</v>
      </c>
    </row>
    <row r="1375" spans="1:27" x14ac:dyDescent="0.35">
      <c r="A1375" t="s">
        <v>4164</v>
      </c>
      <c r="B1375" t="s">
        <v>4165</v>
      </c>
      <c r="C1375" t="s">
        <v>4166</v>
      </c>
      <c r="D1375" s="1">
        <v>42599</v>
      </c>
      <c r="E1375" s="1">
        <v>44324</v>
      </c>
      <c r="F1375" s="1">
        <v>44324</v>
      </c>
      <c r="G1375">
        <v>0</v>
      </c>
      <c r="H1375">
        <v>70.64</v>
      </c>
      <c r="I1375">
        <v>847.68</v>
      </c>
      <c r="J1375">
        <v>8000</v>
      </c>
      <c r="K1375" t="s">
        <v>27</v>
      </c>
      <c r="L1375">
        <v>8000</v>
      </c>
      <c r="M1375">
        <v>1.42</v>
      </c>
      <c r="N1375" t="s">
        <v>49</v>
      </c>
      <c r="O1375">
        <v>17</v>
      </c>
      <c r="P1375">
        <v>40</v>
      </c>
      <c r="Q1375">
        <v>0</v>
      </c>
      <c r="R1375">
        <v>5</v>
      </c>
      <c r="S1375" t="s">
        <v>65</v>
      </c>
      <c r="T1375" t="s">
        <v>30</v>
      </c>
      <c r="U1375" t="s">
        <v>38</v>
      </c>
      <c r="V1375" t="s">
        <v>32</v>
      </c>
      <c r="W1375">
        <v>0</v>
      </c>
      <c r="X1375">
        <v>1</v>
      </c>
      <c r="Y1375" s="2">
        <f>Table1[[#This Row],[premium_yearly]]*Table1[[#This Row],[tenure_years]]</f>
        <v>1203.7055999999998</v>
      </c>
      <c r="Z1375" s="2">
        <f>Table1[[#This Row],[total_collected_premiums]]*(1-$AD$2)</f>
        <v>878.70508799999982</v>
      </c>
      <c r="AA1375" s="2">
        <f>Table1[[#This Row],[retained_premium]]-Table1[[#This Row],[claim_amount_paid]]</f>
        <v>-7121.2949120000003</v>
      </c>
    </row>
    <row r="1376" spans="1:27" x14ac:dyDescent="0.35">
      <c r="A1376" t="s">
        <v>4167</v>
      </c>
      <c r="B1376" t="s">
        <v>4168</v>
      </c>
      <c r="C1376" t="s">
        <v>4169</v>
      </c>
      <c r="D1376" s="1">
        <v>40597</v>
      </c>
      <c r="E1376" s="1">
        <v>44314</v>
      </c>
      <c r="F1376" s="1">
        <v>44319</v>
      </c>
      <c r="G1376">
        <v>5</v>
      </c>
      <c r="H1376">
        <v>138.68</v>
      </c>
      <c r="I1376">
        <v>1664.16</v>
      </c>
      <c r="J1376">
        <v>2000</v>
      </c>
      <c r="K1376" t="s">
        <v>27</v>
      </c>
      <c r="L1376">
        <v>2000</v>
      </c>
      <c r="M1376">
        <v>2.17</v>
      </c>
      <c r="N1376" t="s">
        <v>28</v>
      </c>
      <c r="O1376">
        <v>26</v>
      </c>
      <c r="P1376">
        <v>32</v>
      </c>
      <c r="Q1376">
        <v>1</v>
      </c>
      <c r="R1376">
        <v>7</v>
      </c>
      <c r="S1376" t="s">
        <v>37</v>
      </c>
      <c r="T1376" t="s">
        <v>30</v>
      </c>
      <c r="U1376" t="s">
        <v>66</v>
      </c>
      <c r="V1376" t="s">
        <v>32</v>
      </c>
      <c r="W1376">
        <v>0</v>
      </c>
      <c r="X1376">
        <v>1</v>
      </c>
      <c r="Y1376" s="2">
        <f>Table1[[#This Row],[premium_yearly]]*Table1[[#This Row],[tenure_years]]</f>
        <v>3611.2272000000003</v>
      </c>
      <c r="Z1376" s="2">
        <f>Table1[[#This Row],[total_collected_premiums]]*(1-$AD$2)</f>
        <v>2636.1958560000003</v>
      </c>
      <c r="AA1376" s="2">
        <f>Table1[[#This Row],[retained_premium]]-Table1[[#This Row],[claim_amount_paid]]</f>
        <v>636.19585600000028</v>
      </c>
    </row>
    <row r="1377" spans="1:27" x14ac:dyDescent="0.35">
      <c r="A1377" t="s">
        <v>4170</v>
      </c>
      <c r="B1377" t="s">
        <v>4171</v>
      </c>
      <c r="C1377" t="s">
        <v>4172</v>
      </c>
      <c r="D1377" s="1">
        <v>41015</v>
      </c>
      <c r="E1377" s="1">
        <v>44308</v>
      </c>
      <c r="F1377" s="1">
        <v>44313</v>
      </c>
      <c r="G1377">
        <v>5</v>
      </c>
      <c r="H1377">
        <v>116.37</v>
      </c>
      <c r="I1377">
        <v>1396.44</v>
      </c>
      <c r="J1377">
        <v>1000</v>
      </c>
      <c r="K1377" t="s">
        <v>27</v>
      </c>
      <c r="L1377">
        <v>1000</v>
      </c>
      <c r="M1377">
        <v>9.33</v>
      </c>
      <c r="N1377" t="s">
        <v>28</v>
      </c>
      <c r="O1377">
        <v>112</v>
      </c>
      <c r="P1377">
        <v>39</v>
      </c>
      <c r="Q1377">
        <v>1</v>
      </c>
      <c r="R1377">
        <v>4</v>
      </c>
      <c r="S1377" t="s">
        <v>29</v>
      </c>
      <c r="T1377" t="s">
        <v>30</v>
      </c>
      <c r="U1377" t="s">
        <v>38</v>
      </c>
      <c r="V1377" t="s">
        <v>39</v>
      </c>
      <c r="W1377">
        <v>0</v>
      </c>
      <c r="X1377">
        <v>0</v>
      </c>
      <c r="Y1377" s="2">
        <f>Table1[[#This Row],[premium_yearly]]*Table1[[#This Row],[tenure_years]]</f>
        <v>13028.7852</v>
      </c>
      <c r="Z1377" s="2">
        <f>Table1[[#This Row],[total_collected_premiums]]*(1-$AD$2)</f>
        <v>9511.0131959999999</v>
      </c>
      <c r="AA1377" s="2">
        <f>Table1[[#This Row],[retained_premium]]-Table1[[#This Row],[claim_amount_paid]]</f>
        <v>8511.0131959999999</v>
      </c>
    </row>
    <row r="1378" spans="1:27" x14ac:dyDescent="0.35">
      <c r="A1378" t="s">
        <v>4173</v>
      </c>
      <c r="B1378" t="s">
        <v>4174</v>
      </c>
      <c r="C1378" t="s">
        <v>4175</v>
      </c>
      <c r="D1378" s="1">
        <v>43813</v>
      </c>
      <c r="E1378" s="1">
        <v>44317</v>
      </c>
      <c r="F1378" s="1">
        <v>44322</v>
      </c>
      <c r="G1378">
        <v>5</v>
      </c>
      <c r="H1378">
        <v>125.25</v>
      </c>
      <c r="I1378">
        <v>1503</v>
      </c>
      <c r="J1378">
        <v>10000</v>
      </c>
      <c r="K1378" t="s">
        <v>27</v>
      </c>
      <c r="L1378">
        <v>10000</v>
      </c>
      <c r="M1378">
        <v>4.25</v>
      </c>
      <c r="N1378" t="s">
        <v>28</v>
      </c>
      <c r="O1378">
        <v>51</v>
      </c>
      <c r="P1378">
        <v>47</v>
      </c>
      <c r="Q1378">
        <v>1</v>
      </c>
      <c r="R1378">
        <v>5</v>
      </c>
      <c r="S1378" t="s">
        <v>65</v>
      </c>
      <c r="T1378" t="s">
        <v>50</v>
      </c>
      <c r="U1378" t="s">
        <v>38</v>
      </c>
      <c r="V1378" t="s">
        <v>39</v>
      </c>
      <c r="W1378">
        <v>0</v>
      </c>
      <c r="X1378">
        <v>1</v>
      </c>
      <c r="Y1378" s="2">
        <f>Table1[[#This Row],[premium_yearly]]*Table1[[#This Row],[tenure_years]]</f>
        <v>6387.75</v>
      </c>
      <c r="Z1378" s="2">
        <f>Table1[[#This Row],[total_collected_premiums]]*(1-$AD$2)</f>
        <v>4663.0574999999999</v>
      </c>
      <c r="AA1378" s="2">
        <f>Table1[[#This Row],[retained_premium]]-Table1[[#This Row],[claim_amount_paid]]</f>
        <v>-5336.9425000000001</v>
      </c>
    </row>
    <row r="1379" spans="1:27" x14ac:dyDescent="0.35">
      <c r="A1379" t="s">
        <v>4176</v>
      </c>
      <c r="B1379" t="s">
        <v>4177</v>
      </c>
      <c r="C1379" t="s">
        <v>4178</v>
      </c>
      <c r="D1379" s="1">
        <v>42145</v>
      </c>
      <c r="E1379" s="1">
        <v>44324</v>
      </c>
      <c r="F1379" s="1">
        <v>44325</v>
      </c>
      <c r="G1379">
        <v>1</v>
      </c>
      <c r="H1379">
        <v>134.87</v>
      </c>
      <c r="I1379">
        <v>1618.44</v>
      </c>
      <c r="J1379">
        <v>5000</v>
      </c>
      <c r="K1379" t="s">
        <v>43</v>
      </c>
      <c r="L1379">
        <v>0</v>
      </c>
      <c r="M1379">
        <v>1.83</v>
      </c>
      <c r="N1379" t="s">
        <v>36</v>
      </c>
      <c r="O1379">
        <v>22</v>
      </c>
      <c r="P1379">
        <v>26</v>
      </c>
      <c r="Q1379">
        <v>1</v>
      </c>
      <c r="R1379">
        <v>6</v>
      </c>
      <c r="S1379" t="s">
        <v>65</v>
      </c>
      <c r="T1379" t="s">
        <v>30</v>
      </c>
      <c r="U1379" t="s">
        <v>107</v>
      </c>
      <c r="V1379" t="s">
        <v>39</v>
      </c>
      <c r="W1379">
        <v>1</v>
      </c>
      <c r="X1379">
        <v>0</v>
      </c>
      <c r="Y1379" s="2">
        <f>Table1[[#This Row],[premium_yearly]]*Table1[[#This Row],[tenure_years]]</f>
        <v>2961.7452000000003</v>
      </c>
      <c r="Z1379" s="2">
        <f>Table1[[#This Row],[total_collected_premiums]]*(1-$AD$2)</f>
        <v>2162.0739960000001</v>
      </c>
      <c r="AA1379" s="2">
        <f>Table1[[#This Row],[retained_premium]]-Table1[[#This Row],[claim_amount_paid]]</f>
        <v>2162.0739960000001</v>
      </c>
    </row>
    <row r="1380" spans="1:27" x14ac:dyDescent="0.35">
      <c r="A1380" t="s">
        <v>4179</v>
      </c>
      <c r="B1380" t="s">
        <v>4180</v>
      </c>
      <c r="C1380" t="s">
        <v>4181</v>
      </c>
      <c r="D1380" s="1">
        <v>41079</v>
      </c>
      <c r="E1380" s="1">
        <v>44323</v>
      </c>
      <c r="F1380" s="1">
        <v>44324</v>
      </c>
      <c r="G1380">
        <v>1</v>
      </c>
      <c r="H1380">
        <v>89.13</v>
      </c>
      <c r="I1380">
        <v>1069.56</v>
      </c>
      <c r="J1380">
        <v>10000</v>
      </c>
      <c r="K1380" t="s">
        <v>27</v>
      </c>
      <c r="L1380">
        <v>10000</v>
      </c>
      <c r="M1380">
        <v>7.92</v>
      </c>
      <c r="N1380" t="s">
        <v>36</v>
      </c>
      <c r="O1380">
        <v>95</v>
      </c>
      <c r="P1380">
        <v>50</v>
      </c>
      <c r="Q1380">
        <v>0</v>
      </c>
      <c r="R1380">
        <v>4</v>
      </c>
      <c r="S1380" t="s">
        <v>65</v>
      </c>
      <c r="T1380" t="s">
        <v>30</v>
      </c>
      <c r="U1380" t="s">
        <v>58</v>
      </c>
      <c r="V1380" t="s">
        <v>39</v>
      </c>
      <c r="W1380">
        <v>0</v>
      </c>
      <c r="X1380">
        <v>0</v>
      </c>
      <c r="Y1380" s="2">
        <f>Table1[[#This Row],[premium_yearly]]*Table1[[#This Row],[tenure_years]]</f>
        <v>8470.9151999999995</v>
      </c>
      <c r="Z1380" s="2">
        <f>Table1[[#This Row],[total_collected_premiums]]*(1-$AD$2)</f>
        <v>6183.7680959999998</v>
      </c>
      <c r="AA1380" s="2">
        <f>Table1[[#This Row],[retained_premium]]-Table1[[#This Row],[claim_amount_paid]]</f>
        <v>-3816.2319040000002</v>
      </c>
    </row>
    <row r="1381" spans="1:27" x14ac:dyDescent="0.35">
      <c r="A1381" t="s">
        <v>4182</v>
      </c>
      <c r="B1381" t="s">
        <v>4183</v>
      </c>
      <c r="C1381" t="s">
        <v>4184</v>
      </c>
      <c r="D1381" s="1">
        <v>40799</v>
      </c>
      <c r="E1381" s="1">
        <v>44322</v>
      </c>
      <c r="F1381" s="1">
        <v>44324</v>
      </c>
      <c r="G1381">
        <v>2</v>
      </c>
      <c r="H1381">
        <v>91.73</v>
      </c>
      <c r="I1381">
        <v>1100.76</v>
      </c>
      <c r="J1381">
        <v>4000</v>
      </c>
      <c r="K1381" t="s">
        <v>27</v>
      </c>
      <c r="L1381">
        <v>4000</v>
      </c>
      <c r="M1381">
        <v>6.25</v>
      </c>
      <c r="N1381" t="s">
        <v>28</v>
      </c>
      <c r="O1381">
        <v>75</v>
      </c>
      <c r="P1381">
        <v>52</v>
      </c>
      <c r="Q1381">
        <v>1</v>
      </c>
      <c r="R1381">
        <v>3</v>
      </c>
      <c r="S1381" t="s">
        <v>29</v>
      </c>
      <c r="T1381" t="s">
        <v>30</v>
      </c>
      <c r="U1381" t="s">
        <v>38</v>
      </c>
      <c r="V1381" t="s">
        <v>45</v>
      </c>
      <c r="W1381">
        <v>0</v>
      </c>
      <c r="X1381">
        <v>0</v>
      </c>
      <c r="Y1381" s="2">
        <f>Table1[[#This Row],[premium_yearly]]*Table1[[#This Row],[tenure_years]]</f>
        <v>6879.75</v>
      </c>
      <c r="Z1381" s="2">
        <f>Table1[[#This Row],[total_collected_premiums]]*(1-$AD$2)</f>
        <v>5022.2174999999997</v>
      </c>
      <c r="AA1381" s="2">
        <f>Table1[[#This Row],[retained_premium]]-Table1[[#This Row],[claim_amount_paid]]</f>
        <v>1022.2174999999997</v>
      </c>
    </row>
    <row r="1382" spans="1:27" x14ac:dyDescent="0.35">
      <c r="A1382" t="s">
        <v>4185</v>
      </c>
      <c r="B1382" t="s">
        <v>4186</v>
      </c>
      <c r="C1382" t="s">
        <v>4187</v>
      </c>
      <c r="D1382" s="1">
        <v>41179</v>
      </c>
      <c r="E1382" s="1">
        <v>44326</v>
      </c>
      <c r="F1382" s="1">
        <v>44326</v>
      </c>
      <c r="G1382">
        <v>0</v>
      </c>
      <c r="H1382">
        <v>102.17</v>
      </c>
      <c r="I1382">
        <v>1226.04</v>
      </c>
      <c r="J1382">
        <v>1000</v>
      </c>
      <c r="K1382" t="s">
        <v>27</v>
      </c>
      <c r="L1382">
        <v>1000</v>
      </c>
      <c r="M1382">
        <v>5.92</v>
      </c>
      <c r="N1382" t="s">
        <v>49</v>
      </c>
      <c r="O1382">
        <v>71</v>
      </c>
      <c r="P1382">
        <v>44</v>
      </c>
      <c r="Q1382">
        <v>1</v>
      </c>
      <c r="R1382">
        <v>4</v>
      </c>
      <c r="S1382" t="s">
        <v>65</v>
      </c>
      <c r="T1382" t="s">
        <v>44</v>
      </c>
      <c r="U1382" t="s">
        <v>38</v>
      </c>
      <c r="V1382" t="s">
        <v>39</v>
      </c>
      <c r="W1382">
        <v>0</v>
      </c>
      <c r="X1382">
        <v>1</v>
      </c>
      <c r="Y1382" s="2">
        <f>Table1[[#This Row],[premium_yearly]]*Table1[[#This Row],[tenure_years]]</f>
        <v>7258.1567999999997</v>
      </c>
      <c r="Z1382" s="2">
        <f>Table1[[#This Row],[total_collected_premiums]]*(1-$AD$2)</f>
        <v>5298.4544639999995</v>
      </c>
      <c r="AA1382" s="2">
        <f>Table1[[#This Row],[retained_premium]]-Table1[[#This Row],[claim_amount_paid]]</f>
        <v>4298.4544639999995</v>
      </c>
    </row>
    <row r="1383" spans="1:27" x14ac:dyDescent="0.35">
      <c r="A1383" t="s">
        <v>4188</v>
      </c>
      <c r="B1383" t="s">
        <v>4189</v>
      </c>
      <c r="C1383" t="s">
        <v>4190</v>
      </c>
      <c r="D1383" s="1">
        <v>42217</v>
      </c>
      <c r="E1383" s="1">
        <v>44325</v>
      </c>
      <c r="F1383" s="1">
        <v>44326</v>
      </c>
      <c r="G1383">
        <v>1</v>
      </c>
      <c r="H1383">
        <v>103.78</v>
      </c>
      <c r="I1383">
        <v>1245.3599999999999</v>
      </c>
      <c r="J1383">
        <v>2000</v>
      </c>
      <c r="K1383" t="s">
        <v>27</v>
      </c>
      <c r="L1383">
        <v>2000</v>
      </c>
      <c r="M1383">
        <v>4.58</v>
      </c>
      <c r="N1383" t="s">
        <v>36</v>
      </c>
      <c r="O1383">
        <v>55</v>
      </c>
      <c r="P1383">
        <v>36</v>
      </c>
      <c r="Q1383">
        <v>1</v>
      </c>
      <c r="R1383">
        <v>6</v>
      </c>
      <c r="S1383" t="s">
        <v>29</v>
      </c>
      <c r="T1383" t="s">
        <v>50</v>
      </c>
      <c r="U1383" t="s">
        <v>66</v>
      </c>
      <c r="V1383" t="s">
        <v>45</v>
      </c>
      <c r="W1383">
        <v>0</v>
      </c>
      <c r="X1383">
        <v>1</v>
      </c>
      <c r="Y1383" s="2">
        <f>Table1[[#This Row],[premium_yearly]]*Table1[[#This Row],[tenure_years]]</f>
        <v>5703.7487999999994</v>
      </c>
      <c r="Z1383" s="2">
        <f>Table1[[#This Row],[total_collected_premiums]]*(1-$AD$2)</f>
        <v>4163.7366239999992</v>
      </c>
      <c r="AA1383" s="2">
        <f>Table1[[#This Row],[retained_premium]]-Table1[[#This Row],[claim_amount_paid]]</f>
        <v>2163.7366239999992</v>
      </c>
    </row>
    <row r="1384" spans="1:27" x14ac:dyDescent="0.35">
      <c r="A1384" t="s">
        <v>4191</v>
      </c>
      <c r="B1384" t="s">
        <v>4192</v>
      </c>
      <c r="C1384" t="s">
        <v>4193</v>
      </c>
      <c r="D1384" s="1">
        <v>40639</v>
      </c>
      <c r="E1384" s="1">
        <v>44312</v>
      </c>
      <c r="F1384" s="1">
        <v>44317</v>
      </c>
      <c r="G1384">
        <v>5</v>
      </c>
      <c r="H1384">
        <v>101.08</v>
      </c>
      <c r="I1384">
        <v>1212.96</v>
      </c>
      <c r="J1384">
        <v>3000</v>
      </c>
      <c r="K1384" t="s">
        <v>27</v>
      </c>
      <c r="L1384">
        <v>3000</v>
      </c>
      <c r="M1384">
        <v>7.33</v>
      </c>
      <c r="N1384" t="s">
        <v>49</v>
      </c>
      <c r="O1384">
        <v>88</v>
      </c>
      <c r="P1384">
        <v>30</v>
      </c>
      <c r="Q1384">
        <v>0</v>
      </c>
      <c r="R1384">
        <v>7</v>
      </c>
      <c r="S1384" t="s">
        <v>37</v>
      </c>
      <c r="T1384" t="s">
        <v>30</v>
      </c>
      <c r="U1384" t="s">
        <v>31</v>
      </c>
      <c r="V1384" t="s">
        <v>45</v>
      </c>
      <c r="W1384">
        <v>1</v>
      </c>
      <c r="X1384">
        <v>0</v>
      </c>
      <c r="Y1384" s="2">
        <f>Table1[[#This Row],[premium_yearly]]*Table1[[#This Row],[tenure_years]]</f>
        <v>8890.9968000000008</v>
      </c>
      <c r="Z1384" s="2">
        <f>Table1[[#This Row],[total_collected_premiums]]*(1-$AD$2)</f>
        <v>6490.4276640000007</v>
      </c>
      <c r="AA1384" s="2">
        <f>Table1[[#This Row],[retained_premium]]-Table1[[#This Row],[claim_amount_paid]]</f>
        <v>3490.4276640000007</v>
      </c>
    </row>
    <row r="1385" spans="1:27" x14ac:dyDescent="0.35">
      <c r="A1385" t="s">
        <v>4194</v>
      </c>
      <c r="B1385" t="s">
        <v>4195</v>
      </c>
      <c r="C1385" t="s">
        <v>4196</v>
      </c>
      <c r="D1385" s="1">
        <v>43639</v>
      </c>
      <c r="E1385" s="1">
        <v>44325</v>
      </c>
      <c r="F1385" s="1">
        <v>44326</v>
      </c>
      <c r="G1385">
        <v>1</v>
      </c>
      <c r="H1385">
        <v>72.03</v>
      </c>
      <c r="I1385">
        <v>864.36</v>
      </c>
      <c r="J1385">
        <v>9000</v>
      </c>
      <c r="K1385" t="s">
        <v>27</v>
      </c>
      <c r="L1385">
        <v>9000</v>
      </c>
      <c r="M1385">
        <v>0.57999999999999996</v>
      </c>
      <c r="N1385" t="s">
        <v>36</v>
      </c>
      <c r="O1385">
        <v>7</v>
      </c>
      <c r="P1385">
        <v>31</v>
      </c>
      <c r="Q1385">
        <v>1</v>
      </c>
      <c r="R1385">
        <v>5</v>
      </c>
      <c r="S1385" t="s">
        <v>65</v>
      </c>
      <c r="T1385" t="s">
        <v>30</v>
      </c>
      <c r="U1385" t="s">
        <v>38</v>
      </c>
      <c r="V1385" t="s">
        <v>39</v>
      </c>
      <c r="W1385">
        <v>0</v>
      </c>
      <c r="X1385">
        <v>1</v>
      </c>
      <c r="Y1385" s="2">
        <f>Table1[[#This Row],[premium_yearly]]*Table1[[#This Row],[tenure_years]]</f>
        <v>501.3288</v>
      </c>
      <c r="Z1385" s="2">
        <f>Table1[[#This Row],[total_collected_premiums]]*(1-$AD$2)</f>
        <v>365.97002399999997</v>
      </c>
      <c r="AA1385" s="2">
        <f>Table1[[#This Row],[retained_premium]]-Table1[[#This Row],[claim_amount_paid]]</f>
        <v>-8634.0299759999998</v>
      </c>
    </row>
    <row r="1386" spans="1:27" x14ac:dyDescent="0.35">
      <c r="A1386" t="s">
        <v>4197</v>
      </c>
      <c r="B1386" t="s">
        <v>4198</v>
      </c>
      <c r="C1386" t="s">
        <v>4199</v>
      </c>
      <c r="D1386" s="1">
        <v>43707</v>
      </c>
      <c r="E1386" s="1">
        <v>44326</v>
      </c>
      <c r="F1386" s="1">
        <v>44327</v>
      </c>
      <c r="G1386">
        <v>1</v>
      </c>
      <c r="H1386">
        <v>87.48</v>
      </c>
      <c r="I1386">
        <v>1049.76</v>
      </c>
      <c r="J1386">
        <v>3000</v>
      </c>
      <c r="K1386" t="s">
        <v>27</v>
      </c>
      <c r="L1386">
        <v>3000</v>
      </c>
      <c r="M1386">
        <v>6.83</v>
      </c>
      <c r="N1386" t="s">
        <v>28</v>
      </c>
      <c r="O1386">
        <v>82</v>
      </c>
      <c r="P1386">
        <v>61</v>
      </c>
      <c r="Q1386">
        <v>1</v>
      </c>
      <c r="R1386">
        <v>5</v>
      </c>
      <c r="S1386" t="s">
        <v>29</v>
      </c>
      <c r="T1386" t="s">
        <v>44</v>
      </c>
      <c r="U1386" t="s">
        <v>38</v>
      </c>
      <c r="V1386" t="s">
        <v>45</v>
      </c>
      <c r="W1386">
        <v>1</v>
      </c>
      <c r="X1386">
        <v>1</v>
      </c>
      <c r="Y1386" s="2">
        <f>Table1[[#This Row],[premium_yearly]]*Table1[[#This Row],[tenure_years]]</f>
        <v>7169.8608000000004</v>
      </c>
      <c r="Z1386" s="2">
        <f>Table1[[#This Row],[total_collected_premiums]]*(1-$AD$2)</f>
        <v>5233.9983840000004</v>
      </c>
      <c r="AA1386" s="2">
        <f>Table1[[#This Row],[retained_premium]]-Table1[[#This Row],[claim_amount_paid]]</f>
        <v>2233.9983840000004</v>
      </c>
    </row>
    <row r="1387" spans="1:27" x14ac:dyDescent="0.35">
      <c r="A1387" t="s">
        <v>4200</v>
      </c>
      <c r="B1387" t="s">
        <v>4201</v>
      </c>
      <c r="C1387" t="s">
        <v>4202</v>
      </c>
      <c r="D1387" s="1">
        <v>41545</v>
      </c>
      <c r="E1387" s="1">
        <v>44321</v>
      </c>
      <c r="F1387" s="1">
        <v>44324</v>
      </c>
      <c r="G1387">
        <v>3</v>
      </c>
      <c r="H1387">
        <v>77.94</v>
      </c>
      <c r="I1387">
        <v>935.28</v>
      </c>
      <c r="J1387">
        <v>4000</v>
      </c>
      <c r="K1387" t="s">
        <v>27</v>
      </c>
      <c r="L1387">
        <v>4000</v>
      </c>
      <c r="M1387">
        <v>1.58</v>
      </c>
      <c r="N1387" t="s">
        <v>28</v>
      </c>
      <c r="O1387">
        <v>19</v>
      </c>
      <c r="P1387">
        <v>61</v>
      </c>
      <c r="Q1387">
        <v>1</v>
      </c>
      <c r="R1387">
        <v>7</v>
      </c>
      <c r="S1387" t="s">
        <v>65</v>
      </c>
      <c r="T1387" t="s">
        <v>30</v>
      </c>
      <c r="U1387" t="s">
        <v>58</v>
      </c>
      <c r="V1387" t="s">
        <v>32</v>
      </c>
      <c r="W1387">
        <v>1</v>
      </c>
      <c r="X1387">
        <v>1</v>
      </c>
      <c r="Y1387" s="2">
        <f>Table1[[#This Row],[premium_yearly]]*Table1[[#This Row],[tenure_years]]</f>
        <v>1477.7424000000001</v>
      </c>
      <c r="Z1387" s="2">
        <f>Table1[[#This Row],[total_collected_premiums]]*(1-$AD$2)</f>
        <v>1078.7519520000001</v>
      </c>
      <c r="AA1387" s="2">
        <f>Table1[[#This Row],[retained_premium]]-Table1[[#This Row],[claim_amount_paid]]</f>
        <v>-2921.2480479999999</v>
      </c>
    </row>
    <row r="1388" spans="1:27" x14ac:dyDescent="0.35">
      <c r="A1388" t="s">
        <v>4203</v>
      </c>
      <c r="B1388" t="s">
        <v>4204</v>
      </c>
      <c r="C1388" t="s">
        <v>4205</v>
      </c>
      <c r="D1388" s="1">
        <v>42881</v>
      </c>
      <c r="E1388" s="1">
        <v>44326</v>
      </c>
      <c r="F1388" s="1">
        <v>44328</v>
      </c>
      <c r="G1388">
        <v>2</v>
      </c>
      <c r="H1388">
        <v>90.34</v>
      </c>
      <c r="I1388">
        <v>1084.08</v>
      </c>
      <c r="J1388">
        <v>1000</v>
      </c>
      <c r="K1388" t="s">
        <v>27</v>
      </c>
      <c r="L1388">
        <v>1000</v>
      </c>
      <c r="M1388">
        <v>8.83</v>
      </c>
      <c r="N1388" t="s">
        <v>36</v>
      </c>
      <c r="O1388">
        <v>106</v>
      </c>
      <c r="P1388">
        <v>50</v>
      </c>
      <c r="Q1388">
        <v>1</v>
      </c>
      <c r="R1388">
        <v>4</v>
      </c>
      <c r="S1388" t="s">
        <v>65</v>
      </c>
      <c r="T1388" t="s">
        <v>30</v>
      </c>
      <c r="U1388" t="s">
        <v>38</v>
      </c>
      <c r="V1388" t="s">
        <v>45</v>
      </c>
      <c r="W1388">
        <v>0</v>
      </c>
      <c r="X1388">
        <v>1</v>
      </c>
      <c r="Y1388" s="2">
        <f>Table1[[#This Row],[premium_yearly]]*Table1[[#This Row],[tenure_years]]</f>
        <v>9572.4264000000003</v>
      </c>
      <c r="Z1388" s="2">
        <f>Table1[[#This Row],[total_collected_premiums]]*(1-$AD$2)</f>
        <v>6987.8712720000003</v>
      </c>
      <c r="AA1388" s="2">
        <f>Table1[[#This Row],[retained_premium]]-Table1[[#This Row],[claim_amount_paid]]</f>
        <v>5987.8712720000003</v>
      </c>
    </row>
    <row r="1389" spans="1:27" x14ac:dyDescent="0.35">
      <c r="A1389" t="s">
        <v>4206</v>
      </c>
      <c r="B1389" t="s">
        <v>4207</v>
      </c>
      <c r="C1389" t="s">
        <v>4208</v>
      </c>
      <c r="D1389" s="1">
        <v>40833</v>
      </c>
      <c r="E1389" s="1">
        <v>44315</v>
      </c>
      <c r="F1389" s="1">
        <v>44320</v>
      </c>
      <c r="G1389">
        <v>5</v>
      </c>
      <c r="H1389">
        <v>89.61</v>
      </c>
      <c r="I1389">
        <v>1075.32</v>
      </c>
      <c r="J1389">
        <v>9000</v>
      </c>
      <c r="K1389" t="s">
        <v>27</v>
      </c>
      <c r="L1389">
        <v>9000</v>
      </c>
      <c r="M1389">
        <v>7.42</v>
      </c>
      <c r="N1389" t="s">
        <v>36</v>
      </c>
      <c r="O1389">
        <v>89</v>
      </c>
      <c r="P1389">
        <v>51</v>
      </c>
      <c r="Q1389">
        <v>0</v>
      </c>
      <c r="R1389">
        <v>7</v>
      </c>
      <c r="S1389" t="s">
        <v>65</v>
      </c>
      <c r="T1389" t="s">
        <v>30</v>
      </c>
      <c r="U1389" t="s">
        <v>66</v>
      </c>
      <c r="V1389" t="s">
        <v>45</v>
      </c>
      <c r="W1389">
        <v>0</v>
      </c>
      <c r="X1389">
        <v>1</v>
      </c>
      <c r="Y1389" s="2">
        <f>Table1[[#This Row],[premium_yearly]]*Table1[[#This Row],[tenure_years]]</f>
        <v>7978.8743999999997</v>
      </c>
      <c r="Z1389" s="2">
        <f>Table1[[#This Row],[total_collected_premiums]]*(1-$AD$2)</f>
        <v>5824.5783119999996</v>
      </c>
      <c r="AA1389" s="2">
        <f>Table1[[#This Row],[retained_premium]]-Table1[[#This Row],[claim_amount_paid]]</f>
        <v>-3175.4216880000004</v>
      </c>
    </row>
    <row r="1390" spans="1:27" x14ac:dyDescent="0.35">
      <c r="A1390" t="s">
        <v>4209</v>
      </c>
      <c r="B1390" t="s">
        <v>4210</v>
      </c>
      <c r="C1390" t="s">
        <v>4211</v>
      </c>
      <c r="D1390" s="1">
        <v>41012</v>
      </c>
      <c r="E1390" s="1">
        <v>44320</v>
      </c>
      <c r="F1390" s="1">
        <v>44325</v>
      </c>
      <c r="G1390">
        <v>5</v>
      </c>
      <c r="H1390">
        <v>121.35</v>
      </c>
      <c r="I1390">
        <v>1456.2</v>
      </c>
      <c r="J1390">
        <v>4000</v>
      </c>
      <c r="K1390" t="s">
        <v>27</v>
      </c>
      <c r="L1390">
        <v>4000</v>
      </c>
      <c r="M1390">
        <v>3.25</v>
      </c>
      <c r="N1390" t="s">
        <v>28</v>
      </c>
      <c r="O1390">
        <v>39</v>
      </c>
      <c r="P1390">
        <v>35</v>
      </c>
      <c r="Q1390">
        <v>1</v>
      </c>
      <c r="R1390">
        <v>7</v>
      </c>
      <c r="S1390" t="s">
        <v>29</v>
      </c>
      <c r="T1390" t="s">
        <v>30</v>
      </c>
      <c r="U1390" t="s">
        <v>58</v>
      </c>
      <c r="V1390" t="s">
        <v>32</v>
      </c>
      <c r="W1390">
        <v>1</v>
      </c>
      <c r="X1390">
        <v>0</v>
      </c>
      <c r="Y1390" s="2">
        <f>Table1[[#This Row],[premium_yearly]]*Table1[[#This Row],[tenure_years]]</f>
        <v>4732.6500000000005</v>
      </c>
      <c r="Z1390" s="2">
        <f>Table1[[#This Row],[total_collected_premiums]]*(1-$AD$2)</f>
        <v>3454.8345000000004</v>
      </c>
      <c r="AA1390" s="2">
        <f>Table1[[#This Row],[retained_premium]]-Table1[[#This Row],[claim_amount_paid]]</f>
        <v>-545.16549999999961</v>
      </c>
    </row>
    <row r="1391" spans="1:27" x14ac:dyDescent="0.35">
      <c r="A1391" t="s">
        <v>4212</v>
      </c>
      <c r="B1391" t="s">
        <v>4213</v>
      </c>
      <c r="C1391" t="s">
        <v>4214</v>
      </c>
      <c r="D1391" s="1">
        <v>41435</v>
      </c>
      <c r="E1391" s="1">
        <v>44326</v>
      </c>
      <c r="F1391" s="1">
        <v>44328</v>
      </c>
      <c r="G1391">
        <v>2</v>
      </c>
      <c r="H1391">
        <v>116.11</v>
      </c>
      <c r="I1391">
        <v>1393.32</v>
      </c>
      <c r="J1391">
        <v>5000</v>
      </c>
      <c r="K1391" t="s">
        <v>27</v>
      </c>
      <c r="L1391">
        <v>5000</v>
      </c>
      <c r="M1391">
        <v>4.42</v>
      </c>
      <c r="N1391" t="s">
        <v>36</v>
      </c>
      <c r="O1391">
        <v>53</v>
      </c>
      <c r="P1391">
        <v>57</v>
      </c>
      <c r="Q1391">
        <v>1</v>
      </c>
      <c r="R1391">
        <v>6</v>
      </c>
      <c r="S1391" t="s">
        <v>29</v>
      </c>
      <c r="T1391" t="s">
        <v>50</v>
      </c>
      <c r="U1391" t="s">
        <v>31</v>
      </c>
      <c r="V1391" t="s">
        <v>32</v>
      </c>
      <c r="W1391">
        <v>1</v>
      </c>
      <c r="X1391">
        <v>1</v>
      </c>
      <c r="Y1391" s="2">
        <f>Table1[[#This Row],[premium_yearly]]*Table1[[#This Row],[tenure_years]]</f>
        <v>6158.4744000000001</v>
      </c>
      <c r="Z1391" s="2">
        <f>Table1[[#This Row],[total_collected_premiums]]*(1-$AD$2)</f>
        <v>4495.6863119999998</v>
      </c>
      <c r="AA1391" s="2">
        <f>Table1[[#This Row],[retained_premium]]-Table1[[#This Row],[claim_amount_paid]]</f>
        <v>-504.31368800000018</v>
      </c>
    </row>
    <row r="1392" spans="1:27" x14ac:dyDescent="0.35">
      <c r="A1392" t="s">
        <v>4215</v>
      </c>
      <c r="B1392" t="s">
        <v>4216</v>
      </c>
      <c r="C1392" t="s">
        <v>4217</v>
      </c>
      <c r="D1392" s="1">
        <v>42159</v>
      </c>
      <c r="E1392" s="1">
        <v>44329</v>
      </c>
      <c r="F1392" s="1">
        <v>44329</v>
      </c>
      <c r="G1392">
        <v>0</v>
      </c>
      <c r="H1392">
        <v>110.84</v>
      </c>
      <c r="I1392">
        <v>1330.08</v>
      </c>
      <c r="J1392">
        <v>6000</v>
      </c>
      <c r="K1392" t="s">
        <v>27</v>
      </c>
      <c r="L1392">
        <v>6000</v>
      </c>
      <c r="M1392">
        <v>7.17</v>
      </c>
      <c r="N1392" t="s">
        <v>36</v>
      </c>
      <c r="O1392">
        <v>86</v>
      </c>
      <c r="P1392">
        <v>33</v>
      </c>
      <c r="Q1392">
        <v>0</v>
      </c>
      <c r="R1392">
        <v>6</v>
      </c>
      <c r="S1392" t="s">
        <v>65</v>
      </c>
      <c r="T1392" t="s">
        <v>44</v>
      </c>
      <c r="U1392" t="s">
        <v>38</v>
      </c>
      <c r="V1392" t="s">
        <v>39</v>
      </c>
      <c r="W1392">
        <v>0</v>
      </c>
      <c r="X1392">
        <v>1</v>
      </c>
      <c r="Y1392" s="2">
        <f>Table1[[#This Row],[premium_yearly]]*Table1[[#This Row],[tenure_years]]</f>
        <v>9536.6736000000001</v>
      </c>
      <c r="Z1392" s="2">
        <f>Table1[[#This Row],[total_collected_premiums]]*(1-$AD$2)</f>
        <v>6961.7717279999997</v>
      </c>
      <c r="AA1392" s="2">
        <f>Table1[[#This Row],[retained_premium]]-Table1[[#This Row],[claim_amount_paid]]</f>
        <v>961.77172799999971</v>
      </c>
    </row>
    <row r="1393" spans="1:27" x14ac:dyDescent="0.35">
      <c r="A1393" t="s">
        <v>4218</v>
      </c>
      <c r="B1393" t="s">
        <v>4219</v>
      </c>
      <c r="C1393" t="s">
        <v>4220</v>
      </c>
      <c r="D1393" s="1">
        <v>42651</v>
      </c>
      <c r="E1393" s="1">
        <v>44322</v>
      </c>
      <c r="F1393" s="1">
        <v>44325</v>
      </c>
      <c r="G1393">
        <v>3</v>
      </c>
      <c r="H1393">
        <v>84.18</v>
      </c>
      <c r="I1393">
        <v>1010.16</v>
      </c>
      <c r="J1393">
        <v>9000</v>
      </c>
      <c r="K1393" t="s">
        <v>27</v>
      </c>
      <c r="L1393">
        <v>9000</v>
      </c>
      <c r="M1393">
        <v>7.42</v>
      </c>
      <c r="N1393" t="s">
        <v>36</v>
      </c>
      <c r="O1393">
        <v>89</v>
      </c>
      <c r="P1393">
        <v>36</v>
      </c>
      <c r="Q1393">
        <v>1</v>
      </c>
      <c r="R1393">
        <v>3</v>
      </c>
      <c r="S1393" t="s">
        <v>29</v>
      </c>
      <c r="T1393" t="s">
        <v>50</v>
      </c>
      <c r="U1393" t="s">
        <v>38</v>
      </c>
      <c r="V1393" t="s">
        <v>45</v>
      </c>
      <c r="W1393">
        <v>0</v>
      </c>
      <c r="X1393">
        <v>1</v>
      </c>
      <c r="Y1393" s="2">
        <f>Table1[[#This Row],[premium_yearly]]*Table1[[#This Row],[tenure_years]]</f>
        <v>7495.3872000000001</v>
      </c>
      <c r="Z1393" s="2">
        <f>Table1[[#This Row],[total_collected_premiums]]*(1-$AD$2)</f>
        <v>5471.6326559999998</v>
      </c>
      <c r="AA1393" s="2">
        <f>Table1[[#This Row],[retained_premium]]-Table1[[#This Row],[claim_amount_paid]]</f>
        <v>-3528.3673440000002</v>
      </c>
    </row>
    <row r="1394" spans="1:27" x14ac:dyDescent="0.35">
      <c r="A1394" t="s">
        <v>4221</v>
      </c>
      <c r="B1394" t="s">
        <v>4222</v>
      </c>
      <c r="C1394" t="s">
        <v>4223</v>
      </c>
      <c r="D1394" s="1">
        <v>40387</v>
      </c>
      <c r="E1394" s="1">
        <v>44316</v>
      </c>
      <c r="F1394" s="1">
        <v>44321</v>
      </c>
      <c r="G1394">
        <v>5</v>
      </c>
      <c r="H1394">
        <v>120.95</v>
      </c>
      <c r="I1394">
        <v>1451.4</v>
      </c>
      <c r="J1394">
        <v>4000</v>
      </c>
      <c r="K1394" t="s">
        <v>27</v>
      </c>
      <c r="L1394">
        <v>4000</v>
      </c>
      <c r="M1394">
        <v>2.33</v>
      </c>
      <c r="N1394" t="s">
        <v>36</v>
      </c>
      <c r="O1394">
        <v>28</v>
      </c>
      <c r="P1394">
        <v>30</v>
      </c>
      <c r="Q1394">
        <v>0</v>
      </c>
      <c r="R1394">
        <v>2</v>
      </c>
      <c r="S1394" t="s">
        <v>29</v>
      </c>
      <c r="T1394" t="s">
        <v>30</v>
      </c>
      <c r="U1394" t="s">
        <v>31</v>
      </c>
      <c r="V1394" t="s">
        <v>45</v>
      </c>
      <c r="W1394">
        <v>1</v>
      </c>
      <c r="X1394">
        <v>1</v>
      </c>
      <c r="Y1394" s="2">
        <f>Table1[[#This Row],[premium_yearly]]*Table1[[#This Row],[tenure_years]]</f>
        <v>3381.7620000000002</v>
      </c>
      <c r="Z1394" s="2">
        <f>Table1[[#This Row],[total_collected_premiums]]*(1-$AD$2)</f>
        <v>2468.6862599999999</v>
      </c>
      <c r="AA1394" s="2">
        <f>Table1[[#This Row],[retained_premium]]-Table1[[#This Row],[claim_amount_paid]]</f>
        <v>-1531.3137400000001</v>
      </c>
    </row>
    <row r="1395" spans="1:27" x14ac:dyDescent="0.35">
      <c r="A1395" t="s">
        <v>4224</v>
      </c>
      <c r="B1395" t="s">
        <v>4225</v>
      </c>
      <c r="C1395" t="s">
        <v>4226</v>
      </c>
      <c r="D1395" s="1">
        <v>41642</v>
      </c>
      <c r="E1395" s="1">
        <v>44319</v>
      </c>
      <c r="F1395" s="1">
        <v>44324</v>
      </c>
      <c r="G1395">
        <v>5</v>
      </c>
      <c r="H1395">
        <v>97.24</v>
      </c>
      <c r="I1395">
        <v>1166.8800000000001</v>
      </c>
      <c r="J1395">
        <v>2000</v>
      </c>
      <c r="K1395" t="s">
        <v>27</v>
      </c>
      <c r="L1395">
        <v>2000</v>
      </c>
      <c r="M1395">
        <v>8.83</v>
      </c>
      <c r="N1395" t="s">
        <v>49</v>
      </c>
      <c r="O1395">
        <v>106</v>
      </c>
      <c r="P1395">
        <v>52</v>
      </c>
      <c r="Q1395">
        <v>1</v>
      </c>
      <c r="R1395">
        <v>5</v>
      </c>
      <c r="S1395" t="s">
        <v>65</v>
      </c>
      <c r="T1395" t="s">
        <v>50</v>
      </c>
      <c r="U1395" t="s">
        <v>31</v>
      </c>
      <c r="V1395" t="s">
        <v>45</v>
      </c>
      <c r="W1395">
        <v>1</v>
      </c>
      <c r="X1395">
        <v>1</v>
      </c>
      <c r="Y1395" s="2">
        <f>Table1[[#This Row],[premium_yearly]]*Table1[[#This Row],[tenure_years]]</f>
        <v>10303.550400000002</v>
      </c>
      <c r="Z1395" s="2">
        <f>Table1[[#This Row],[total_collected_premiums]]*(1-$AD$2)</f>
        <v>7521.5917920000011</v>
      </c>
      <c r="AA1395" s="2">
        <f>Table1[[#This Row],[retained_premium]]-Table1[[#This Row],[claim_amount_paid]]</f>
        <v>5521.5917920000011</v>
      </c>
    </row>
    <row r="1396" spans="1:27" x14ac:dyDescent="0.35">
      <c r="A1396" t="s">
        <v>4227</v>
      </c>
      <c r="B1396" t="s">
        <v>4228</v>
      </c>
      <c r="C1396" t="s">
        <v>4229</v>
      </c>
      <c r="D1396" s="1">
        <v>41278</v>
      </c>
      <c r="E1396" s="1">
        <v>44314</v>
      </c>
      <c r="F1396" s="1">
        <v>44319</v>
      </c>
      <c r="G1396">
        <v>5</v>
      </c>
      <c r="H1396">
        <v>138.57</v>
      </c>
      <c r="I1396">
        <v>1662.84</v>
      </c>
      <c r="J1396">
        <v>6000</v>
      </c>
      <c r="K1396" t="s">
        <v>27</v>
      </c>
      <c r="L1396">
        <v>6000</v>
      </c>
      <c r="M1396">
        <v>5.75</v>
      </c>
      <c r="N1396" t="s">
        <v>36</v>
      </c>
      <c r="O1396">
        <v>69</v>
      </c>
      <c r="P1396">
        <v>55</v>
      </c>
      <c r="Q1396">
        <v>1</v>
      </c>
      <c r="R1396">
        <v>6</v>
      </c>
      <c r="S1396" t="s">
        <v>29</v>
      </c>
      <c r="T1396" t="s">
        <v>50</v>
      </c>
      <c r="U1396" t="s">
        <v>38</v>
      </c>
      <c r="V1396" t="s">
        <v>45</v>
      </c>
      <c r="W1396">
        <v>1</v>
      </c>
      <c r="X1396">
        <v>1</v>
      </c>
      <c r="Y1396" s="2">
        <f>Table1[[#This Row],[premium_yearly]]*Table1[[#This Row],[tenure_years]]</f>
        <v>9561.33</v>
      </c>
      <c r="Z1396" s="2">
        <f>Table1[[#This Row],[total_collected_premiums]]*(1-$AD$2)</f>
        <v>6979.7708999999995</v>
      </c>
      <c r="AA1396" s="2">
        <f>Table1[[#This Row],[retained_premium]]-Table1[[#This Row],[claim_amount_paid]]</f>
        <v>979.77089999999953</v>
      </c>
    </row>
    <row r="1397" spans="1:27" x14ac:dyDescent="0.35">
      <c r="A1397" t="s">
        <v>4230</v>
      </c>
      <c r="B1397" t="s">
        <v>4231</v>
      </c>
      <c r="C1397" t="s">
        <v>4232</v>
      </c>
      <c r="D1397" s="1">
        <v>42741</v>
      </c>
      <c r="E1397" s="1">
        <v>44320</v>
      </c>
      <c r="F1397" s="1">
        <v>44325</v>
      </c>
      <c r="G1397">
        <v>5</v>
      </c>
      <c r="H1397">
        <v>92.6</v>
      </c>
      <c r="I1397">
        <v>1111.2</v>
      </c>
      <c r="J1397">
        <v>9000</v>
      </c>
      <c r="K1397" t="s">
        <v>27</v>
      </c>
      <c r="L1397">
        <v>9000</v>
      </c>
      <c r="M1397">
        <v>3.75</v>
      </c>
      <c r="N1397" t="s">
        <v>36</v>
      </c>
      <c r="O1397">
        <v>45</v>
      </c>
      <c r="P1397">
        <v>36</v>
      </c>
      <c r="Q1397">
        <v>0</v>
      </c>
      <c r="R1397">
        <v>3</v>
      </c>
      <c r="S1397" t="s">
        <v>29</v>
      </c>
      <c r="T1397" t="s">
        <v>44</v>
      </c>
      <c r="U1397" t="s">
        <v>58</v>
      </c>
      <c r="V1397" t="s">
        <v>39</v>
      </c>
      <c r="W1397">
        <v>1</v>
      </c>
      <c r="X1397">
        <v>0</v>
      </c>
      <c r="Y1397" s="2">
        <f>Table1[[#This Row],[premium_yearly]]*Table1[[#This Row],[tenure_years]]</f>
        <v>4167</v>
      </c>
      <c r="Z1397" s="2">
        <f>Table1[[#This Row],[total_collected_premiums]]*(1-$AD$2)</f>
        <v>3041.91</v>
      </c>
      <c r="AA1397" s="2">
        <f>Table1[[#This Row],[retained_premium]]-Table1[[#This Row],[claim_amount_paid]]</f>
        <v>-5958.09</v>
      </c>
    </row>
    <row r="1398" spans="1:27" x14ac:dyDescent="0.35">
      <c r="A1398" t="s">
        <v>4233</v>
      </c>
      <c r="B1398" t="s">
        <v>4234</v>
      </c>
      <c r="C1398" t="s">
        <v>4235</v>
      </c>
      <c r="D1398" s="1">
        <v>43511</v>
      </c>
      <c r="E1398" s="1">
        <v>44317</v>
      </c>
      <c r="F1398" s="1">
        <v>44322</v>
      </c>
      <c r="G1398">
        <v>5</v>
      </c>
      <c r="H1398">
        <v>113.18</v>
      </c>
      <c r="I1398">
        <v>1358.16</v>
      </c>
      <c r="J1398">
        <v>1000</v>
      </c>
      <c r="K1398" t="s">
        <v>27</v>
      </c>
      <c r="L1398">
        <v>1000</v>
      </c>
      <c r="M1398">
        <v>4.25</v>
      </c>
      <c r="N1398" t="s">
        <v>49</v>
      </c>
      <c r="O1398">
        <v>51</v>
      </c>
      <c r="P1398">
        <v>45</v>
      </c>
      <c r="Q1398">
        <v>1</v>
      </c>
      <c r="R1398">
        <v>2</v>
      </c>
      <c r="S1398" t="s">
        <v>65</v>
      </c>
      <c r="T1398" t="s">
        <v>30</v>
      </c>
      <c r="U1398" t="s">
        <v>58</v>
      </c>
      <c r="V1398" t="s">
        <v>45</v>
      </c>
      <c r="W1398">
        <v>1</v>
      </c>
      <c r="X1398">
        <v>1</v>
      </c>
      <c r="Y1398" s="2">
        <f>Table1[[#This Row],[premium_yearly]]*Table1[[#This Row],[tenure_years]]</f>
        <v>5772.18</v>
      </c>
      <c r="Z1398" s="2">
        <f>Table1[[#This Row],[total_collected_premiums]]*(1-$AD$2)</f>
        <v>4213.6913999999997</v>
      </c>
      <c r="AA1398" s="2">
        <f>Table1[[#This Row],[retained_premium]]-Table1[[#This Row],[claim_amount_paid]]</f>
        <v>3213.6913999999997</v>
      </c>
    </row>
    <row r="1399" spans="1:27" x14ac:dyDescent="0.35">
      <c r="A1399" t="s">
        <v>4236</v>
      </c>
      <c r="B1399" t="s">
        <v>4237</v>
      </c>
      <c r="C1399" t="s">
        <v>4238</v>
      </c>
      <c r="D1399" s="1">
        <v>40814</v>
      </c>
      <c r="E1399" s="1">
        <v>44331</v>
      </c>
      <c r="F1399" s="1">
        <v>44331</v>
      </c>
      <c r="G1399">
        <v>0</v>
      </c>
      <c r="H1399">
        <v>96.04</v>
      </c>
      <c r="I1399">
        <v>1152.48</v>
      </c>
      <c r="J1399">
        <v>2000</v>
      </c>
      <c r="K1399" t="s">
        <v>27</v>
      </c>
      <c r="L1399">
        <v>2000</v>
      </c>
      <c r="M1399">
        <v>7.33</v>
      </c>
      <c r="N1399" t="s">
        <v>36</v>
      </c>
      <c r="O1399">
        <v>88</v>
      </c>
      <c r="P1399">
        <v>54</v>
      </c>
      <c r="Q1399">
        <v>1</v>
      </c>
      <c r="R1399">
        <v>4</v>
      </c>
      <c r="S1399" t="s">
        <v>29</v>
      </c>
      <c r="T1399" t="s">
        <v>44</v>
      </c>
      <c r="U1399" t="s">
        <v>38</v>
      </c>
      <c r="V1399" t="s">
        <v>39</v>
      </c>
      <c r="W1399">
        <v>1</v>
      </c>
      <c r="X1399">
        <v>1</v>
      </c>
      <c r="Y1399" s="2">
        <f>Table1[[#This Row],[premium_yearly]]*Table1[[#This Row],[tenure_years]]</f>
        <v>8447.6784000000007</v>
      </c>
      <c r="Z1399" s="2">
        <f>Table1[[#This Row],[total_collected_premiums]]*(1-$AD$2)</f>
        <v>6166.8052320000006</v>
      </c>
      <c r="AA1399" s="2">
        <f>Table1[[#This Row],[retained_premium]]-Table1[[#This Row],[claim_amount_paid]]</f>
        <v>4166.8052320000006</v>
      </c>
    </row>
    <row r="1400" spans="1:27" x14ac:dyDescent="0.35">
      <c r="A1400" t="s">
        <v>4239</v>
      </c>
      <c r="B1400" t="s">
        <v>4240</v>
      </c>
      <c r="C1400" t="s">
        <v>4241</v>
      </c>
      <c r="D1400" s="1">
        <v>42858</v>
      </c>
      <c r="E1400" s="1">
        <v>44316</v>
      </c>
      <c r="F1400" s="1">
        <v>44321</v>
      </c>
      <c r="G1400">
        <v>5</v>
      </c>
      <c r="H1400">
        <v>87.98</v>
      </c>
      <c r="I1400">
        <v>1055.76</v>
      </c>
      <c r="J1400">
        <v>8000</v>
      </c>
      <c r="K1400" t="s">
        <v>27</v>
      </c>
      <c r="L1400">
        <v>8000</v>
      </c>
      <c r="M1400">
        <v>4.42</v>
      </c>
      <c r="N1400" t="s">
        <v>49</v>
      </c>
      <c r="O1400">
        <v>53</v>
      </c>
      <c r="P1400">
        <v>60</v>
      </c>
      <c r="Q1400">
        <v>0</v>
      </c>
      <c r="R1400">
        <v>7</v>
      </c>
      <c r="S1400" t="s">
        <v>29</v>
      </c>
      <c r="T1400" t="s">
        <v>30</v>
      </c>
      <c r="U1400" t="s">
        <v>38</v>
      </c>
      <c r="V1400" t="s">
        <v>39</v>
      </c>
      <c r="W1400">
        <v>1</v>
      </c>
      <c r="X1400">
        <v>1</v>
      </c>
      <c r="Y1400" s="2">
        <f>Table1[[#This Row],[premium_yearly]]*Table1[[#This Row],[tenure_years]]</f>
        <v>4666.4592000000002</v>
      </c>
      <c r="Z1400" s="2">
        <f>Table1[[#This Row],[total_collected_premiums]]*(1-$AD$2)</f>
        <v>3406.5152160000002</v>
      </c>
      <c r="AA1400" s="2">
        <f>Table1[[#This Row],[retained_premium]]-Table1[[#This Row],[claim_amount_paid]]</f>
        <v>-4593.4847840000002</v>
      </c>
    </row>
    <row r="1401" spans="1:27" x14ac:dyDescent="0.35">
      <c r="A1401" t="s">
        <v>4242</v>
      </c>
      <c r="B1401" t="s">
        <v>4243</v>
      </c>
      <c r="C1401" t="s">
        <v>4244</v>
      </c>
      <c r="D1401" s="1">
        <v>43736</v>
      </c>
      <c r="E1401" s="1">
        <v>44330</v>
      </c>
      <c r="F1401" s="1">
        <v>44331</v>
      </c>
      <c r="G1401">
        <v>1</v>
      </c>
      <c r="H1401">
        <v>79.63</v>
      </c>
      <c r="I1401">
        <v>955.56</v>
      </c>
      <c r="J1401">
        <v>7000</v>
      </c>
      <c r="K1401" t="s">
        <v>27</v>
      </c>
      <c r="L1401">
        <v>7000</v>
      </c>
      <c r="M1401">
        <v>9.92</v>
      </c>
      <c r="N1401" t="s">
        <v>28</v>
      </c>
      <c r="O1401">
        <v>119</v>
      </c>
      <c r="P1401">
        <v>26</v>
      </c>
      <c r="Q1401">
        <v>1</v>
      </c>
      <c r="R1401">
        <v>7</v>
      </c>
      <c r="S1401" t="s">
        <v>29</v>
      </c>
      <c r="T1401" t="s">
        <v>30</v>
      </c>
      <c r="U1401" t="s">
        <v>38</v>
      </c>
      <c r="V1401" t="s">
        <v>39</v>
      </c>
      <c r="W1401">
        <v>0</v>
      </c>
      <c r="X1401">
        <v>1</v>
      </c>
      <c r="Y1401" s="2">
        <f>Table1[[#This Row],[premium_yearly]]*Table1[[#This Row],[tenure_years]]</f>
        <v>9479.1551999999992</v>
      </c>
      <c r="Z1401" s="2">
        <f>Table1[[#This Row],[total_collected_premiums]]*(1-$AD$2)</f>
        <v>6919.7832959999996</v>
      </c>
      <c r="AA1401" s="2">
        <f>Table1[[#This Row],[retained_premium]]-Table1[[#This Row],[claim_amount_paid]]</f>
        <v>-80.216704000000391</v>
      </c>
    </row>
    <row r="1402" spans="1:27" x14ac:dyDescent="0.35">
      <c r="A1402" t="s">
        <v>4245</v>
      </c>
      <c r="B1402" t="s">
        <v>4246</v>
      </c>
      <c r="C1402" t="s">
        <v>4247</v>
      </c>
      <c r="D1402" s="1">
        <v>41136</v>
      </c>
      <c r="E1402" s="1">
        <v>44326</v>
      </c>
      <c r="F1402" s="1">
        <v>44329</v>
      </c>
      <c r="G1402">
        <v>3</v>
      </c>
      <c r="H1402">
        <v>127.63</v>
      </c>
      <c r="I1402">
        <v>1531.56</v>
      </c>
      <c r="J1402">
        <v>3000</v>
      </c>
      <c r="K1402" t="s">
        <v>27</v>
      </c>
      <c r="L1402">
        <v>3000</v>
      </c>
      <c r="M1402">
        <v>8.25</v>
      </c>
      <c r="N1402" t="s">
        <v>28</v>
      </c>
      <c r="O1402">
        <v>99</v>
      </c>
      <c r="P1402">
        <v>33</v>
      </c>
      <c r="Q1402">
        <v>1</v>
      </c>
      <c r="R1402">
        <v>3</v>
      </c>
      <c r="S1402" t="s">
        <v>37</v>
      </c>
      <c r="T1402" t="s">
        <v>30</v>
      </c>
      <c r="U1402" t="s">
        <v>88</v>
      </c>
      <c r="V1402" t="s">
        <v>39</v>
      </c>
      <c r="W1402">
        <v>0</v>
      </c>
      <c r="X1402">
        <v>1</v>
      </c>
      <c r="Y1402" s="2">
        <f>Table1[[#This Row],[premium_yearly]]*Table1[[#This Row],[tenure_years]]</f>
        <v>12635.369999999999</v>
      </c>
      <c r="Z1402" s="2">
        <f>Table1[[#This Row],[total_collected_premiums]]*(1-$AD$2)</f>
        <v>9223.820099999999</v>
      </c>
      <c r="AA1402" s="2">
        <f>Table1[[#This Row],[retained_premium]]-Table1[[#This Row],[claim_amount_paid]]</f>
        <v>6223.820099999999</v>
      </c>
    </row>
    <row r="1403" spans="1:27" x14ac:dyDescent="0.35">
      <c r="A1403" t="s">
        <v>4248</v>
      </c>
      <c r="B1403" t="s">
        <v>4249</v>
      </c>
      <c r="C1403" t="s">
        <v>4250</v>
      </c>
      <c r="D1403" s="1">
        <v>43838</v>
      </c>
      <c r="E1403" s="1">
        <v>44332</v>
      </c>
      <c r="F1403" s="1">
        <v>44332</v>
      </c>
      <c r="G1403">
        <v>0</v>
      </c>
      <c r="H1403">
        <v>70.23</v>
      </c>
      <c r="I1403">
        <v>842.76</v>
      </c>
      <c r="J1403">
        <v>5000</v>
      </c>
      <c r="K1403" t="s">
        <v>27</v>
      </c>
      <c r="L1403">
        <v>5000</v>
      </c>
      <c r="M1403">
        <v>3.75</v>
      </c>
      <c r="N1403" t="s">
        <v>36</v>
      </c>
      <c r="O1403">
        <v>45</v>
      </c>
      <c r="P1403">
        <v>29</v>
      </c>
      <c r="Q1403">
        <v>0</v>
      </c>
      <c r="R1403">
        <v>2</v>
      </c>
      <c r="S1403" t="s">
        <v>37</v>
      </c>
      <c r="T1403" t="s">
        <v>50</v>
      </c>
      <c r="U1403" t="s">
        <v>38</v>
      </c>
      <c r="V1403" t="s">
        <v>39</v>
      </c>
      <c r="W1403">
        <v>1</v>
      </c>
      <c r="X1403">
        <v>0</v>
      </c>
      <c r="Y1403" s="2">
        <f>Table1[[#This Row],[premium_yearly]]*Table1[[#This Row],[tenure_years]]</f>
        <v>3160.35</v>
      </c>
      <c r="Z1403" s="2">
        <f>Table1[[#This Row],[total_collected_premiums]]*(1-$AD$2)</f>
        <v>2307.0554999999999</v>
      </c>
      <c r="AA1403" s="2">
        <f>Table1[[#This Row],[retained_premium]]-Table1[[#This Row],[claim_amount_paid]]</f>
        <v>-2692.9445000000001</v>
      </c>
    </row>
    <row r="1404" spans="1:27" x14ac:dyDescent="0.35">
      <c r="A1404" t="s">
        <v>4251</v>
      </c>
      <c r="B1404" t="s">
        <v>4252</v>
      </c>
      <c r="C1404" t="s">
        <v>4253</v>
      </c>
      <c r="D1404" s="1">
        <v>42961</v>
      </c>
      <c r="E1404" s="1">
        <v>44329</v>
      </c>
      <c r="F1404" s="1">
        <v>44331</v>
      </c>
      <c r="G1404">
        <v>2</v>
      </c>
      <c r="H1404">
        <v>118.55</v>
      </c>
      <c r="I1404">
        <v>1422.6</v>
      </c>
      <c r="J1404">
        <v>4000</v>
      </c>
      <c r="K1404" t="s">
        <v>27</v>
      </c>
      <c r="L1404">
        <v>4000</v>
      </c>
      <c r="M1404">
        <v>7.58</v>
      </c>
      <c r="N1404" t="s">
        <v>28</v>
      </c>
      <c r="O1404">
        <v>91</v>
      </c>
      <c r="P1404">
        <v>64</v>
      </c>
      <c r="Q1404">
        <v>1</v>
      </c>
      <c r="R1404">
        <v>6</v>
      </c>
      <c r="S1404" t="s">
        <v>29</v>
      </c>
      <c r="T1404" t="s">
        <v>50</v>
      </c>
      <c r="U1404" t="s">
        <v>58</v>
      </c>
      <c r="V1404" t="s">
        <v>39</v>
      </c>
      <c r="W1404">
        <v>1</v>
      </c>
      <c r="X1404">
        <v>0</v>
      </c>
      <c r="Y1404" s="2">
        <f>Table1[[#This Row],[premium_yearly]]*Table1[[#This Row],[tenure_years]]</f>
        <v>10783.307999999999</v>
      </c>
      <c r="Z1404" s="2">
        <f>Table1[[#This Row],[total_collected_premiums]]*(1-$AD$2)</f>
        <v>7871.8148399999991</v>
      </c>
      <c r="AA1404" s="2">
        <f>Table1[[#This Row],[retained_premium]]-Table1[[#This Row],[claim_amount_paid]]</f>
        <v>3871.8148399999991</v>
      </c>
    </row>
    <row r="1405" spans="1:27" x14ac:dyDescent="0.35">
      <c r="A1405" t="s">
        <v>4254</v>
      </c>
      <c r="B1405" t="s">
        <v>4255</v>
      </c>
      <c r="C1405" t="s">
        <v>4256</v>
      </c>
      <c r="D1405" s="1">
        <v>43192</v>
      </c>
      <c r="E1405" s="1">
        <v>44331</v>
      </c>
      <c r="F1405" s="1">
        <v>44332</v>
      </c>
      <c r="G1405">
        <v>1</v>
      </c>
      <c r="H1405">
        <v>97.84</v>
      </c>
      <c r="I1405">
        <v>1174.08</v>
      </c>
      <c r="J1405">
        <v>10000</v>
      </c>
      <c r="K1405" t="s">
        <v>27</v>
      </c>
      <c r="L1405">
        <v>10000</v>
      </c>
      <c r="M1405">
        <v>1</v>
      </c>
      <c r="N1405" t="s">
        <v>28</v>
      </c>
      <c r="O1405">
        <v>12</v>
      </c>
      <c r="P1405">
        <v>38</v>
      </c>
      <c r="Q1405">
        <v>1</v>
      </c>
      <c r="R1405">
        <v>7</v>
      </c>
      <c r="S1405" t="s">
        <v>37</v>
      </c>
      <c r="T1405" t="s">
        <v>30</v>
      </c>
      <c r="U1405" t="s">
        <v>51</v>
      </c>
      <c r="V1405" t="s">
        <v>32</v>
      </c>
      <c r="W1405">
        <v>1</v>
      </c>
      <c r="X1405">
        <v>0</v>
      </c>
      <c r="Y1405" s="2">
        <f>Table1[[#This Row],[premium_yearly]]*Table1[[#This Row],[tenure_years]]</f>
        <v>1174.08</v>
      </c>
      <c r="Z1405" s="2">
        <f>Table1[[#This Row],[total_collected_premiums]]*(1-$AD$2)</f>
        <v>857.07839999999987</v>
      </c>
      <c r="AA1405" s="2">
        <f>Table1[[#This Row],[retained_premium]]-Table1[[#This Row],[claim_amount_paid]]</f>
        <v>-9142.9215999999997</v>
      </c>
    </row>
    <row r="1406" spans="1:27" x14ac:dyDescent="0.35">
      <c r="A1406" t="s">
        <v>4257</v>
      </c>
      <c r="B1406" t="s">
        <v>4258</v>
      </c>
      <c r="C1406" t="s">
        <v>4259</v>
      </c>
      <c r="D1406" s="1">
        <v>40890</v>
      </c>
      <c r="E1406" s="1">
        <v>44316</v>
      </c>
      <c r="F1406" s="1">
        <v>44321</v>
      </c>
      <c r="G1406">
        <v>5</v>
      </c>
      <c r="H1406">
        <v>139.32</v>
      </c>
      <c r="I1406">
        <v>1671.84</v>
      </c>
      <c r="J1406">
        <v>7000</v>
      </c>
      <c r="K1406" t="s">
        <v>27</v>
      </c>
      <c r="L1406">
        <v>7000</v>
      </c>
      <c r="M1406">
        <v>6.75</v>
      </c>
      <c r="N1406" t="s">
        <v>36</v>
      </c>
      <c r="O1406">
        <v>81</v>
      </c>
      <c r="P1406">
        <v>58</v>
      </c>
      <c r="Q1406">
        <v>1</v>
      </c>
      <c r="R1406">
        <v>5</v>
      </c>
      <c r="S1406" t="s">
        <v>37</v>
      </c>
      <c r="T1406" t="s">
        <v>30</v>
      </c>
      <c r="U1406" t="s">
        <v>38</v>
      </c>
      <c r="V1406" t="s">
        <v>45</v>
      </c>
      <c r="W1406">
        <v>0</v>
      </c>
      <c r="X1406">
        <v>1</v>
      </c>
      <c r="Y1406" s="2">
        <f>Table1[[#This Row],[premium_yearly]]*Table1[[#This Row],[tenure_years]]</f>
        <v>11284.92</v>
      </c>
      <c r="Z1406" s="2">
        <f>Table1[[#This Row],[total_collected_premiums]]*(1-$AD$2)</f>
        <v>8237.9915999999994</v>
      </c>
      <c r="AA1406" s="2">
        <f>Table1[[#This Row],[retained_premium]]-Table1[[#This Row],[claim_amount_paid]]</f>
        <v>1237.9915999999994</v>
      </c>
    </row>
    <row r="1407" spans="1:27" x14ac:dyDescent="0.35">
      <c r="A1407" t="s">
        <v>4260</v>
      </c>
      <c r="B1407" t="s">
        <v>4261</v>
      </c>
      <c r="C1407" t="s">
        <v>4262</v>
      </c>
      <c r="D1407" s="1">
        <v>42840</v>
      </c>
      <c r="E1407" s="1">
        <v>44319</v>
      </c>
      <c r="F1407" s="1">
        <v>44324</v>
      </c>
      <c r="G1407">
        <v>5</v>
      </c>
      <c r="H1407">
        <v>124.49</v>
      </c>
      <c r="I1407">
        <v>1493.88</v>
      </c>
      <c r="J1407">
        <v>7000</v>
      </c>
      <c r="K1407" t="s">
        <v>27</v>
      </c>
      <c r="L1407">
        <v>7000</v>
      </c>
      <c r="M1407">
        <v>5.33</v>
      </c>
      <c r="N1407" t="s">
        <v>28</v>
      </c>
      <c r="O1407">
        <v>64</v>
      </c>
      <c r="P1407">
        <v>54</v>
      </c>
      <c r="Q1407">
        <v>1</v>
      </c>
      <c r="R1407">
        <v>4</v>
      </c>
      <c r="S1407" t="s">
        <v>65</v>
      </c>
      <c r="T1407" t="s">
        <v>50</v>
      </c>
      <c r="U1407" t="s">
        <v>31</v>
      </c>
      <c r="V1407" t="s">
        <v>32</v>
      </c>
      <c r="W1407">
        <v>1</v>
      </c>
      <c r="X1407">
        <v>1</v>
      </c>
      <c r="Y1407" s="2">
        <f>Table1[[#This Row],[premium_yearly]]*Table1[[#This Row],[tenure_years]]</f>
        <v>7962.3804000000009</v>
      </c>
      <c r="Z1407" s="2">
        <f>Table1[[#This Row],[total_collected_premiums]]*(1-$AD$2)</f>
        <v>5812.5376920000008</v>
      </c>
      <c r="AA1407" s="2">
        <f>Table1[[#This Row],[retained_premium]]-Table1[[#This Row],[claim_amount_paid]]</f>
        <v>-1187.4623079999992</v>
      </c>
    </row>
    <row r="1408" spans="1:27" x14ac:dyDescent="0.35">
      <c r="A1408" t="s">
        <v>4263</v>
      </c>
      <c r="B1408" t="s">
        <v>4264</v>
      </c>
      <c r="C1408" t="s">
        <v>4265</v>
      </c>
      <c r="D1408" s="1">
        <v>42055</v>
      </c>
      <c r="E1408" s="1">
        <v>44326</v>
      </c>
      <c r="F1408" s="1">
        <v>44331</v>
      </c>
      <c r="G1408">
        <v>5</v>
      </c>
      <c r="H1408">
        <v>81.98</v>
      </c>
      <c r="I1408">
        <v>983.76</v>
      </c>
      <c r="J1408">
        <v>7000</v>
      </c>
      <c r="K1408" t="s">
        <v>27</v>
      </c>
      <c r="L1408">
        <v>7000</v>
      </c>
      <c r="M1408">
        <v>1</v>
      </c>
      <c r="N1408" t="s">
        <v>36</v>
      </c>
      <c r="O1408">
        <v>12</v>
      </c>
      <c r="P1408">
        <v>49</v>
      </c>
      <c r="Q1408">
        <v>1</v>
      </c>
      <c r="R1408">
        <v>2</v>
      </c>
      <c r="S1408" t="s">
        <v>29</v>
      </c>
      <c r="T1408" t="s">
        <v>44</v>
      </c>
      <c r="U1408" t="s">
        <v>66</v>
      </c>
      <c r="V1408" t="s">
        <v>45</v>
      </c>
      <c r="W1408">
        <v>0</v>
      </c>
      <c r="X1408">
        <v>1</v>
      </c>
      <c r="Y1408" s="2">
        <f>Table1[[#This Row],[premium_yearly]]*Table1[[#This Row],[tenure_years]]</f>
        <v>983.76</v>
      </c>
      <c r="Z1408" s="2">
        <f>Table1[[#This Row],[total_collected_premiums]]*(1-$AD$2)</f>
        <v>718.14480000000003</v>
      </c>
      <c r="AA1408" s="2">
        <f>Table1[[#This Row],[retained_premium]]-Table1[[#This Row],[claim_amount_paid]]</f>
        <v>-6281.8552</v>
      </c>
    </row>
    <row r="1409" spans="1:27" x14ac:dyDescent="0.35">
      <c r="A1409" t="s">
        <v>4266</v>
      </c>
      <c r="B1409" t="s">
        <v>4267</v>
      </c>
      <c r="C1409" t="s">
        <v>4268</v>
      </c>
      <c r="D1409" s="1">
        <v>41569</v>
      </c>
      <c r="E1409" s="1">
        <v>44325</v>
      </c>
      <c r="F1409" s="1">
        <v>44330</v>
      </c>
      <c r="G1409">
        <v>5</v>
      </c>
      <c r="H1409">
        <v>122.38</v>
      </c>
      <c r="I1409">
        <v>1468.56</v>
      </c>
      <c r="J1409">
        <v>2000</v>
      </c>
      <c r="K1409" t="s">
        <v>27</v>
      </c>
      <c r="L1409">
        <v>2000</v>
      </c>
      <c r="M1409">
        <v>4.25</v>
      </c>
      <c r="N1409" t="s">
        <v>49</v>
      </c>
      <c r="O1409">
        <v>51</v>
      </c>
      <c r="P1409">
        <v>63</v>
      </c>
      <c r="Q1409">
        <v>0</v>
      </c>
      <c r="R1409">
        <v>7</v>
      </c>
      <c r="S1409" t="s">
        <v>29</v>
      </c>
      <c r="T1409" t="s">
        <v>50</v>
      </c>
      <c r="U1409" t="s">
        <v>31</v>
      </c>
      <c r="V1409" t="s">
        <v>32</v>
      </c>
      <c r="W1409">
        <v>1</v>
      </c>
      <c r="X1409">
        <v>0</v>
      </c>
      <c r="Y1409" s="2">
        <f>Table1[[#This Row],[premium_yearly]]*Table1[[#This Row],[tenure_years]]</f>
        <v>6241.38</v>
      </c>
      <c r="Z1409" s="2">
        <f>Table1[[#This Row],[total_collected_premiums]]*(1-$AD$2)</f>
        <v>4556.2074000000002</v>
      </c>
      <c r="AA1409" s="2">
        <f>Table1[[#This Row],[retained_premium]]-Table1[[#This Row],[claim_amount_paid]]</f>
        <v>2556.2074000000002</v>
      </c>
    </row>
    <row r="1410" spans="1:27" x14ac:dyDescent="0.35">
      <c r="A1410" t="s">
        <v>4269</v>
      </c>
      <c r="B1410" t="s">
        <v>4270</v>
      </c>
      <c r="C1410" t="s">
        <v>4271</v>
      </c>
      <c r="D1410" s="1">
        <v>41667</v>
      </c>
      <c r="E1410" s="1">
        <v>44337</v>
      </c>
      <c r="F1410" s="1">
        <v>44337</v>
      </c>
      <c r="G1410">
        <v>0</v>
      </c>
      <c r="H1410">
        <v>118.55</v>
      </c>
      <c r="I1410">
        <v>1422.6</v>
      </c>
      <c r="J1410">
        <v>8000</v>
      </c>
      <c r="K1410" t="s">
        <v>27</v>
      </c>
      <c r="L1410">
        <v>8000</v>
      </c>
      <c r="M1410">
        <v>8.67</v>
      </c>
      <c r="N1410" t="s">
        <v>36</v>
      </c>
      <c r="O1410">
        <v>104</v>
      </c>
      <c r="P1410">
        <v>50</v>
      </c>
      <c r="Q1410">
        <v>0</v>
      </c>
      <c r="R1410">
        <v>5</v>
      </c>
      <c r="S1410" t="s">
        <v>29</v>
      </c>
      <c r="T1410" t="s">
        <v>50</v>
      </c>
      <c r="U1410" t="s">
        <v>31</v>
      </c>
      <c r="V1410" t="s">
        <v>45</v>
      </c>
      <c r="W1410">
        <v>1</v>
      </c>
      <c r="X1410">
        <v>1</v>
      </c>
      <c r="Y1410" s="2">
        <f>Table1[[#This Row],[premium_yearly]]*Table1[[#This Row],[tenure_years]]</f>
        <v>12333.941999999999</v>
      </c>
      <c r="Z1410" s="2">
        <f>Table1[[#This Row],[total_collected_premiums]]*(1-$AD$2)</f>
        <v>9003.7776599999997</v>
      </c>
      <c r="AA1410" s="2">
        <f>Table1[[#This Row],[retained_premium]]-Table1[[#This Row],[claim_amount_paid]]</f>
        <v>1003.7776599999997</v>
      </c>
    </row>
    <row r="1411" spans="1:27" x14ac:dyDescent="0.35">
      <c r="A1411" t="s">
        <v>4272</v>
      </c>
      <c r="B1411" t="s">
        <v>4273</v>
      </c>
      <c r="C1411" t="s">
        <v>4274</v>
      </c>
      <c r="D1411" s="1">
        <v>40804</v>
      </c>
      <c r="E1411" s="1">
        <v>44331</v>
      </c>
      <c r="F1411" s="1">
        <v>44333</v>
      </c>
      <c r="G1411">
        <v>2</v>
      </c>
      <c r="H1411">
        <v>89.51</v>
      </c>
      <c r="I1411">
        <v>1074.1199999999999</v>
      </c>
      <c r="J1411">
        <v>6000</v>
      </c>
      <c r="K1411" t="s">
        <v>27</v>
      </c>
      <c r="L1411">
        <v>6000</v>
      </c>
      <c r="M1411">
        <v>8.5</v>
      </c>
      <c r="N1411" t="s">
        <v>49</v>
      </c>
      <c r="O1411">
        <v>102</v>
      </c>
      <c r="P1411">
        <v>56</v>
      </c>
      <c r="Q1411">
        <v>1</v>
      </c>
      <c r="R1411">
        <v>5</v>
      </c>
      <c r="S1411" t="s">
        <v>65</v>
      </c>
      <c r="T1411" t="s">
        <v>44</v>
      </c>
      <c r="U1411" t="s">
        <v>58</v>
      </c>
      <c r="V1411" t="s">
        <v>39</v>
      </c>
      <c r="W1411">
        <v>1</v>
      </c>
      <c r="X1411">
        <v>0</v>
      </c>
      <c r="Y1411" s="2">
        <f>Table1[[#This Row],[premium_yearly]]*Table1[[#This Row],[tenure_years]]</f>
        <v>9130.0199999999986</v>
      </c>
      <c r="Z1411" s="2">
        <f>Table1[[#This Row],[total_collected_premiums]]*(1-$AD$2)</f>
        <v>6664.9145999999992</v>
      </c>
      <c r="AA1411" s="2">
        <f>Table1[[#This Row],[retained_premium]]-Table1[[#This Row],[claim_amount_paid]]</f>
        <v>664.91459999999915</v>
      </c>
    </row>
    <row r="1412" spans="1:27" x14ac:dyDescent="0.35">
      <c r="A1412" t="s">
        <v>4275</v>
      </c>
      <c r="B1412" t="s">
        <v>4276</v>
      </c>
      <c r="C1412" t="s">
        <v>4277</v>
      </c>
      <c r="D1412" s="1">
        <v>43171</v>
      </c>
      <c r="E1412" s="1">
        <v>44329</v>
      </c>
      <c r="F1412" s="1">
        <v>44332</v>
      </c>
      <c r="G1412">
        <v>3</v>
      </c>
      <c r="H1412">
        <v>90.68</v>
      </c>
      <c r="I1412">
        <v>1088.1600000000001</v>
      </c>
      <c r="J1412">
        <v>5000</v>
      </c>
      <c r="K1412" t="s">
        <v>27</v>
      </c>
      <c r="L1412">
        <v>5000</v>
      </c>
      <c r="M1412">
        <v>4.25</v>
      </c>
      <c r="N1412" t="s">
        <v>49</v>
      </c>
      <c r="O1412">
        <v>51</v>
      </c>
      <c r="P1412">
        <v>60</v>
      </c>
      <c r="Q1412">
        <v>0</v>
      </c>
      <c r="R1412">
        <v>5</v>
      </c>
      <c r="S1412" t="s">
        <v>65</v>
      </c>
      <c r="T1412" t="s">
        <v>30</v>
      </c>
      <c r="U1412" t="s">
        <v>38</v>
      </c>
      <c r="V1412" t="s">
        <v>39</v>
      </c>
      <c r="W1412">
        <v>1</v>
      </c>
      <c r="X1412">
        <v>0</v>
      </c>
      <c r="Y1412" s="2">
        <f>Table1[[#This Row],[premium_yearly]]*Table1[[#This Row],[tenure_years]]</f>
        <v>4624.68</v>
      </c>
      <c r="Z1412" s="2">
        <f>Table1[[#This Row],[total_collected_premiums]]*(1-$AD$2)</f>
        <v>3376.0164</v>
      </c>
      <c r="AA1412" s="2">
        <f>Table1[[#This Row],[retained_premium]]-Table1[[#This Row],[claim_amount_paid]]</f>
        <v>-1623.9836</v>
      </c>
    </row>
    <row r="1413" spans="1:27" x14ac:dyDescent="0.35">
      <c r="A1413" t="s">
        <v>4278</v>
      </c>
      <c r="B1413" t="s">
        <v>4279</v>
      </c>
      <c r="C1413" t="s">
        <v>4280</v>
      </c>
      <c r="D1413" s="1">
        <v>43406</v>
      </c>
      <c r="E1413" s="1">
        <v>44324</v>
      </c>
      <c r="F1413" s="1">
        <v>44329</v>
      </c>
      <c r="G1413">
        <v>5</v>
      </c>
      <c r="H1413">
        <v>103.41</v>
      </c>
      <c r="I1413">
        <v>1240.92</v>
      </c>
      <c r="J1413">
        <v>1000</v>
      </c>
      <c r="K1413" t="s">
        <v>27</v>
      </c>
      <c r="L1413">
        <v>1000</v>
      </c>
      <c r="M1413">
        <v>8.42</v>
      </c>
      <c r="N1413" t="s">
        <v>28</v>
      </c>
      <c r="O1413">
        <v>101</v>
      </c>
      <c r="P1413">
        <v>38</v>
      </c>
      <c r="Q1413">
        <v>1</v>
      </c>
      <c r="R1413">
        <v>3</v>
      </c>
      <c r="S1413" t="s">
        <v>29</v>
      </c>
      <c r="T1413" t="s">
        <v>44</v>
      </c>
      <c r="U1413" t="s">
        <v>66</v>
      </c>
      <c r="V1413" t="s">
        <v>45</v>
      </c>
      <c r="W1413">
        <v>1</v>
      </c>
      <c r="X1413">
        <v>1</v>
      </c>
      <c r="Y1413" s="2">
        <f>Table1[[#This Row],[premium_yearly]]*Table1[[#This Row],[tenure_years]]</f>
        <v>10448.546400000001</v>
      </c>
      <c r="Z1413" s="2">
        <f>Table1[[#This Row],[total_collected_premiums]]*(1-$AD$2)</f>
        <v>7627.4388720000006</v>
      </c>
      <c r="AA1413" s="2">
        <f>Table1[[#This Row],[retained_premium]]-Table1[[#This Row],[claim_amount_paid]]</f>
        <v>6627.4388720000006</v>
      </c>
    </row>
    <row r="1414" spans="1:27" x14ac:dyDescent="0.35">
      <c r="A1414" t="s">
        <v>4281</v>
      </c>
      <c r="B1414" t="s">
        <v>4282</v>
      </c>
      <c r="C1414" t="s">
        <v>4283</v>
      </c>
      <c r="D1414" s="1">
        <v>43164</v>
      </c>
      <c r="E1414" s="1">
        <v>44333</v>
      </c>
      <c r="F1414" s="1">
        <v>44334</v>
      </c>
      <c r="G1414">
        <v>1</v>
      </c>
      <c r="H1414">
        <v>128.93</v>
      </c>
      <c r="I1414">
        <v>1547.16</v>
      </c>
      <c r="J1414">
        <v>5000</v>
      </c>
      <c r="K1414" t="s">
        <v>27</v>
      </c>
      <c r="L1414">
        <v>5000</v>
      </c>
      <c r="M1414">
        <v>1.92</v>
      </c>
      <c r="N1414" t="s">
        <v>28</v>
      </c>
      <c r="O1414">
        <v>23</v>
      </c>
      <c r="P1414">
        <v>32</v>
      </c>
      <c r="Q1414">
        <v>1</v>
      </c>
      <c r="R1414">
        <v>2</v>
      </c>
      <c r="S1414" t="s">
        <v>29</v>
      </c>
      <c r="T1414" t="s">
        <v>44</v>
      </c>
      <c r="U1414" t="s">
        <v>88</v>
      </c>
      <c r="V1414" t="s">
        <v>39</v>
      </c>
      <c r="W1414">
        <v>1</v>
      </c>
      <c r="X1414">
        <v>1</v>
      </c>
      <c r="Y1414" s="2">
        <f>Table1[[#This Row],[premium_yearly]]*Table1[[#This Row],[tenure_years]]</f>
        <v>2970.5472</v>
      </c>
      <c r="Z1414" s="2">
        <f>Table1[[#This Row],[total_collected_premiums]]*(1-$AD$2)</f>
        <v>2168.499456</v>
      </c>
      <c r="AA1414" s="2">
        <f>Table1[[#This Row],[retained_premium]]-Table1[[#This Row],[claim_amount_paid]]</f>
        <v>-2831.500544</v>
      </c>
    </row>
    <row r="1415" spans="1:27" x14ac:dyDescent="0.35">
      <c r="A1415" t="s">
        <v>4284</v>
      </c>
      <c r="B1415" t="s">
        <v>4285</v>
      </c>
      <c r="C1415" t="s">
        <v>4286</v>
      </c>
      <c r="D1415" s="1">
        <v>41362</v>
      </c>
      <c r="E1415" s="1">
        <v>44326</v>
      </c>
      <c r="F1415" s="1">
        <v>44331</v>
      </c>
      <c r="G1415">
        <v>5</v>
      </c>
      <c r="H1415">
        <v>79.2</v>
      </c>
      <c r="I1415">
        <v>950.4</v>
      </c>
      <c r="J1415">
        <v>7000</v>
      </c>
      <c r="K1415" t="s">
        <v>27</v>
      </c>
      <c r="L1415">
        <v>7000</v>
      </c>
      <c r="M1415">
        <v>9.33</v>
      </c>
      <c r="N1415" t="s">
        <v>36</v>
      </c>
      <c r="O1415">
        <v>112</v>
      </c>
      <c r="P1415">
        <v>32</v>
      </c>
      <c r="Q1415">
        <v>1</v>
      </c>
      <c r="R1415">
        <v>7</v>
      </c>
      <c r="S1415" t="s">
        <v>65</v>
      </c>
      <c r="T1415" t="s">
        <v>30</v>
      </c>
      <c r="U1415" t="s">
        <v>38</v>
      </c>
      <c r="V1415" t="s">
        <v>45</v>
      </c>
      <c r="W1415">
        <v>1</v>
      </c>
      <c r="X1415">
        <v>0</v>
      </c>
      <c r="Y1415" s="2">
        <f>Table1[[#This Row],[premium_yearly]]*Table1[[#This Row],[tenure_years]]</f>
        <v>8867.232</v>
      </c>
      <c r="Z1415" s="2">
        <f>Table1[[#This Row],[total_collected_premiums]]*(1-$AD$2)</f>
        <v>6473.0793599999997</v>
      </c>
      <c r="AA1415" s="2">
        <f>Table1[[#This Row],[retained_premium]]-Table1[[#This Row],[claim_amount_paid]]</f>
        <v>-526.92064000000028</v>
      </c>
    </row>
    <row r="1416" spans="1:27" x14ac:dyDescent="0.35">
      <c r="A1416" t="s">
        <v>4287</v>
      </c>
      <c r="B1416" t="s">
        <v>4288</v>
      </c>
      <c r="C1416" t="s">
        <v>4289</v>
      </c>
      <c r="D1416" s="1">
        <v>42593</v>
      </c>
      <c r="E1416" s="1">
        <v>44333</v>
      </c>
      <c r="F1416" s="1">
        <v>44334</v>
      </c>
      <c r="G1416">
        <v>1</v>
      </c>
      <c r="H1416">
        <v>111.37</v>
      </c>
      <c r="I1416">
        <v>1336.44</v>
      </c>
      <c r="J1416">
        <v>7000</v>
      </c>
      <c r="K1416" t="s">
        <v>27</v>
      </c>
      <c r="L1416">
        <v>7000</v>
      </c>
      <c r="M1416">
        <v>7.75</v>
      </c>
      <c r="N1416" t="s">
        <v>36</v>
      </c>
      <c r="O1416">
        <v>93</v>
      </c>
      <c r="P1416">
        <v>57</v>
      </c>
      <c r="Q1416">
        <v>1</v>
      </c>
      <c r="R1416">
        <v>2</v>
      </c>
      <c r="S1416" t="s">
        <v>29</v>
      </c>
      <c r="T1416" t="s">
        <v>30</v>
      </c>
      <c r="U1416" t="s">
        <v>88</v>
      </c>
      <c r="V1416" t="s">
        <v>45</v>
      </c>
      <c r="W1416">
        <v>0</v>
      </c>
      <c r="X1416">
        <v>1</v>
      </c>
      <c r="Y1416" s="2">
        <f>Table1[[#This Row],[premium_yearly]]*Table1[[#This Row],[tenure_years]]</f>
        <v>10357.41</v>
      </c>
      <c r="Z1416" s="2">
        <f>Table1[[#This Row],[total_collected_premiums]]*(1-$AD$2)</f>
        <v>7560.9092999999993</v>
      </c>
      <c r="AA1416" s="2">
        <f>Table1[[#This Row],[retained_premium]]-Table1[[#This Row],[claim_amount_paid]]</f>
        <v>560.90929999999935</v>
      </c>
    </row>
    <row r="1417" spans="1:27" x14ac:dyDescent="0.35">
      <c r="A1417" t="s">
        <v>4290</v>
      </c>
      <c r="B1417" t="s">
        <v>4291</v>
      </c>
      <c r="C1417" t="s">
        <v>4292</v>
      </c>
      <c r="D1417" s="1">
        <v>42218</v>
      </c>
      <c r="E1417" s="1">
        <v>44328</v>
      </c>
      <c r="F1417" s="1">
        <v>44331</v>
      </c>
      <c r="G1417">
        <v>3</v>
      </c>
      <c r="H1417">
        <v>74.47</v>
      </c>
      <c r="I1417">
        <v>893.64</v>
      </c>
      <c r="J1417">
        <v>1000</v>
      </c>
      <c r="K1417" t="s">
        <v>27</v>
      </c>
      <c r="L1417">
        <v>1000</v>
      </c>
      <c r="M1417">
        <v>1.33</v>
      </c>
      <c r="N1417" t="s">
        <v>36</v>
      </c>
      <c r="O1417">
        <v>16</v>
      </c>
      <c r="P1417">
        <v>59</v>
      </c>
      <c r="Q1417">
        <v>1</v>
      </c>
      <c r="R1417">
        <v>2</v>
      </c>
      <c r="S1417" t="s">
        <v>65</v>
      </c>
      <c r="T1417" t="s">
        <v>44</v>
      </c>
      <c r="U1417" t="s">
        <v>38</v>
      </c>
      <c r="V1417" t="s">
        <v>39</v>
      </c>
      <c r="W1417">
        <v>1</v>
      </c>
      <c r="X1417">
        <v>1</v>
      </c>
      <c r="Y1417" s="2">
        <f>Table1[[#This Row],[premium_yearly]]*Table1[[#This Row],[tenure_years]]</f>
        <v>1188.5412000000001</v>
      </c>
      <c r="Z1417" s="2">
        <f>Table1[[#This Row],[total_collected_premiums]]*(1-$AD$2)</f>
        <v>867.63507600000003</v>
      </c>
      <c r="AA1417" s="2">
        <f>Table1[[#This Row],[retained_premium]]-Table1[[#This Row],[claim_amount_paid]]</f>
        <v>-132.36492399999997</v>
      </c>
    </row>
    <row r="1418" spans="1:27" x14ac:dyDescent="0.35">
      <c r="A1418" t="s">
        <v>4293</v>
      </c>
      <c r="B1418" t="s">
        <v>4294</v>
      </c>
      <c r="C1418" t="s">
        <v>4295</v>
      </c>
      <c r="D1418" s="1">
        <v>43498</v>
      </c>
      <c r="E1418" s="1">
        <v>44319</v>
      </c>
      <c r="F1418" s="1">
        <v>44324</v>
      </c>
      <c r="G1418">
        <v>5</v>
      </c>
      <c r="H1418">
        <v>86.23</v>
      </c>
      <c r="I1418">
        <v>1034.76</v>
      </c>
      <c r="J1418">
        <v>2000</v>
      </c>
      <c r="K1418" t="s">
        <v>27</v>
      </c>
      <c r="L1418">
        <v>2000</v>
      </c>
      <c r="M1418">
        <v>7.42</v>
      </c>
      <c r="N1418" t="s">
        <v>28</v>
      </c>
      <c r="O1418">
        <v>89</v>
      </c>
      <c r="P1418">
        <v>63</v>
      </c>
      <c r="Q1418">
        <v>1</v>
      </c>
      <c r="R1418">
        <v>5</v>
      </c>
      <c r="S1418" t="s">
        <v>29</v>
      </c>
      <c r="T1418" t="s">
        <v>44</v>
      </c>
      <c r="U1418" t="s">
        <v>66</v>
      </c>
      <c r="V1418" t="s">
        <v>32</v>
      </c>
      <c r="W1418">
        <v>1</v>
      </c>
      <c r="X1418">
        <v>1</v>
      </c>
      <c r="Y1418" s="2">
        <f>Table1[[#This Row],[premium_yearly]]*Table1[[#This Row],[tenure_years]]</f>
        <v>7677.9192000000003</v>
      </c>
      <c r="Z1418" s="2">
        <f>Table1[[#This Row],[total_collected_premiums]]*(1-$AD$2)</f>
        <v>5604.8810160000003</v>
      </c>
      <c r="AA1418" s="2">
        <f>Table1[[#This Row],[retained_premium]]-Table1[[#This Row],[claim_amount_paid]]</f>
        <v>3604.8810160000003</v>
      </c>
    </row>
    <row r="1419" spans="1:27" x14ac:dyDescent="0.35">
      <c r="A1419" t="s">
        <v>4296</v>
      </c>
      <c r="B1419" t="s">
        <v>4297</v>
      </c>
      <c r="C1419" t="s">
        <v>4298</v>
      </c>
      <c r="D1419" s="1">
        <v>40521</v>
      </c>
      <c r="E1419" s="1">
        <v>44331</v>
      </c>
      <c r="F1419" s="1">
        <v>44334</v>
      </c>
      <c r="G1419">
        <v>3</v>
      </c>
      <c r="H1419">
        <v>94.43</v>
      </c>
      <c r="I1419">
        <v>1133.1600000000001</v>
      </c>
      <c r="J1419">
        <v>1000</v>
      </c>
      <c r="K1419" t="s">
        <v>27</v>
      </c>
      <c r="L1419">
        <v>1000</v>
      </c>
      <c r="M1419">
        <v>6</v>
      </c>
      <c r="N1419" t="s">
        <v>49</v>
      </c>
      <c r="O1419">
        <v>72</v>
      </c>
      <c r="P1419">
        <v>44</v>
      </c>
      <c r="Q1419">
        <v>1</v>
      </c>
      <c r="R1419">
        <v>6</v>
      </c>
      <c r="S1419" t="s">
        <v>29</v>
      </c>
      <c r="T1419" t="s">
        <v>30</v>
      </c>
      <c r="U1419" t="s">
        <v>66</v>
      </c>
      <c r="V1419" t="s">
        <v>45</v>
      </c>
      <c r="W1419">
        <v>1</v>
      </c>
      <c r="X1419">
        <v>1</v>
      </c>
      <c r="Y1419" s="2">
        <f>Table1[[#This Row],[premium_yearly]]*Table1[[#This Row],[tenure_years]]</f>
        <v>6798.9600000000009</v>
      </c>
      <c r="Z1419" s="2">
        <f>Table1[[#This Row],[total_collected_premiums]]*(1-$AD$2)</f>
        <v>4963.2408000000005</v>
      </c>
      <c r="AA1419" s="2">
        <f>Table1[[#This Row],[retained_premium]]-Table1[[#This Row],[claim_amount_paid]]</f>
        <v>3963.2408000000005</v>
      </c>
    </row>
    <row r="1420" spans="1:27" x14ac:dyDescent="0.35">
      <c r="A1420" t="s">
        <v>4299</v>
      </c>
      <c r="B1420" t="s">
        <v>4300</v>
      </c>
      <c r="C1420" t="s">
        <v>4301</v>
      </c>
      <c r="D1420" s="1">
        <v>40987</v>
      </c>
      <c r="E1420" s="1">
        <v>44331</v>
      </c>
      <c r="F1420" s="1">
        <v>44334</v>
      </c>
      <c r="G1420">
        <v>3</v>
      </c>
      <c r="H1420">
        <v>126.07</v>
      </c>
      <c r="I1420">
        <v>1512.84</v>
      </c>
      <c r="J1420">
        <v>5000</v>
      </c>
      <c r="K1420" t="s">
        <v>27</v>
      </c>
      <c r="L1420">
        <v>5000</v>
      </c>
      <c r="M1420">
        <v>1.75</v>
      </c>
      <c r="N1420" t="s">
        <v>28</v>
      </c>
      <c r="O1420">
        <v>21</v>
      </c>
      <c r="P1420">
        <v>26</v>
      </c>
      <c r="Q1420">
        <v>1</v>
      </c>
      <c r="R1420">
        <v>2</v>
      </c>
      <c r="S1420" t="s">
        <v>65</v>
      </c>
      <c r="T1420" t="s">
        <v>30</v>
      </c>
      <c r="U1420" t="s">
        <v>31</v>
      </c>
      <c r="V1420" t="s">
        <v>32</v>
      </c>
      <c r="W1420">
        <v>1</v>
      </c>
      <c r="X1420">
        <v>1</v>
      </c>
      <c r="Y1420" s="2">
        <f>Table1[[#This Row],[premium_yearly]]*Table1[[#This Row],[tenure_years]]</f>
        <v>2647.47</v>
      </c>
      <c r="Z1420" s="2">
        <f>Table1[[#This Row],[total_collected_premiums]]*(1-$AD$2)</f>
        <v>1932.6530999999998</v>
      </c>
      <c r="AA1420" s="2">
        <f>Table1[[#This Row],[retained_premium]]-Table1[[#This Row],[claim_amount_paid]]</f>
        <v>-3067.3469000000005</v>
      </c>
    </row>
    <row r="1421" spans="1:27" x14ac:dyDescent="0.35">
      <c r="A1421" t="s">
        <v>4302</v>
      </c>
      <c r="B1421" t="s">
        <v>4303</v>
      </c>
      <c r="C1421" t="s">
        <v>4304</v>
      </c>
      <c r="D1421" s="1">
        <v>42366</v>
      </c>
      <c r="E1421" s="1">
        <v>44322</v>
      </c>
      <c r="F1421" s="1">
        <v>44327</v>
      </c>
      <c r="G1421">
        <v>5</v>
      </c>
      <c r="H1421">
        <v>136.01</v>
      </c>
      <c r="I1421">
        <v>1632.12</v>
      </c>
      <c r="J1421">
        <v>1000</v>
      </c>
      <c r="K1421" t="s">
        <v>27</v>
      </c>
      <c r="L1421">
        <v>1000</v>
      </c>
      <c r="M1421">
        <v>1</v>
      </c>
      <c r="N1421" t="s">
        <v>36</v>
      </c>
      <c r="O1421">
        <v>12</v>
      </c>
      <c r="P1421">
        <v>55</v>
      </c>
      <c r="Q1421">
        <v>1</v>
      </c>
      <c r="R1421">
        <v>4</v>
      </c>
      <c r="S1421" t="s">
        <v>29</v>
      </c>
      <c r="T1421" t="s">
        <v>30</v>
      </c>
      <c r="U1421" t="s">
        <v>38</v>
      </c>
      <c r="V1421" t="s">
        <v>39</v>
      </c>
      <c r="W1421">
        <v>1</v>
      </c>
      <c r="X1421">
        <v>1</v>
      </c>
      <c r="Y1421" s="2">
        <f>Table1[[#This Row],[premium_yearly]]*Table1[[#This Row],[tenure_years]]</f>
        <v>1632.12</v>
      </c>
      <c r="Z1421" s="2">
        <f>Table1[[#This Row],[total_collected_premiums]]*(1-$AD$2)</f>
        <v>1191.4476</v>
      </c>
      <c r="AA1421" s="2">
        <f>Table1[[#This Row],[retained_premium]]-Table1[[#This Row],[claim_amount_paid]]</f>
        <v>191.44759999999997</v>
      </c>
    </row>
    <row r="1422" spans="1:27" x14ac:dyDescent="0.35">
      <c r="A1422" t="s">
        <v>4305</v>
      </c>
      <c r="B1422" t="s">
        <v>4306</v>
      </c>
      <c r="C1422" t="s">
        <v>4307</v>
      </c>
      <c r="D1422" s="1">
        <v>43743</v>
      </c>
      <c r="E1422" s="1">
        <v>44328</v>
      </c>
      <c r="F1422" s="1">
        <v>44333</v>
      </c>
      <c r="G1422">
        <v>5</v>
      </c>
      <c r="H1422">
        <v>102.41</v>
      </c>
      <c r="I1422">
        <v>1228.92</v>
      </c>
      <c r="J1422">
        <v>7000</v>
      </c>
      <c r="K1422" t="s">
        <v>27</v>
      </c>
      <c r="L1422">
        <v>7000</v>
      </c>
      <c r="M1422">
        <v>5.17</v>
      </c>
      <c r="N1422" t="s">
        <v>36</v>
      </c>
      <c r="O1422">
        <v>62</v>
      </c>
      <c r="P1422">
        <v>38</v>
      </c>
      <c r="Q1422">
        <v>1</v>
      </c>
      <c r="R1422">
        <v>4</v>
      </c>
      <c r="S1422" t="s">
        <v>37</v>
      </c>
      <c r="T1422" t="s">
        <v>50</v>
      </c>
      <c r="U1422" t="s">
        <v>31</v>
      </c>
      <c r="V1422" t="s">
        <v>39</v>
      </c>
      <c r="W1422">
        <v>1</v>
      </c>
      <c r="X1422">
        <v>1</v>
      </c>
      <c r="Y1422" s="2">
        <f>Table1[[#This Row],[premium_yearly]]*Table1[[#This Row],[tenure_years]]</f>
        <v>6353.5164000000004</v>
      </c>
      <c r="Z1422" s="2">
        <f>Table1[[#This Row],[total_collected_premiums]]*(1-$AD$2)</f>
        <v>4638.0669720000005</v>
      </c>
      <c r="AA1422" s="2">
        <f>Table1[[#This Row],[retained_premium]]-Table1[[#This Row],[claim_amount_paid]]</f>
        <v>-2361.9330279999995</v>
      </c>
    </row>
    <row r="1423" spans="1:27" x14ac:dyDescent="0.35">
      <c r="A1423" t="s">
        <v>4308</v>
      </c>
      <c r="B1423" t="s">
        <v>4309</v>
      </c>
      <c r="C1423" t="s">
        <v>4310</v>
      </c>
      <c r="D1423" s="1">
        <v>42226</v>
      </c>
      <c r="E1423" s="1">
        <v>44328</v>
      </c>
      <c r="F1423" s="1">
        <v>44333</v>
      </c>
      <c r="G1423">
        <v>5</v>
      </c>
      <c r="H1423">
        <v>135.28</v>
      </c>
      <c r="I1423">
        <v>1623.36</v>
      </c>
      <c r="J1423">
        <v>10000</v>
      </c>
      <c r="K1423" t="s">
        <v>27</v>
      </c>
      <c r="L1423">
        <v>10000</v>
      </c>
      <c r="M1423">
        <v>7.17</v>
      </c>
      <c r="N1423" t="s">
        <v>36</v>
      </c>
      <c r="O1423">
        <v>86</v>
      </c>
      <c r="P1423">
        <v>56</v>
      </c>
      <c r="Q1423">
        <v>1</v>
      </c>
      <c r="R1423">
        <v>5</v>
      </c>
      <c r="S1423" t="s">
        <v>37</v>
      </c>
      <c r="T1423" t="s">
        <v>30</v>
      </c>
      <c r="U1423" t="s">
        <v>31</v>
      </c>
      <c r="V1423" t="s">
        <v>45</v>
      </c>
      <c r="W1423">
        <v>1</v>
      </c>
      <c r="X1423">
        <v>1</v>
      </c>
      <c r="Y1423" s="2">
        <f>Table1[[#This Row],[premium_yearly]]*Table1[[#This Row],[tenure_years]]</f>
        <v>11639.491199999999</v>
      </c>
      <c r="Z1423" s="2">
        <f>Table1[[#This Row],[total_collected_premiums]]*(1-$AD$2)</f>
        <v>8496.8285759999981</v>
      </c>
      <c r="AA1423" s="2">
        <f>Table1[[#This Row],[retained_premium]]-Table1[[#This Row],[claim_amount_paid]]</f>
        <v>-1503.1714240000019</v>
      </c>
    </row>
    <row r="1424" spans="1:27" x14ac:dyDescent="0.35">
      <c r="A1424" t="s">
        <v>4311</v>
      </c>
      <c r="B1424" t="s">
        <v>4312</v>
      </c>
      <c r="C1424" t="s">
        <v>4313</v>
      </c>
      <c r="D1424" s="1">
        <v>42517</v>
      </c>
      <c r="E1424" s="1">
        <v>44335</v>
      </c>
      <c r="F1424" s="1">
        <v>44336</v>
      </c>
      <c r="G1424">
        <v>1</v>
      </c>
      <c r="H1424">
        <v>84.23</v>
      </c>
      <c r="I1424">
        <v>1010.76</v>
      </c>
      <c r="J1424">
        <v>7000</v>
      </c>
      <c r="K1424" t="s">
        <v>27</v>
      </c>
      <c r="L1424">
        <v>7000</v>
      </c>
      <c r="M1424">
        <v>4.08</v>
      </c>
      <c r="N1424" t="s">
        <v>49</v>
      </c>
      <c r="O1424">
        <v>49</v>
      </c>
      <c r="P1424">
        <v>48</v>
      </c>
      <c r="Q1424">
        <v>1</v>
      </c>
      <c r="R1424">
        <v>4</v>
      </c>
      <c r="S1424" t="s">
        <v>65</v>
      </c>
      <c r="T1424" t="s">
        <v>50</v>
      </c>
      <c r="U1424" t="s">
        <v>31</v>
      </c>
      <c r="V1424" t="s">
        <v>45</v>
      </c>
      <c r="W1424">
        <v>1</v>
      </c>
      <c r="X1424">
        <v>0</v>
      </c>
      <c r="Y1424" s="2">
        <f>Table1[[#This Row],[premium_yearly]]*Table1[[#This Row],[tenure_years]]</f>
        <v>4123.9008000000003</v>
      </c>
      <c r="Z1424" s="2">
        <f>Table1[[#This Row],[total_collected_premiums]]*(1-$AD$2)</f>
        <v>3010.447584</v>
      </c>
      <c r="AA1424" s="2">
        <f>Table1[[#This Row],[retained_premium]]-Table1[[#This Row],[claim_amount_paid]]</f>
        <v>-3989.552416</v>
      </c>
    </row>
    <row r="1425" spans="1:27" x14ac:dyDescent="0.35">
      <c r="A1425" t="s">
        <v>4314</v>
      </c>
      <c r="B1425" t="s">
        <v>4315</v>
      </c>
      <c r="C1425" t="s">
        <v>4316</v>
      </c>
      <c r="D1425" s="1">
        <v>43219</v>
      </c>
      <c r="E1425" s="1">
        <v>44338</v>
      </c>
      <c r="F1425" s="1">
        <v>44338</v>
      </c>
      <c r="G1425">
        <v>0</v>
      </c>
      <c r="H1425">
        <v>75.239999999999995</v>
      </c>
      <c r="I1425">
        <v>902.88</v>
      </c>
      <c r="J1425">
        <v>10000</v>
      </c>
      <c r="K1425" t="s">
        <v>27</v>
      </c>
      <c r="L1425">
        <v>10000</v>
      </c>
      <c r="M1425">
        <v>4.25</v>
      </c>
      <c r="N1425" t="s">
        <v>36</v>
      </c>
      <c r="O1425">
        <v>51</v>
      </c>
      <c r="P1425">
        <v>38</v>
      </c>
      <c r="Q1425">
        <v>1</v>
      </c>
      <c r="R1425">
        <v>7</v>
      </c>
      <c r="S1425" t="s">
        <v>65</v>
      </c>
      <c r="T1425" t="s">
        <v>30</v>
      </c>
      <c r="U1425" t="s">
        <v>38</v>
      </c>
      <c r="V1425" t="s">
        <v>39</v>
      </c>
      <c r="W1425">
        <v>1</v>
      </c>
      <c r="X1425">
        <v>0</v>
      </c>
      <c r="Y1425" s="2">
        <f>Table1[[#This Row],[premium_yearly]]*Table1[[#This Row],[tenure_years]]</f>
        <v>3837.24</v>
      </c>
      <c r="Z1425" s="2">
        <f>Table1[[#This Row],[total_collected_premiums]]*(1-$AD$2)</f>
        <v>2801.1851999999999</v>
      </c>
      <c r="AA1425" s="2">
        <f>Table1[[#This Row],[retained_premium]]-Table1[[#This Row],[claim_amount_paid]]</f>
        <v>-7198.8148000000001</v>
      </c>
    </row>
    <row r="1426" spans="1:27" x14ac:dyDescent="0.35">
      <c r="A1426" t="s">
        <v>4317</v>
      </c>
      <c r="B1426" t="s">
        <v>4318</v>
      </c>
      <c r="C1426" t="s">
        <v>4319</v>
      </c>
      <c r="D1426" s="1">
        <v>43427</v>
      </c>
      <c r="E1426" s="1">
        <v>44339</v>
      </c>
      <c r="F1426" s="1">
        <v>44339</v>
      </c>
      <c r="G1426">
        <v>0</v>
      </c>
      <c r="H1426">
        <v>110.41</v>
      </c>
      <c r="I1426">
        <v>1324.92</v>
      </c>
      <c r="J1426">
        <v>8000</v>
      </c>
      <c r="K1426" t="s">
        <v>27</v>
      </c>
      <c r="L1426">
        <v>8000</v>
      </c>
      <c r="M1426">
        <v>9</v>
      </c>
      <c r="N1426" t="s">
        <v>28</v>
      </c>
      <c r="O1426">
        <v>108</v>
      </c>
      <c r="P1426">
        <v>45</v>
      </c>
      <c r="Q1426">
        <v>1</v>
      </c>
      <c r="R1426">
        <v>5</v>
      </c>
      <c r="S1426" t="s">
        <v>37</v>
      </c>
      <c r="T1426" t="s">
        <v>30</v>
      </c>
      <c r="U1426" t="s">
        <v>38</v>
      </c>
      <c r="V1426" t="s">
        <v>32</v>
      </c>
      <c r="W1426">
        <v>1</v>
      </c>
      <c r="X1426">
        <v>0</v>
      </c>
      <c r="Y1426" s="2">
        <f>Table1[[#This Row],[premium_yearly]]*Table1[[#This Row],[tenure_years]]</f>
        <v>11924.28</v>
      </c>
      <c r="Z1426" s="2">
        <f>Table1[[#This Row],[total_collected_premiums]]*(1-$AD$2)</f>
        <v>8704.724400000001</v>
      </c>
      <c r="AA1426" s="2">
        <f>Table1[[#This Row],[retained_premium]]-Table1[[#This Row],[claim_amount_paid]]</f>
        <v>704.72440000000097</v>
      </c>
    </row>
    <row r="1427" spans="1:27" x14ac:dyDescent="0.35">
      <c r="A1427" t="s">
        <v>4320</v>
      </c>
      <c r="B1427" t="s">
        <v>4321</v>
      </c>
      <c r="C1427" t="s">
        <v>4322</v>
      </c>
      <c r="D1427" s="1">
        <v>40425</v>
      </c>
      <c r="E1427" s="1">
        <v>44330</v>
      </c>
      <c r="F1427" s="1">
        <v>44335</v>
      </c>
      <c r="G1427">
        <v>5</v>
      </c>
      <c r="H1427">
        <v>115.12</v>
      </c>
      <c r="I1427">
        <v>1381.44</v>
      </c>
      <c r="J1427">
        <v>4000</v>
      </c>
      <c r="K1427" t="s">
        <v>27</v>
      </c>
      <c r="L1427">
        <v>4000</v>
      </c>
      <c r="M1427">
        <v>2</v>
      </c>
      <c r="N1427" t="s">
        <v>36</v>
      </c>
      <c r="O1427">
        <v>24</v>
      </c>
      <c r="P1427">
        <v>58</v>
      </c>
      <c r="Q1427">
        <v>1</v>
      </c>
      <c r="R1427">
        <v>2</v>
      </c>
      <c r="S1427" t="s">
        <v>29</v>
      </c>
      <c r="T1427" t="s">
        <v>50</v>
      </c>
      <c r="U1427" t="s">
        <v>107</v>
      </c>
      <c r="V1427" t="s">
        <v>32</v>
      </c>
      <c r="W1427">
        <v>1</v>
      </c>
      <c r="X1427">
        <v>1</v>
      </c>
      <c r="Y1427" s="2">
        <f>Table1[[#This Row],[premium_yearly]]*Table1[[#This Row],[tenure_years]]</f>
        <v>2762.88</v>
      </c>
      <c r="Z1427" s="2">
        <f>Table1[[#This Row],[total_collected_premiums]]*(1-$AD$2)</f>
        <v>2016.9023999999999</v>
      </c>
      <c r="AA1427" s="2">
        <f>Table1[[#This Row],[retained_premium]]-Table1[[#This Row],[claim_amount_paid]]</f>
        <v>-1983.0976000000001</v>
      </c>
    </row>
    <row r="1428" spans="1:27" x14ac:dyDescent="0.35">
      <c r="A1428" t="s">
        <v>4323</v>
      </c>
      <c r="B1428" t="s">
        <v>4324</v>
      </c>
      <c r="C1428" t="s">
        <v>4325</v>
      </c>
      <c r="D1428" s="1">
        <v>42807</v>
      </c>
      <c r="E1428" s="1">
        <v>44338</v>
      </c>
      <c r="F1428" s="1">
        <v>44338</v>
      </c>
      <c r="G1428">
        <v>0</v>
      </c>
      <c r="H1428">
        <v>119.88</v>
      </c>
      <c r="I1428">
        <v>1438.56</v>
      </c>
      <c r="J1428">
        <v>8000</v>
      </c>
      <c r="K1428" t="s">
        <v>27</v>
      </c>
      <c r="L1428">
        <v>8000</v>
      </c>
      <c r="M1428">
        <v>9</v>
      </c>
      <c r="N1428" t="s">
        <v>36</v>
      </c>
      <c r="O1428">
        <v>108</v>
      </c>
      <c r="P1428">
        <v>28</v>
      </c>
      <c r="Q1428">
        <v>0</v>
      </c>
      <c r="R1428">
        <v>7</v>
      </c>
      <c r="S1428" t="s">
        <v>37</v>
      </c>
      <c r="T1428" t="s">
        <v>30</v>
      </c>
      <c r="U1428" t="s">
        <v>38</v>
      </c>
      <c r="V1428" t="s">
        <v>39</v>
      </c>
      <c r="W1428">
        <v>1</v>
      </c>
      <c r="X1428">
        <v>1</v>
      </c>
      <c r="Y1428" s="2">
        <f>Table1[[#This Row],[premium_yearly]]*Table1[[#This Row],[tenure_years]]</f>
        <v>12947.039999999999</v>
      </c>
      <c r="Z1428" s="2">
        <f>Table1[[#This Row],[total_collected_premiums]]*(1-$AD$2)</f>
        <v>9451.3391999999985</v>
      </c>
      <c r="AA1428" s="2">
        <f>Table1[[#This Row],[retained_premium]]-Table1[[#This Row],[claim_amount_paid]]</f>
        <v>1451.3391999999985</v>
      </c>
    </row>
    <row r="1429" spans="1:27" x14ac:dyDescent="0.35">
      <c r="A1429" t="s">
        <v>4326</v>
      </c>
      <c r="B1429" t="s">
        <v>4327</v>
      </c>
      <c r="C1429" t="s">
        <v>4328</v>
      </c>
      <c r="D1429" s="1">
        <v>43083</v>
      </c>
      <c r="E1429" s="1">
        <v>44338</v>
      </c>
      <c r="F1429" s="1">
        <v>44338</v>
      </c>
      <c r="G1429">
        <v>0</v>
      </c>
      <c r="H1429">
        <v>90.59</v>
      </c>
      <c r="I1429">
        <v>1087.08</v>
      </c>
      <c r="J1429">
        <v>9000</v>
      </c>
      <c r="K1429" t="s">
        <v>27</v>
      </c>
      <c r="L1429">
        <v>9000</v>
      </c>
      <c r="M1429">
        <v>5.83</v>
      </c>
      <c r="N1429" t="s">
        <v>49</v>
      </c>
      <c r="O1429">
        <v>70</v>
      </c>
      <c r="P1429">
        <v>38</v>
      </c>
      <c r="Q1429">
        <v>1</v>
      </c>
      <c r="R1429">
        <v>7</v>
      </c>
      <c r="S1429" t="s">
        <v>29</v>
      </c>
      <c r="T1429" t="s">
        <v>30</v>
      </c>
      <c r="U1429" t="s">
        <v>58</v>
      </c>
      <c r="V1429" t="s">
        <v>45</v>
      </c>
      <c r="W1429">
        <v>0</v>
      </c>
      <c r="X1429">
        <v>1</v>
      </c>
      <c r="Y1429" s="2">
        <f>Table1[[#This Row],[premium_yearly]]*Table1[[#This Row],[tenure_years]]</f>
        <v>6337.6763999999994</v>
      </c>
      <c r="Z1429" s="2">
        <f>Table1[[#This Row],[total_collected_premiums]]*(1-$AD$2)</f>
        <v>4626.5037719999991</v>
      </c>
      <c r="AA1429" s="2">
        <f>Table1[[#This Row],[retained_premium]]-Table1[[#This Row],[claim_amount_paid]]</f>
        <v>-4373.4962280000009</v>
      </c>
    </row>
    <row r="1430" spans="1:27" x14ac:dyDescent="0.35">
      <c r="A1430" t="s">
        <v>4329</v>
      </c>
      <c r="B1430" t="s">
        <v>4330</v>
      </c>
      <c r="C1430" t="s">
        <v>4331</v>
      </c>
      <c r="D1430" s="1">
        <v>43204</v>
      </c>
      <c r="E1430" s="1">
        <v>44327</v>
      </c>
      <c r="F1430" s="1">
        <v>44332</v>
      </c>
      <c r="G1430">
        <v>5</v>
      </c>
      <c r="H1430">
        <v>83.42</v>
      </c>
      <c r="I1430">
        <v>1001.04</v>
      </c>
      <c r="J1430">
        <v>5000</v>
      </c>
      <c r="K1430" t="s">
        <v>27</v>
      </c>
      <c r="L1430">
        <v>5000</v>
      </c>
      <c r="M1430">
        <v>5.33</v>
      </c>
      <c r="N1430" t="s">
        <v>49</v>
      </c>
      <c r="O1430">
        <v>64</v>
      </c>
      <c r="P1430">
        <v>40</v>
      </c>
      <c r="Q1430">
        <v>1</v>
      </c>
      <c r="R1430">
        <v>2</v>
      </c>
      <c r="S1430" t="s">
        <v>65</v>
      </c>
      <c r="T1430" t="s">
        <v>30</v>
      </c>
      <c r="U1430" t="s">
        <v>38</v>
      </c>
      <c r="V1430" t="s">
        <v>45</v>
      </c>
      <c r="W1430">
        <v>1</v>
      </c>
      <c r="X1430">
        <v>0</v>
      </c>
      <c r="Y1430" s="2">
        <f>Table1[[#This Row],[premium_yearly]]*Table1[[#This Row],[tenure_years]]</f>
        <v>5335.5432000000001</v>
      </c>
      <c r="Z1430" s="2">
        <f>Table1[[#This Row],[total_collected_premiums]]*(1-$AD$2)</f>
        <v>3894.9465359999999</v>
      </c>
      <c r="AA1430" s="2">
        <f>Table1[[#This Row],[retained_premium]]-Table1[[#This Row],[claim_amount_paid]]</f>
        <v>-1105.0534640000001</v>
      </c>
    </row>
    <row r="1431" spans="1:27" x14ac:dyDescent="0.35">
      <c r="A1431" t="s">
        <v>4332</v>
      </c>
      <c r="B1431" t="s">
        <v>4333</v>
      </c>
      <c r="C1431" t="s">
        <v>4334</v>
      </c>
      <c r="D1431" s="1">
        <v>42663</v>
      </c>
      <c r="E1431" s="1">
        <v>44332</v>
      </c>
      <c r="F1431" s="1">
        <v>44335</v>
      </c>
      <c r="G1431">
        <v>3</v>
      </c>
      <c r="H1431">
        <v>86.21</v>
      </c>
      <c r="I1431">
        <v>1034.52</v>
      </c>
      <c r="J1431">
        <v>9000</v>
      </c>
      <c r="K1431" t="s">
        <v>27</v>
      </c>
      <c r="L1431">
        <v>9000</v>
      </c>
      <c r="M1431">
        <v>0.57999999999999996</v>
      </c>
      <c r="N1431" t="s">
        <v>36</v>
      </c>
      <c r="O1431">
        <v>7</v>
      </c>
      <c r="P1431">
        <v>60</v>
      </c>
      <c r="Q1431">
        <v>1</v>
      </c>
      <c r="R1431">
        <v>2</v>
      </c>
      <c r="S1431" t="s">
        <v>29</v>
      </c>
      <c r="T1431" t="s">
        <v>44</v>
      </c>
      <c r="U1431" t="s">
        <v>38</v>
      </c>
      <c r="V1431" t="s">
        <v>39</v>
      </c>
      <c r="W1431">
        <v>1</v>
      </c>
      <c r="X1431">
        <v>1</v>
      </c>
      <c r="Y1431" s="2">
        <f>Table1[[#This Row],[premium_yearly]]*Table1[[#This Row],[tenure_years]]</f>
        <v>600.02159999999992</v>
      </c>
      <c r="Z1431" s="2">
        <f>Table1[[#This Row],[total_collected_premiums]]*(1-$AD$2)</f>
        <v>438.01576799999992</v>
      </c>
      <c r="AA1431" s="2">
        <f>Table1[[#This Row],[retained_premium]]-Table1[[#This Row],[claim_amount_paid]]</f>
        <v>-8561.9842320000007</v>
      </c>
    </row>
    <row r="1432" spans="1:27" x14ac:dyDescent="0.35">
      <c r="A1432" t="s">
        <v>4335</v>
      </c>
      <c r="B1432" t="s">
        <v>4336</v>
      </c>
      <c r="C1432" t="s">
        <v>4337</v>
      </c>
      <c r="D1432" s="1">
        <v>42993</v>
      </c>
      <c r="E1432" s="1">
        <v>44324</v>
      </c>
      <c r="F1432" s="1">
        <v>44329</v>
      </c>
      <c r="G1432">
        <v>5</v>
      </c>
      <c r="H1432">
        <v>98.72</v>
      </c>
      <c r="I1432">
        <v>1184.6400000000001</v>
      </c>
      <c r="J1432">
        <v>5000</v>
      </c>
      <c r="K1432" t="s">
        <v>27</v>
      </c>
      <c r="L1432">
        <v>5000</v>
      </c>
      <c r="M1432">
        <v>5.67</v>
      </c>
      <c r="N1432" t="s">
        <v>36</v>
      </c>
      <c r="O1432">
        <v>68</v>
      </c>
      <c r="P1432">
        <v>47</v>
      </c>
      <c r="Q1432">
        <v>0</v>
      </c>
      <c r="R1432">
        <v>3</v>
      </c>
      <c r="S1432" t="s">
        <v>65</v>
      </c>
      <c r="T1432" t="s">
        <v>30</v>
      </c>
      <c r="U1432" t="s">
        <v>107</v>
      </c>
      <c r="V1432" t="s">
        <v>39</v>
      </c>
      <c r="W1432">
        <v>1</v>
      </c>
      <c r="X1432">
        <v>0</v>
      </c>
      <c r="Y1432" s="2">
        <f>Table1[[#This Row],[premium_yearly]]*Table1[[#This Row],[tenure_years]]</f>
        <v>6716.9088000000002</v>
      </c>
      <c r="Z1432" s="2">
        <f>Table1[[#This Row],[total_collected_premiums]]*(1-$AD$2)</f>
        <v>4903.3434239999997</v>
      </c>
      <c r="AA1432" s="2">
        <f>Table1[[#This Row],[retained_premium]]-Table1[[#This Row],[claim_amount_paid]]</f>
        <v>-96.656576000000314</v>
      </c>
    </row>
    <row r="1433" spans="1:27" x14ac:dyDescent="0.35">
      <c r="A1433" t="s">
        <v>4338</v>
      </c>
      <c r="B1433" t="s">
        <v>4339</v>
      </c>
      <c r="C1433" t="s">
        <v>4340</v>
      </c>
      <c r="D1433" s="1">
        <v>41670</v>
      </c>
      <c r="E1433" s="1">
        <v>44324</v>
      </c>
      <c r="F1433" s="1">
        <v>44329</v>
      </c>
      <c r="G1433">
        <v>5</v>
      </c>
      <c r="H1433">
        <v>134.86000000000001</v>
      </c>
      <c r="I1433">
        <v>1618.32</v>
      </c>
      <c r="J1433">
        <v>3000</v>
      </c>
      <c r="K1433" t="s">
        <v>27</v>
      </c>
      <c r="L1433">
        <v>3000</v>
      </c>
      <c r="M1433">
        <v>5.58</v>
      </c>
      <c r="N1433" t="s">
        <v>28</v>
      </c>
      <c r="O1433">
        <v>67</v>
      </c>
      <c r="P1433">
        <v>42</v>
      </c>
      <c r="Q1433">
        <v>1</v>
      </c>
      <c r="R1433">
        <v>4</v>
      </c>
      <c r="S1433" t="s">
        <v>65</v>
      </c>
      <c r="T1433" t="s">
        <v>50</v>
      </c>
      <c r="U1433" t="s">
        <v>31</v>
      </c>
      <c r="V1433" t="s">
        <v>39</v>
      </c>
      <c r="W1433">
        <v>1</v>
      </c>
      <c r="X1433">
        <v>1</v>
      </c>
      <c r="Y1433" s="2">
        <f>Table1[[#This Row],[premium_yearly]]*Table1[[#This Row],[tenure_years]]</f>
        <v>9030.2255999999998</v>
      </c>
      <c r="Z1433" s="2">
        <f>Table1[[#This Row],[total_collected_premiums]]*(1-$AD$2)</f>
        <v>6592.0646879999995</v>
      </c>
      <c r="AA1433" s="2">
        <f>Table1[[#This Row],[retained_premium]]-Table1[[#This Row],[claim_amount_paid]]</f>
        <v>3592.0646879999995</v>
      </c>
    </row>
    <row r="1434" spans="1:27" x14ac:dyDescent="0.35">
      <c r="A1434" t="s">
        <v>4341</v>
      </c>
      <c r="B1434" t="s">
        <v>4342</v>
      </c>
      <c r="C1434" t="s">
        <v>4343</v>
      </c>
      <c r="D1434" s="1">
        <v>40751</v>
      </c>
      <c r="E1434" s="1">
        <v>44328</v>
      </c>
      <c r="F1434" s="1">
        <v>44333</v>
      </c>
      <c r="G1434">
        <v>5</v>
      </c>
      <c r="H1434">
        <v>133.84</v>
      </c>
      <c r="I1434">
        <v>1606.08</v>
      </c>
      <c r="J1434">
        <v>2000</v>
      </c>
      <c r="K1434" t="s">
        <v>27</v>
      </c>
      <c r="L1434">
        <v>2000</v>
      </c>
      <c r="M1434">
        <v>7</v>
      </c>
      <c r="N1434" t="s">
        <v>49</v>
      </c>
      <c r="O1434">
        <v>84</v>
      </c>
      <c r="P1434">
        <v>44</v>
      </c>
      <c r="Q1434">
        <v>0</v>
      </c>
      <c r="R1434">
        <v>5</v>
      </c>
      <c r="S1434" t="s">
        <v>29</v>
      </c>
      <c r="T1434" t="s">
        <v>50</v>
      </c>
      <c r="U1434" t="s">
        <v>58</v>
      </c>
      <c r="V1434" t="s">
        <v>45</v>
      </c>
      <c r="W1434">
        <v>0</v>
      </c>
      <c r="X1434">
        <v>0</v>
      </c>
      <c r="Y1434" s="2">
        <f>Table1[[#This Row],[premium_yearly]]*Table1[[#This Row],[tenure_years]]</f>
        <v>11242.56</v>
      </c>
      <c r="Z1434" s="2">
        <f>Table1[[#This Row],[total_collected_premiums]]*(1-$AD$2)</f>
        <v>8207.0687999999991</v>
      </c>
      <c r="AA1434" s="2">
        <f>Table1[[#This Row],[retained_premium]]-Table1[[#This Row],[claim_amount_paid]]</f>
        <v>6207.0687999999991</v>
      </c>
    </row>
    <row r="1435" spans="1:27" x14ac:dyDescent="0.35">
      <c r="A1435" t="s">
        <v>4344</v>
      </c>
      <c r="B1435" t="s">
        <v>4345</v>
      </c>
      <c r="C1435" t="s">
        <v>4346</v>
      </c>
      <c r="D1435" s="1">
        <v>41502</v>
      </c>
      <c r="E1435" s="1">
        <v>44327</v>
      </c>
      <c r="F1435" s="1">
        <v>44332</v>
      </c>
      <c r="G1435">
        <v>5</v>
      </c>
      <c r="H1435">
        <v>83.49</v>
      </c>
      <c r="I1435">
        <v>1001.88</v>
      </c>
      <c r="J1435">
        <v>8000</v>
      </c>
      <c r="K1435" t="s">
        <v>27</v>
      </c>
      <c r="L1435">
        <v>8000</v>
      </c>
      <c r="M1435">
        <v>6.5</v>
      </c>
      <c r="N1435" t="s">
        <v>49</v>
      </c>
      <c r="O1435">
        <v>78</v>
      </c>
      <c r="P1435">
        <v>41</v>
      </c>
      <c r="Q1435">
        <v>0</v>
      </c>
      <c r="R1435">
        <v>6</v>
      </c>
      <c r="S1435" t="s">
        <v>29</v>
      </c>
      <c r="T1435" t="s">
        <v>30</v>
      </c>
      <c r="U1435" t="s">
        <v>38</v>
      </c>
      <c r="V1435" t="s">
        <v>45</v>
      </c>
      <c r="W1435">
        <v>0</v>
      </c>
      <c r="X1435">
        <v>0</v>
      </c>
      <c r="Y1435" s="2">
        <f>Table1[[#This Row],[premium_yearly]]*Table1[[#This Row],[tenure_years]]</f>
        <v>6512.22</v>
      </c>
      <c r="Z1435" s="2">
        <f>Table1[[#This Row],[total_collected_premiums]]*(1-$AD$2)</f>
        <v>4753.9206000000004</v>
      </c>
      <c r="AA1435" s="2">
        <f>Table1[[#This Row],[retained_premium]]-Table1[[#This Row],[claim_amount_paid]]</f>
        <v>-3246.0793999999996</v>
      </c>
    </row>
    <row r="1436" spans="1:27" x14ac:dyDescent="0.35">
      <c r="A1436" t="s">
        <v>4347</v>
      </c>
      <c r="B1436" t="s">
        <v>4348</v>
      </c>
      <c r="C1436" t="s">
        <v>4349</v>
      </c>
      <c r="D1436" s="1">
        <v>40763</v>
      </c>
      <c r="E1436" s="1">
        <v>44327</v>
      </c>
      <c r="F1436" s="1">
        <v>44332</v>
      </c>
      <c r="G1436">
        <v>5</v>
      </c>
      <c r="H1436">
        <v>102.77</v>
      </c>
      <c r="I1436">
        <v>1233.24</v>
      </c>
      <c r="J1436">
        <v>7000</v>
      </c>
      <c r="K1436" t="s">
        <v>27</v>
      </c>
      <c r="L1436">
        <v>7000</v>
      </c>
      <c r="M1436">
        <v>7.33</v>
      </c>
      <c r="N1436" t="s">
        <v>36</v>
      </c>
      <c r="O1436">
        <v>88</v>
      </c>
      <c r="P1436">
        <v>44</v>
      </c>
      <c r="Q1436">
        <v>1</v>
      </c>
      <c r="R1436">
        <v>7</v>
      </c>
      <c r="S1436" t="s">
        <v>37</v>
      </c>
      <c r="T1436" t="s">
        <v>30</v>
      </c>
      <c r="U1436" t="s">
        <v>107</v>
      </c>
      <c r="V1436" t="s">
        <v>45</v>
      </c>
      <c r="W1436">
        <v>1</v>
      </c>
      <c r="X1436">
        <v>1</v>
      </c>
      <c r="Y1436" s="2">
        <f>Table1[[#This Row],[premium_yearly]]*Table1[[#This Row],[tenure_years]]</f>
        <v>9039.6491999999998</v>
      </c>
      <c r="Z1436" s="2">
        <f>Table1[[#This Row],[total_collected_premiums]]*(1-$AD$2)</f>
        <v>6598.9439160000002</v>
      </c>
      <c r="AA1436" s="2">
        <f>Table1[[#This Row],[retained_premium]]-Table1[[#This Row],[claim_amount_paid]]</f>
        <v>-401.05608399999983</v>
      </c>
    </row>
    <row r="1437" spans="1:27" x14ac:dyDescent="0.35">
      <c r="A1437" t="s">
        <v>4350</v>
      </c>
      <c r="B1437" t="s">
        <v>4351</v>
      </c>
      <c r="C1437" t="s">
        <v>4352</v>
      </c>
      <c r="D1437" s="1">
        <v>42274</v>
      </c>
      <c r="E1437" s="1">
        <v>44332</v>
      </c>
      <c r="F1437" s="1">
        <v>44337</v>
      </c>
      <c r="G1437">
        <v>5</v>
      </c>
      <c r="H1437">
        <v>129.47999999999999</v>
      </c>
      <c r="I1437">
        <v>1553.76</v>
      </c>
      <c r="J1437">
        <v>4000</v>
      </c>
      <c r="K1437" t="s">
        <v>27</v>
      </c>
      <c r="L1437">
        <v>4000</v>
      </c>
      <c r="M1437">
        <v>0.57999999999999996</v>
      </c>
      <c r="N1437" t="s">
        <v>28</v>
      </c>
      <c r="O1437">
        <v>7</v>
      </c>
      <c r="P1437">
        <v>41</v>
      </c>
      <c r="Q1437">
        <v>0</v>
      </c>
      <c r="R1437">
        <v>5</v>
      </c>
      <c r="S1437" t="s">
        <v>29</v>
      </c>
      <c r="T1437" t="s">
        <v>30</v>
      </c>
      <c r="U1437" t="s">
        <v>38</v>
      </c>
      <c r="V1437" t="s">
        <v>32</v>
      </c>
      <c r="W1437">
        <v>1</v>
      </c>
      <c r="X1437">
        <v>1</v>
      </c>
      <c r="Y1437" s="2">
        <f>Table1[[#This Row],[premium_yearly]]*Table1[[#This Row],[tenure_years]]</f>
        <v>901.18079999999998</v>
      </c>
      <c r="Z1437" s="2">
        <f>Table1[[#This Row],[total_collected_premiums]]*(1-$AD$2)</f>
        <v>657.86198400000001</v>
      </c>
      <c r="AA1437" s="2">
        <f>Table1[[#This Row],[retained_premium]]-Table1[[#This Row],[claim_amount_paid]]</f>
        <v>-3342.1380159999999</v>
      </c>
    </row>
    <row r="1438" spans="1:27" x14ac:dyDescent="0.35">
      <c r="A1438" t="s">
        <v>4353</v>
      </c>
      <c r="B1438" t="s">
        <v>4354</v>
      </c>
      <c r="C1438" t="s">
        <v>4355</v>
      </c>
      <c r="D1438" s="1">
        <v>40377</v>
      </c>
      <c r="E1438" s="1">
        <v>44343</v>
      </c>
      <c r="F1438" s="1">
        <v>44343</v>
      </c>
      <c r="G1438">
        <v>0</v>
      </c>
      <c r="H1438">
        <v>86.65</v>
      </c>
      <c r="I1438">
        <v>1039.8</v>
      </c>
      <c r="J1438">
        <v>4000</v>
      </c>
      <c r="K1438" t="s">
        <v>27</v>
      </c>
      <c r="L1438">
        <v>4000</v>
      </c>
      <c r="M1438">
        <v>8.33</v>
      </c>
      <c r="N1438" t="s">
        <v>28</v>
      </c>
      <c r="O1438">
        <v>100</v>
      </c>
      <c r="P1438">
        <v>51</v>
      </c>
      <c r="Q1438">
        <v>1</v>
      </c>
      <c r="R1438">
        <v>5</v>
      </c>
      <c r="S1438" t="s">
        <v>37</v>
      </c>
      <c r="T1438" t="s">
        <v>30</v>
      </c>
      <c r="U1438" t="s">
        <v>31</v>
      </c>
      <c r="V1438" t="s">
        <v>39</v>
      </c>
      <c r="W1438">
        <v>1</v>
      </c>
      <c r="X1438">
        <v>1</v>
      </c>
      <c r="Y1438" s="2">
        <f>Table1[[#This Row],[premium_yearly]]*Table1[[#This Row],[tenure_years]]</f>
        <v>8661.5339999999997</v>
      </c>
      <c r="Z1438" s="2">
        <f>Table1[[#This Row],[total_collected_premiums]]*(1-$AD$2)</f>
        <v>6322.9198199999992</v>
      </c>
      <c r="AA1438" s="2">
        <f>Table1[[#This Row],[retained_premium]]-Table1[[#This Row],[claim_amount_paid]]</f>
        <v>2322.9198199999992</v>
      </c>
    </row>
    <row r="1439" spans="1:27" x14ac:dyDescent="0.35">
      <c r="A1439" t="s">
        <v>4356</v>
      </c>
      <c r="B1439" t="s">
        <v>4357</v>
      </c>
      <c r="C1439" t="s">
        <v>4358</v>
      </c>
      <c r="D1439" s="1">
        <v>41838</v>
      </c>
      <c r="E1439" s="1">
        <v>44327</v>
      </c>
      <c r="F1439" s="1">
        <v>44332</v>
      </c>
      <c r="G1439">
        <v>5</v>
      </c>
      <c r="H1439">
        <v>118.51</v>
      </c>
      <c r="I1439">
        <v>1422.12</v>
      </c>
      <c r="J1439">
        <v>8000</v>
      </c>
      <c r="K1439" t="s">
        <v>27</v>
      </c>
      <c r="L1439">
        <v>8000</v>
      </c>
      <c r="M1439">
        <v>7.17</v>
      </c>
      <c r="N1439" t="s">
        <v>49</v>
      </c>
      <c r="O1439">
        <v>86</v>
      </c>
      <c r="P1439">
        <v>42</v>
      </c>
      <c r="Q1439">
        <v>1</v>
      </c>
      <c r="R1439">
        <v>6</v>
      </c>
      <c r="S1439" t="s">
        <v>65</v>
      </c>
      <c r="T1439" t="s">
        <v>30</v>
      </c>
      <c r="U1439" t="s">
        <v>31</v>
      </c>
      <c r="V1439" t="s">
        <v>32</v>
      </c>
      <c r="W1439">
        <v>1</v>
      </c>
      <c r="X1439">
        <v>1</v>
      </c>
      <c r="Y1439" s="2">
        <f>Table1[[#This Row],[premium_yearly]]*Table1[[#This Row],[tenure_years]]</f>
        <v>10196.600399999999</v>
      </c>
      <c r="Z1439" s="2">
        <f>Table1[[#This Row],[total_collected_premiums]]*(1-$AD$2)</f>
        <v>7443.5182919999997</v>
      </c>
      <c r="AA1439" s="2">
        <f>Table1[[#This Row],[retained_premium]]-Table1[[#This Row],[claim_amount_paid]]</f>
        <v>-556.48170800000025</v>
      </c>
    </row>
    <row r="1440" spans="1:27" x14ac:dyDescent="0.35">
      <c r="A1440" t="s">
        <v>4359</v>
      </c>
      <c r="B1440" t="s">
        <v>4360</v>
      </c>
      <c r="C1440" t="s">
        <v>4361</v>
      </c>
      <c r="D1440" s="1">
        <v>42970</v>
      </c>
      <c r="E1440" s="1">
        <v>44328</v>
      </c>
      <c r="F1440" s="1">
        <v>44333</v>
      </c>
      <c r="G1440">
        <v>5</v>
      </c>
      <c r="H1440">
        <v>108.87</v>
      </c>
      <c r="I1440">
        <v>1306.44</v>
      </c>
      <c r="J1440">
        <v>3000</v>
      </c>
      <c r="K1440" t="s">
        <v>27</v>
      </c>
      <c r="L1440">
        <v>3000</v>
      </c>
      <c r="M1440">
        <v>5.58</v>
      </c>
      <c r="N1440" t="s">
        <v>49</v>
      </c>
      <c r="O1440">
        <v>67</v>
      </c>
      <c r="P1440">
        <v>61</v>
      </c>
      <c r="Q1440">
        <v>1</v>
      </c>
      <c r="R1440">
        <v>7</v>
      </c>
      <c r="S1440" t="s">
        <v>29</v>
      </c>
      <c r="T1440" t="s">
        <v>30</v>
      </c>
      <c r="U1440" t="s">
        <v>51</v>
      </c>
      <c r="V1440" t="s">
        <v>32</v>
      </c>
      <c r="W1440">
        <v>1</v>
      </c>
      <c r="X1440">
        <v>1</v>
      </c>
      <c r="Y1440" s="2">
        <f>Table1[[#This Row],[premium_yearly]]*Table1[[#This Row],[tenure_years]]</f>
        <v>7289.9352000000008</v>
      </c>
      <c r="Z1440" s="2">
        <f>Table1[[#This Row],[total_collected_premiums]]*(1-$AD$2)</f>
        <v>5321.6526960000001</v>
      </c>
      <c r="AA1440" s="2">
        <f>Table1[[#This Row],[retained_premium]]-Table1[[#This Row],[claim_amount_paid]]</f>
        <v>2321.6526960000001</v>
      </c>
    </row>
    <row r="1441" spans="1:27" x14ac:dyDescent="0.35">
      <c r="A1441" t="s">
        <v>4362</v>
      </c>
      <c r="B1441" t="s">
        <v>4363</v>
      </c>
      <c r="C1441" t="s">
        <v>4364</v>
      </c>
      <c r="D1441" s="1">
        <v>43788</v>
      </c>
      <c r="E1441" s="1">
        <v>44341</v>
      </c>
      <c r="F1441" s="1">
        <v>44341</v>
      </c>
      <c r="G1441">
        <v>0</v>
      </c>
      <c r="H1441">
        <v>123.8</v>
      </c>
      <c r="I1441">
        <v>1485.6</v>
      </c>
      <c r="J1441">
        <v>10000</v>
      </c>
      <c r="K1441" t="s">
        <v>27</v>
      </c>
      <c r="L1441">
        <v>10000</v>
      </c>
      <c r="M1441">
        <v>5.25</v>
      </c>
      <c r="N1441" t="s">
        <v>49</v>
      </c>
      <c r="O1441">
        <v>63</v>
      </c>
      <c r="P1441">
        <v>29</v>
      </c>
      <c r="Q1441">
        <v>1</v>
      </c>
      <c r="R1441">
        <v>4</v>
      </c>
      <c r="S1441" t="s">
        <v>37</v>
      </c>
      <c r="T1441" t="s">
        <v>44</v>
      </c>
      <c r="U1441" t="s">
        <v>66</v>
      </c>
      <c r="V1441" t="s">
        <v>32</v>
      </c>
      <c r="W1441">
        <v>1</v>
      </c>
      <c r="X1441">
        <v>1</v>
      </c>
      <c r="Y1441" s="2">
        <f>Table1[[#This Row],[premium_yearly]]*Table1[[#This Row],[tenure_years]]</f>
        <v>7799.4</v>
      </c>
      <c r="Z1441" s="2">
        <f>Table1[[#This Row],[total_collected_premiums]]*(1-$AD$2)</f>
        <v>5693.5619999999999</v>
      </c>
      <c r="AA1441" s="2">
        <f>Table1[[#This Row],[retained_premium]]-Table1[[#This Row],[claim_amount_paid]]</f>
        <v>-4306.4380000000001</v>
      </c>
    </row>
    <row r="1442" spans="1:27" x14ac:dyDescent="0.35">
      <c r="A1442" t="s">
        <v>4365</v>
      </c>
      <c r="B1442" t="s">
        <v>4366</v>
      </c>
      <c r="C1442" t="s">
        <v>4367</v>
      </c>
      <c r="D1442" s="1">
        <v>42384</v>
      </c>
      <c r="E1442" s="1">
        <v>44343</v>
      </c>
      <c r="F1442" s="1">
        <v>44343</v>
      </c>
      <c r="G1442">
        <v>0</v>
      </c>
      <c r="H1442">
        <v>75.39</v>
      </c>
      <c r="I1442">
        <v>904.68</v>
      </c>
      <c r="J1442">
        <v>8000</v>
      </c>
      <c r="K1442" t="s">
        <v>27</v>
      </c>
      <c r="L1442">
        <v>8000</v>
      </c>
      <c r="M1442">
        <v>3.92</v>
      </c>
      <c r="N1442" t="s">
        <v>36</v>
      </c>
      <c r="O1442">
        <v>47</v>
      </c>
      <c r="P1442">
        <v>54</v>
      </c>
      <c r="Q1442">
        <v>0</v>
      </c>
      <c r="R1442">
        <v>2</v>
      </c>
      <c r="S1442" t="s">
        <v>65</v>
      </c>
      <c r="T1442" t="s">
        <v>30</v>
      </c>
      <c r="U1442" t="s">
        <v>38</v>
      </c>
      <c r="V1442" t="s">
        <v>32</v>
      </c>
      <c r="W1442">
        <v>1</v>
      </c>
      <c r="X1442">
        <v>1</v>
      </c>
      <c r="Y1442" s="2">
        <f>Table1[[#This Row],[premium_yearly]]*Table1[[#This Row],[tenure_years]]</f>
        <v>3546.3455999999996</v>
      </c>
      <c r="Z1442" s="2">
        <f>Table1[[#This Row],[total_collected_premiums]]*(1-$AD$2)</f>
        <v>2588.8322879999996</v>
      </c>
      <c r="AA1442" s="2">
        <f>Table1[[#This Row],[retained_premium]]-Table1[[#This Row],[claim_amount_paid]]</f>
        <v>-5411.1677120000004</v>
      </c>
    </row>
    <row r="1443" spans="1:27" x14ac:dyDescent="0.35">
      <c r="A1443" t="s">
        <v>4368</v>
      </c>
      <c r="B1443" t="s">
        <v>4369</v>
      </c>
      <c r="C1443" t="s">
        <v>4370</v>
      </c>
      <c r="D1443" s="1">
        <v>40607</v>
      </c>
      <c r="E1443" s="1">
        <v>44339</v>
      </c>
      <c r="F1443" s="1">
        <v>44341</v>
      </c>
      <c r="G1443">
        <v>2</v>
      </c>
      <c r="H1443">
        <v>111.69</v>
      </c>
      <c r="I1443">
        <v>1340.28</v>
      </c>
      <c r="J1443">
        <v>2000</v>
      </c>
      <c r="K1443" t="s">
        <v>27</v>
      </c>
      <c r="L1443">
        <v>2000</v>
      </c>
      <c r="M1443">
        <v>5.25</v>
      </c>
      <c r="N1443" t="s">
        <v>36</v>
      </c>
      <c r="O1443">
        <v>63</v>
      </c>
      <c r="P1443">
        <v>50</v>
      </c>
      <c r="Q1443">
        <v>1</v>
      </c>
      <c r="R1443">
        <v>7</v>
      </c>
      <c r="S1443" t="s">
        <v>65</v>
      </c>
      <c r="T1443" t="s">
        <v>30</v>
      </c>
      <c r="U1443" t="s">
        <v>66</v>
      </c>
      <c r="V1443" t="s">
        <v>39</v>
      </c>
      <c r="W1443">
        <v>1</v>
      </c>
      <c r="X1443">
        <v>1</v>
      </c>
      <c r="Y1443" s="2">
        <f>Table1[[#This Row],[premium_yearly]]*Table1[[#This Row],[tenure_years]]</f>
        <v>7036.47</v>
      </c>
      <c r="Z1443" s="2">
        <f>Table1[[#This Row],[total_collected_premiums]]*(1-$AD$2)</f>
        <v>5136.6230999999998</v>
      </c>
      <c r="AA1443" s="2">
        <f>Table1[[#This Row],[retained_premium]]-Table1[[#This Row],[claim_amount_paid]]</f>
        <v>3136.6230999999998</v>
      </c>
    </row>
    <row r="1444" spans="1:27" x14ac:dyDescent="0.35">
      <c r="A1444" t="s">
        <v>4371</v>
      </c>
      <c r="B1444" t="s">
        <v>4372</v>
      </c>
      <c r="C1444" t="s">
        <v>4373</v>
      </c>
      <c r="D1444" s="1">
        <v>41927</v>
      </c>
      <c r="E1444" s="1">
        <v>44327</v>
      </c>
      <c r="F1444" s="1">
        <v>44332</v>
      </c>
      <c r="G1444">
        <v>5</v>
      </c>
      <c r="H1444">
        <v>71.16</v>
      </c>
      <c r="I1444">
        <v>853.92</v>
      </c>
      <c r="J1444">
        <v>2000</v>
      </c>
      <c r="K1444" t="s">
        <v>27</v>
      </c>
      <c r="L1444">
        <v>2000</v>
      </c>
      <c r="M1444">
        <v>2.08</v>
      </c>
      <c r="N1444" t="s">
        <v>28</v>
      </c>
      <c r="O1444">
        <v>25</v>
      </c>
      <c r="P1444">
        <v>34</v>
      </c>
      <c r="Q1444">
        <v>1</v>
      </c>
      <c r="R1444">
        <v>2</v>
      </c>
      <c r="S1444" t="s">
        <v>29</v>
      </c>
      <c r="T1444" t="s">
        <v>44</v>
      </c>
      <c r="U1444" t="s">
        <v>38</v>
      </c>
      <c r="V1444" t="s">
        <v>32</v>
      </c>
      <c r="W1444">
        <v>1</v>
      </c>
      <c r="X1444">
        <v>1</v>
      </c>
      <c r="Y1444" s="2">
        <f>Table1[[#This Row],[premium_yearly]]*Table1[[#This Row],[tenure_years]]</f>
        <v>1776.1535999999999</v>
      </c>
      <c r="Z1444" s="2">
        <f>Table1[[#This Row],[total_collected_premiums]]*(1-$AD$2)</f>
        <v>1296.5921279999998</v>
      </c>
      <c r="AA1444" s="2">
        <f>Table1[[#This Row],[retained_premium]]-Table1[[#This Row],[claim_amount_paid]]</f>
        <v>-703.40787200000022</v>
      </c>
    </row>
    <row r="1445" spans="1:27" x14ac:dyDescent="0.35">
      <c r="A1445" t="s">
        <v>4374</v>
      </c>
      <c r="B1445" t="s">
        <v>4375</v>
      </c>
      <c r="C1445" t="s">
        <v>4376</v>
      </c>
      <c r="D1445" s="1">
        <v>41165</v>
      </c>
      <c r="E1445" s="1">
        <v>44330</v>
      </c>
      <c r="F1445" s="1">
        <v>44335</v>
      </c>
      <c r="G1445">
        <v>5</v>
      </c>
      <c r="H1445">
        <v>95.22</v>
      </c>
      <c r="I1445">
        <v>1142.6400000000001</v>
      </c>
      <c r="J1445">
        <v>5000</v>
      </c>
      <c r="K1445" t="s">
        <v>27</v>
      </c>
      <c r="L1445">
        <v>5000</v>
      </c>
      <c r="M1445">
        <v>0.57999999999999996</v>
      </c>
      <c r="N1445" t="s">
        <v>28</v>
      </c>
      <c r="O1445">
        <v>7</v>
      </c>
      <c r="P1445">
        <v>44</v>
      </c>
      <c r="Q1445">
        <v>1</v>
      </c>
      <c r="R1445">
        <v>5</v>
      </c>
      <c r="S1445" t="s">
        <v>37</v>
      </c>
      <c r="T1445" t="s">
        <v>30</v>
      </c>
      <c r="U1445" t="s">
        <v>38</v>
      </c>
      <c r="V1445" t="s">
        <v>39</v>
      </c>
      <c r="W1445">
        <v>1</v>
      </c>
      <c r="X1445">
        <v>1</v>
      </c>
      <c r="Y1445" s="2">
        <f>Table1[[#This Row],[premium_yearly]]*Table1[[#This Row],[tenure_years]]</f>
        <v>662.73120000000006</v>
      </c>
      <c r="Z1445" s="2">
        <f>Table1[[#This Row],[total_collected_premiums]]*(1-$AD$2)</f>
        <v>483.79377600000004</v>
      </c>
      <c r="AA1445" s="2">
        <f>Table1[[#This Row],[retained_premium]]-Table1[[#This Row],[claim_amount_paid]]</f>
        <v>-4516.2062239999996</v>
      </c>
    </row>
    <row r="1446" spans="1:27" x14ac:dyDescent="0.35">
      <c r="A1446" t="s">
        <v>4377</v>
      </c>
      <c r="B1446" t="s">
        <v>4378</v>
      </c>
      <c r="C1446" t="s">
        <v>4379</v>
      </c>
      <c r="D1446" s="1">
        <v>42362</v>
      </c>
      <c r="E1446" s="1">
        <v>44333</v>
      </c>
      <c r="F1446" s="1">
        <v>44338</v>
      </c>
      <c r="G1446">
        <v>5</v>
      </c>
      <c r="H1446">
        <v>110.62</v>
      </c>
      <c r="I1446">
        <v>1327.44</v>
      </c>
      <c r="J1446">
        <v>2000</v>
      </c>
      <c r="K1446" t="s">
        <v>27</v>
      </c>
      <c r="L1446">
        <v>2000</v>
      </c>
      <c r="M1446">
        <v>7.75</v>
      </c>
      <c r="N1446" t="s">
        <v>49</v>
      </c>
      <c r="O1446">
        <v>93</v>
      </c>
      <c r="P1446">
        <v>61</v>
      </c>
      <c r="Q1446">
        <v>0</v>
      </c>
      <c r="R1446">
        <v>3</v>
      </c>
      <c r="S1446" t="s">
        <v>65</v>
      </c>
      <c r="T1446" t="s">
        <v>30</v>
      </c>
      <c r="U1446" t="s">
        <v>38</v>
      </c>
      <c r="V1446" t="s">
        <v>45</v>
      </c>
      <c r="W1446">
        <v>1</v>
      </c>
      <c r="X1446">
        <v>0</v>
      </c>
      <c r="Y1446" s="2">
        <f>Table1[[#This Row],[premium_yearly]]*Table1[[#This Row],[tenure_years]]</f>
        <v>10287.66</v>
      </c>
      <c r="Z1446" s="2">
        <f>Table1[[#This Row],[total_collected_premiums]]*(1-$AD$2)</f>
        <v>7509.9917999999998</v>
      </c>
      <c r="AA1446" s="2">
        <f>Table1[[#This Row],[retained_premium]]-Table1[[#This Row],[claim_amount_paid]]</f>
        <v>5509.9917999999998</v>
      </c>
    </row>
    <row r="1447" spans="1:27" x14ac:dyDescent="0.35">
      <c r="A1447" t="s">
        <v>4380</v>
      </c>
      <c r="B1447" t="s">
        <v>4381</v>
      </c>
      <c r="C1447" t="s">
        <v>4382</v>
      </c>
      <c r="D1447" s="1">
        <v>41728</v>
      </c>
      <c r="E1447" s="1">
        <v>44329</v>
      </c>
      <c r="F1447" s="1">
        <v>44334</v>
      </c>
      <c r="G1447">
        <v>5</v>
      </c>
      <c r="H1447">
        <v>124.95</v>
      </c>
      <c r="I1447">
        <v>1499.4</v>
      </c>
      <c r="J1447">
        <v>1000</v>
      </c>
      <c r="K1447" t="s">
        <v>27</v>
      </c>
      <c r="L1447">
        <v>1000</v>
      </c>
      <c r="M1447">
        <v>4.75</v>
      </c>
      <c r="N1447" t="s">
        <v>28</v>
      </c>
      <c r="O1447">
        <v>57</v>
      </c>
      <c r="P1447">
        <v>49</v>
      </c>
      <c r="Q1447">
        <v>0</v>
      </c>
      <c r="R1447">
        <v>5</v>
      </c>
      <c r="S1447" t="s">
        <v>29</v>
      </c>
      <c r="T1447" t="s">
        <v>30</v>
      </c>
      <c r="U1447" t="s">
        <v>38</v>
      </c>
      <c r="V1447" t="s">
        <v>45</v>
      </c>
      <c r="W1447">
        <v>1</v>
      </c>
      <c r="X1447">
        <v>0</v>
      </c>
      <c r="Y1447" s="2">
        <f>Table1[[#This Row],[premium_yearly]]*Table1[[#This Row],[tenure_years]]</f>
        <v>7122.1500000000005</v>
      </c>
      <c r="Z1447" s="2">
        <f>Table1[[#This Row],[total_collected_premiums]]*(1-$AD$2)</f>
        <v>5199.1695</v>
      </c>
      <c r="AA1447" s="2">
        <f>Table1[[#This Row],[retained_premium]]-Table1[[#This Row],[claim_amount_paid]]</f>
        <v>4199.1695</v>
      </c>
    </row>
    <row r="1448" spans="1:27" x14ac:dyDescent="0.35">
      <c r="A1448" t="s">
        <v>4383</v>
      </c>
      <c r="B1448" t="s">
        <v>4384</v>
      </c>
      <c r="C1448" t="s">
        <v>4385</v>
      </c>
      <c r="D1448" s="1">
        <v>43212</v>
      </c>
      <c r="E1448" s="1">
        <v>44331</v>
      </c>
      <c r="F1448" s="1">
        <v>44336</v>
      </c>
      <c r="G1448">
        <v>5</v>
      </c>
      <c r="H1448">
        <v>97.51</v>
      </c>
      <c r="I1448">
        <v>1170.1199999999999</v>
      </c>
      <c r="J1448">
        <v>7000</v>
      </c>
      <c r="K1448" t="s">
        <v>27</v>
      </c>
      <c r="L1448">
        <v>7000</v>
      </c>
      <c r="M1448">
        <v>4.33</v>
      </c>
      <c r="N1448" t="s">
        <v>28</v>
      </c>
      <c r="O1448">
        <v>52</v>
      </c>
      <c r="P1448">
        <v>50</v>
      </c>
      <c r="Q1448">
        <v>1</v>
      </c>
      <c r="R1448">
        <v>4</v>
      </c>
      <c r="S1448" t="s">
        <v>29</v>
      </c>
      <c r="T1448" t="s">
        <v>44</v>
      </c>
      <c r="U1448" t="s">
        <v>38</v>
      </c>
      <c r="V1448" t="s">
        <v>45</v>
      </c>
      <c r="W1448">
        <v>1</v>
      </c>
      <c r="X1448">
        <v>1</v>
      </c>
      <c r="Y1448" s="2">
        <f>Table1[[#This Row],[premium_yearly]]*Table1[[#This Row],[tenure_years]]</f>
        <v>5066.6196</v>
      </c>
      <c r="Z1448" s="2">
        <f>Table1[[#This Row],[total_collected_premiums]]*(1-$AD$2)</f>
        <v>3698.6323079999997</v>
      </c>
      <c r="AA1448" s="2">
        <f>Table1[[#This Row],[retained_premium]]-Table1[[#This Row],[claim_amount_paid]]</f>
        <v>-3301.3676920000003</v>
      </c>
    </row>
    <row r="1449" spans="1:27" x14ac:dyDescent="0.35">
      <c r="A1449" t="s">
        <v>4386</v>
      </c>
      <c r="B1449" t="s">
        <v>4387</v>
      </c>
      <c r="C1449" t="s">
        <v>4388</v>
      </c>
      <c r="D1449" s="1">
        <v>43090</v>
      </c>
      <c r="E1449" s="1">
        <v>44339</v>
      </c>
      <c r="F1449" s="1">
        <v>44342</v>
      </c>
      <c r="G1449">
        <v>3</v>
      </c>
      <c r="H1449">
        <v>87.4</v>
      </c>
      <c r="I1449">
        <v>1048.8</v>
      </c>
      <c r="J1449">
        <v>5000</v>
      </c>
      <c r="K1449" t="s">
        <v>27</v>
      </c>
      <c r="L1449">
        <v>5000</v>
      </c>
      <c r="M1449">
        <v>7.58</v>
      </c>
      <c r="N1449" t="s">
        <v>49</v>
      </c>
      <c r="O1449">
        <v>91</v>
      </c>
      <c r="P1449">
        <v>36</v>
      </c>
      <c r="Q1449">
        <v>1</v>
      </c>
      <c r="R1449">
        <v>5</v>
      </c>
      <c r="S1449" t="s">
        <v>29</v>
      </c>
      <c r="T1449" t="s">
        <v>50</v>
      </c>
      <c r="U1449" t="s">
        <v>38</v>
      </c>
      <c r="V1449" t="s">
        <v>45</v>
      </c>
      <c r="W1449">
        <v>0</v>
      </c>
      <c r="X1449">
        <v>0</v>
      </c>
      <c r="Y1449" s="2">
        <f>Table1[[#This Row],[premium_yearly]]*Table1[[#This Row],[tenure_years]]</f>
        <v>7949.9039999999995</v>
      </c>
      <c r="Z1449" s="2">
        <f>Table1[[#This Row],[total_collected_premiums]]*(1-$AD$2)</f>
        <v>5803.4299199999996</v>
      </c>
      <c r="AA1449" s="2">
        <f>Table1[[#This Row],[retained_premium]]-Table1[[#This Row],[claim_amount_paid]]</f>
        <v>803.42991999999958</v>
      </c>
    </row>
    <row r="1450" spans="1:27" x14ac:dyDescent="0.35">
      <c r="A1450" t="s">
        <v>4389</v>
      </c>
      <c r="B1450" t="s">
        <v>4390</v>
      </c>
      <c r="C1450" t="s">
        <v>4391</v>
      </c>
      <c r="D1450" s="1">
        <v>42252</v>
      </c>
      <c r="E1450" s="1">
        <v>44339</v>
      </c>
      <c r="F1450" s="1">
        <v>44342</v>
      </c>
      <c r="G1450">
        <v>3</v>
      </c>
      <c r="H1450">
        <v>94.74</v>
      </c>
      <c r="I1450">
        <v>1136.8800000000001</v>
      </c>
      <c r="J1450">
        <v>2000</v>
      </c>
      <c r="K1450" t="s">
        <v>27</v>
      </c>
      <c r="L1450">
        <v>2000</v>
      </c>
      <c r="M1450">
        <v>2.5</v>
      </c>
      <c r="N1450" t="s">
        <v>28</v>
      </c>
      <c r="O1450">
        <v>30</v>
      </c>
      <c r="P1450">
        <v>48</v>
      </c>
      <c r="Q1450">
        <v>0</v>
      </c>
      <c r="R1450">
        <v>5</v>
      </c>
      <c r="S1450" t="s">
        <v>65</v>
      </c>
      <c r="T1450" t="s">
        <v>44</v>
      </c>
      <c r="U1450" t="s">
        <v>66</v>
      </c>
      <c r="V1450" t="s">
        <v>32</v>
      </c>
      <c r="W1450">
        <v>1</v>
      </c>
      <c r="X1450">
        <v>1</v>
      </c>
      <c r="Y1450" s="2">
        <f>Table1[[#This Row],[premium_yearly]]*Table1[[#This Row],[tenure_years]]</f>
        <v>2842.2000000000003</v>
      </c>
      <c r="Z1450" s="2">
        <f>Table1[[#This Row],[total_collected_premiums]]*(1-$AD$2)</f>
        <v>2074.806</v>
      </c>
      <c r="AA1450" s="2">
        <f>Table1[[#This Row],[retained_premium]]-Table1[[#This Row],[claim_amount_paid]]</f>
        <v>74.80600000000004</v>
      </c>
    </row>
    <row r="1451" spans="1:27" x14ac:dyDescent="0.35">
      <c r="A1451" t="s">
        <v>4392</v>
      </c>
      <c r="B1451" t="s">
        <v>4393</v>
      </c>
      <c r="C1451" t="s">
        <v>4394</v>
      </c>
      <c r="D1451" s="1">
        <v>41403</v>
      </c>
      <c r="E1451" s="1">
        <v>44343</v>
      </c>
      <c r="F1451" s="1">
        <v>44344</v>
      </c>
      <c r="G1451">
        <v>1</v>
      </c>
      <c r="H1451">
        <v>70.86</v>
      </c>
      <c r="I1451">
        <v>850.32</v>
      </c>
      <c r="J1451">
        <v>10000</v>
      </c>
      <c r="K1451" t="s">
        <v>27</v>
      </c>
      <c r="L1451">
        <v>10000</v>
      </c>
      <c r="M1451">
        <v>4.08</v>
      </c>
      <c r="N1451" t="s">
        <v>28</v>
      </c>
      <c r="O1451">
        <v>49</v>
      </c>
      <c r="P1451">
        <v>54</v>
      </c>
      <c r="Q1451">
        <v>1</v>
      </c>
      <c r="R1451">
        <v>4</v>
      </c>
      <c r="S1451" t="s">
        <v>29</v>
      </c>
      <c r="T1451" t="s">
        <v>30</v>
      </c>
      <c r="U1451" t="s">
        <v>88</v>
      </c>
      <c r="V1451" t="s">
        <v>39</v>
      </c>
      <c r="W1451">
        <v>0</v>
      </c>
      <c r="X1451">
        <v>1</v>
      </c>
      <c r="Y1451" s="2">
        <f>Table1[[#This Row],[premium_yearly]]*Table1[[#This Row],[tenure_years]]</f>
        <v>3469.3056000000001</v>
      </c>
      <c r="Z1451" s="2">
        <f>Table1[[#This Row],[total_collected_premiums]]*(1-$AD$2)</f>
        <v>2532.5930880000001</v>
      </c>
      <c r="AA1451" s="2">
        <f>Table1[[#This Row],[retained_premium]]-Table1[[#This Row],[claim_amount_paid]]</f>
        <v>-7467.4069120000004</v>
      </c>
    </row>
    <row r="1452" spans="1:27" x14ac:dyDescent="0.35">
      <c r="A1452" t="s">
        <v>4395</v>
      </c>
      <c r="B1452" t="s">
        <v>4396</v>
      </c>
      <c r="C1452" t="s">
        <v>4397</v>
      </c>
      <c r="D1452" s="1">
        <v>43201</v>
      </c>
      <c r="E1452" s="1">
        <v>44337</v>
      </c>
      <c r="F1452" s="1">
        <v>44342</v>
      </c>
      <c r="G1452">
        <v>5</v>
      </c>
      <c r="H1452">
        <v>123.1</v>
      </c>
      <c r="I1452">
        <v>1477.2</v>
      </c>
      <c r="J1452">
        <v>7000</v>
      </c>
      <c r="K1452" t="s">
        <v>27</v>
      </c>
      <c r="L1452">
        <v>7000</v>
      </c>
      <c r="M1452">
        <v>1.92</v>
      </c>
      <c r="N1452" t="s">
        <v>49</v>
      </c>
      <c r="O1452">
        <v>23</v>
      </c>
      <c r="P1452">
        <v>55</v>
      </c>
      <c r="Q1452">
        <v>1</v>
      </c>
      <c r="R1452">
        <v>6</v>
      </c>
      <c r="S1452" t="s">
        <v>29</v>
      </c>
      <c r="T1452" t="s">
        <v>50</v>
      </c>
      <c r="U1452" t="s">
        <v>38</v>
      </c>
      <c r="V1452" t="s">
        <v>32</v>
      </c>
      <c r="W1452">
        <v>1</v>
      </c>
      <c r="X1452">
        <v>0</v>
      </c>
      <c r="Y1452" s="2">
        <f>Table1[[#This Row],[premium_yearly]]*Table1[[#This Row],[tenure_years]]</f>
        <v>2836.2240000000002</v>
      </c>
      <c r="Z1452" s="2">
        <f>Table1[[#This Row],[total_collected_premiums]]*(1-$AD$2)</f>
        <v>2070.4435200000003</v>
      </c>
      <c r="AA1452" s="2">
        <f>Table1[[#This Row],[retained_premium]]-Table1[[#This Row],[claim_amount_paid]]</f>
        <v>-4929.5564799999993</v>
      </c>
    </row>
    <row r="1453" spans="1:27" x14ac:dyDescent="0.35">
      <c r="A1453" t="s">
        <v>4398</v>
      </c>
      <c r="B1453" t="s">
        <v>4399</v>
      </c>
      <c r="C1453" t="s">
        <v>4400</v>
      </c>
      <c r="D1453" s="1">
        <v>43437</v>
      </c>
      <c r="E1453" s="1">
        <v>44329</v>
      </c>
      <c r="F1453" s="1">
        <v>44334</v>
      </c>
      <c r="G1453">
        <v>5</v>
      </c>
      <c r="H1453">
        <v>87.2</v>
      </c>
      <c r="I1453">
        <v>1046.4000000000001</v>
      </c>
      <c r="J1453">
        <v>2000</v>
      </c>
      <c r="K1453" t="s">
        <v>27</v>
      </c>
      <c r="L1453">
        <v>2000</v>
      </c>
      <c r="M1453">
        <v>7.58</v>
      </c>
      <c r="N1453" t="s">
        <v>28</v>
      </c>
      <c r="O1453">
        <v>91</v>
      </c>
      <c r="P1453">
        <v>36</v>
      </c>
      <c r="Q1453">
        <v>1</v>
      </c>
      <c r="R1453">
        <v>3</v>
      </c>
      <c r="S1453" t="s">
        <v>65</v>
      </c>
      <c r="T1453" t="s">
        <v>30</v>
      </c>
      <c r="U1453" t="s">
        <v>31</v>
      </c>
      <c r="V1453" t="s">
        <v>39</v>
      </c>
      <c r="W1453">
        <v>0</v>
      </c>
      <c r="X1453">
        <v>1</v>
      </c>
      <c r="Y1453" s="2">
        <f>Table1[[#This Row],[premium_yearly]]*Table1[[#This Row],[tenure_years]]</f>
        <v>7931.7120000000004</v>
      </c>
      <c r="Z1453" s="2">
        <f>Table1[[#This Row],[total_collected_premiums]]*(1-$AD$2)</f>
        <v>5790.1497600000002</v>
      </c>
      <c r="AA1453" s="2">
        <f>Table1[[#This Row],[retained_premium]]-Table1[[#This Row],[claim_amount_paid]]</f>
        <v>3790.1497600000002</v>
      </c>
    </row>
    <row r="1454" spans="1:27" x14ac:dyDescent="0.35">
      <c r="A1454" t="s">
        <v>4401</v>
      </c>
      <c r="B1454" t="s">
        <v>4402</v>
      </c>
      <c r="C1454" t="s">
        <v>4403</v>
      </c>
      <c r="D1454" s="1">
        <v>40717</v>
      </c>
      <c r="E1454" s="1">
        <v>44330</v>
      </c>
      <c r="F1454" s="1">
        <v>44335</v>
      </c>
      <c r="G1454">
        <v>5</v>
      </c>
      <c r="H1454">
        <v>101.28</v>
      </c>
      <c r="I1454">
        <v>1215.3599999999999</v>
      </c>
      <c r="J1454">
        <v>8000</v>
      </c>
      <c r="K1454" t="s">
        <v>27</v>
      </c>
      <c r="L1454">
        <v>8000</v>
      </c>
      <c r="M1454">
        <v>5.5</v>
      </c>
      <c r="N1454" t="s">
        <v>49</v>
      </c>
      <c r="O1454">
        <v>66</v>
      </c>
      <c r="P1454">
        <v>54</v>
      </c>
      <c r="Q1454">
        <v>1</v>
      </c>
      <c r="R1454">
        <v>5</v>
      </c>
      <c r="S1454" t="s">
        <v>65</v>
      </c>
      <c r="T1454" t="s">
        <v>30</v>
      </c>
      <c r="U1454" t="s">
        <v>31</v>
      </c>
      <c r="V1454" t="s">
        <v>32</v>
      </c>
      <c r="W1454">
        <v>1</v>
      </c>
      <c r="X1454">
        <v>1</v>
      </c>
      <c r="Y1454" s="2">
        <f>Table1[[#This Row],[premium_yearly]]*Table1[[#This Row],[tenure_years]]</f>
        <v>6684.48</v>
      </c>
      <c r="Z1454" s="2">
        <f>Table1[[#This Row],[total_collected_premiums]]*(1-$AD$2)</f>
        <v>4879.6704</v>
      </c>
      <c r="AA1454" s="2">
        <f>Table1[[#This Row],[retained_premium]]-Table1[[#This Row],[claim_amount_paid]]</f>
        <v>-3120.3296</v>
      </c>
    </row>
    <row r="1455" spans="1:27" x14ac:dyDescent="0.35">
      <c r="A1455" t="s">
        <v>4404</v>
      </c>
      <c r="B1455" t="s">
        <v>4405</v>
      </c>
      <c r="C1455" t="s">
        <v>4406</v>
      </c>
      <c r="D1455" s="1">
        <v>40540</v>
      </c>
      <c r="E1455" s="1">
        <v>44334</v>
      </c>
      <c r="F1455" s="1">
        <v>44339</v>
      </c>
      <c r="G1455">
        <v>5</v>
      </c>
      <c r="H1455">
        <v>74</v>
      </c>
      <c r="I1455">
        <v>888</v>
      </c>
      <c r="J1455">
        <v>4000</v>
      </c>
      <c r="K1455" t="s">
        <v>27</v>
      </c>
      <c r="L1455">
        <v>4000</v>
      </c>
      <c r="M1455">
        <v>4.33</v>
      </c>
      <c r="N1455" t="s">
        <v>36</v>
      </c>
      <c r="O1455">
        <v>52</v>
      </c>
      <c r="P1455">
        <v>58</v>
      </c>
      <c r="Q1455">
        <v>1</v>
      </c>
      <c r="R1455">
        <v>3</v>
      </c>
      <c r="S1455" t="s">
        <v>29</v>
      </c>
      <c r="T1455" t="s">
        <v>50</v>
      </c>
      <c r="U1455" t="s">
        <v>38</v>
      </c>
      <c r="V1455" t="s">
        <v>39</v>
      </c>
      <c r="W1455">
        <v>1</v>
      </c>
      <c r="X1455">
        <v>1</v>
      </c>
      <c r="Y1455" s="2">
        <f>Table1[[#This Row],[premium_yearly]]*Table1[[#This Row],[tenure_years]]</f>
        <v>3845.04</v>
      </c>
      <c r="Z1455" s="2">
        <f>Table1[[#This Row],[total_collected_premiums]]*(1-$AD$2)</f>
        <v>2806.8791999999999</v>
      </c>
      <c r="AA1455" s="2">
        <f>Table1[[#This Row],[retained_premium]]-Table1[[#This Row],[claim_amount_paid]]</f>
        <v>-1193.1208000000001</v>
      </c>
    </row>
    <row r="1456" spans="1:27" x14ac:dyDescent="0.35">
      <c r="A1456" t="s">
        <v>4407</v>
      </c>
      <c r="B1456" t="s">
        <v>4408</v>
      </c>
      <c r="C1456" t="s">
        <v>4409</v>
      </c>
      <c r="D1456" s="1">
        <v>42438</v>
      </c>
      <c r="E1456" s="1">
        <v>44339</v>
      </c>
      <c r="F1456" s="1">
        <v>44342</v>
      </c>
      <c r="G1456">
        <v>3</v>
      </c>
      <c r="H1456">
        <v>99.28</v>
      </c>
      <c r="I1456">
        <v>1191.3599999999999</v>
      </c>
      <c r="J1456">
        <v>4000</v>
      </c>
      <c r="K1456" t="s">
        <v>27</v>
      </c>
      <c r="L1456">
        <v>4000</v>
      </c>
      <c r="M1456">
        <v>6.92</v>
      </c>
      <c r="N1456" t="s">
        <v>36</v>
      </c>
      <c r="O1456">
        <v>83</v>
      </c>
      <c r="P1456">
        <v>33</v>
      </c>
      <c r="Q1456">
        <v>0</v>
      </c>
      <c r="R1456">
        <v>7</v>
      </c>
      <c r="S1456" t="s">
        <v>65</v>
      </c>
      <c r="T1456" t="s">
        <v>30</v>
      </c>
      <c r="U1456" t="s">
        <v>58</v>
      </c>
      <c r="V1456" t="s">
        <v>45</v>
      </c>
      <c r="W1456">
        <v>1</v>
      </c>
      <c r="X1456">
        <v>1</v>
      </c>
      <c r="Y1456" s="2">
        <f>Table1[[#This Row],[premium_yearly]]*Table1[[#This Row],[tenure_years]]</f>
        <v>8244.2111999999997</v>
      </c>
      <c r="Z1456" s="2">
        <f>Table1[[#This Row],[total_collected_premiums]]*(1-$AD$2)</f>
        <v>6018.2741759999999</v>
      </c>
      <c r="AA1456" s="2">
        <f>Table1[[#This Row],[retained_premium]]-Table1[[#This Row],[claim_amount_paid]]</f>
        <v>2018.2741759999999</v>
      </c>
    </row>
    <row r="1457" spans="1:27" x14ac:dyDescent="0.35">
      <c r="A1457" t="s">
        <v>4410</v>
      </c>
      <c r="B1457" t="s">
        <v>4411</v>
      </c>
      <c r="C1457" t="s">
        <v>4412</v>
      </c>
      <c r="D1457" s="1">
        <v>40574</v>
      </c>
      <c r="E1457" s="1">
        <v>44344</v>
      </c>
      <c r="F1457" s="1">
        <v>44345</v>
      </c>
      <c r="G1457">
        <v>1</v>
      </c>
      <c r="H1457">
        <v>93.42</v>
      </c>
      <c r="I1457">
        <v>1121.04</v>
      </c>
      <c r="J1457">
        <v>7000</v>
      </c>
      <c r="K1457" t="s">
        <v>27</v>
      </c>
      <c r="L1457">
        <v>7000</v>
      </c>
      <c r="M1457">
        <v>9.08</v>
      </c>
      <c r="N1457" t="s">
        <v>28</v>
      </c>
      <c r="O1457">
        <v>109</v>
      </c>
      <c r="P1457">
        <v>43</v>
      </c>
      <c r="Q1457">
        <v>0</v>
      </c>
      <c r="R1457">
        <v>2</v>
      </c>
      <c r="S1457" t="s">
        <v>65</v>
      </c>
      <c r="T1457" t="s">
        <v>44</v>
      </c>
      <c r="U1457" t="s">
        <v>66</v>
      </c>
      <c r="V1457" t="s">
        <v>32</v>
      </c>
      <c r="W1457">
        <v>0</v>
      </c>
      <c r="X1457">
        <v>0</v>
      </c>
      <c r="Y1457" s="2">
        <f>Table1[[#This Row],[premium_yearly]]*Table1[[#This Row],[tenure_years]]</f>
        <v>10179.0432</v>
      </c>
      <c r="Z1457" s="2">
        <f>Table1[[#This Row],[total_collected_premiums]]*(1-$AD$2)</f>
        <v>7430.7015359999996</v>
      </c>
      <c r="AA1457" s="2">
        <f>Table1[[#This Row],[retained_premium]]-Table1[[#This Row],[claim_amount_paid]]</f>
        <v>430.70153599999958</v>
      </c>
    </row>
    <row r="1458" spans="1:27" x14ac:dyDescent="0.35">
      <c r="A1458" t="s">
        <v>4413</v>
      </c>
      <c r="B1458" t="s">
        <v>4414</v>
      </c>
      <c r="C1458" t="s">
        <v>4415</v>
      </c>
      <c r="D1458" s="1">
        <v>40637</v>
      </c>
      <c r="E1458" s="1">
        <v>44341</v>
      </c>
      <c r="F1458" s="1">
        <v>44344</v>
      </c>
      <c r="G1458">
        <v>3</v>
      </c>
      <c r="H1458">
        <v>136.91</v>
      </c>
      <c r="I1458">
        <v>1642.92</v>
      </c>
      <c r="J1458">
        <v>1000</v>
      </c>
      <c r="K1458" t="s">
        <v>27</v>
      </c>
      <c r="L1458">
        <v>1000</v>
      </c>
      <c r="M1458">
        <v>2.67</v>
      </c>
      <c r="N1458" t="s">
        <v>36</v>
      </c>
      <c r="O1458">
        <v>32</v>
      </c>
      <c r="P1458">
        <v>36</v>
      </c>
      <c r="Q1458">
        <v>1</v>
      </c>
      <c r="R1458">
        <v>5</v>
      </c>
      <c r="S1458" t="s">
        <v>65</v>
      </c>
      <c r="T1458" t="s">
        <v>30</v>
      </c>
      <c r="U1458" t="s">
        <v>66</v>
      </c>
      <c r="V1458" t="s">
        <v>45</v>
      </c>
      <c r="W1458">
        <v>0</v>
      </c>
      <c r="X1458">
        <v>1</v>
      </c>
      <c r="Y1458" s="2">
        <f>Table1[[#This Row],[premium_yearly]]*Table1[[#This Row],[tenure_years]]</f>
        <v>4386.5964000000004</v>
      </c>
      <c r="Z1458" s="2">
        <f>Table1[[#This Row],[total_collected_premiums]]*(1-$AD$2)</f>
        <v>3202.2153720000001</v>
      </c>
      <c r="AA1458" s="2">
        <f>Table1[[#This Row],[retained_premium]]-Table1[[#This Row],[claim_amount_paid]]</f>
        <v>2202.2153720000001</v>
      </c>
    </row>
    <row r="1459" spans="1:27" x14ac:dyDescent="0.35">
      <c r="A1459" t="s">
        <v>4416</v>
      </c>
      <c r="B1459" t="s">
        <v>4417</v>
      </c>
      <c r="C1459" t="s">
        <v>4418</v>
      </c>
      <c r="D1459" s="1">
        <v>42450</v>
      </c>
      <c r="E1459" s="1">
        <v>44348</v>
      </c>
      <c r="F1459" s="1">
        <v>44348</v>
      </c>
      <c r="G1459">
        <v>0</v>
      </c>
      <c r="H1459">
        <v>102.58</v>
      </c>
      <c r="I1459">
        <v>1230.96</v>
      </c>
      <c r="J1459">
        <v>4000</v>
      </c>
      <c r="K1459" t="s">
        <v>27</v>
      </c>
      <c r="L1459">
        <v>4000</v>
      </c>
      <c r="M1459">
        <v>9.5</v>
      </c>
      <c r="N1459" t="s">
        <v>36</v>
      </c>
      <c r="O1459">
        <v>114</v>
      </c>
      <c r="P1459">
        <v>37</v>
      </c>
      <c r="Q1459">
        <v>1</v>
      </c>
      <c r="R1459">
        <v>5</v>
      </c>
      <c r="S1459" t="s">
        <v>65</v>
      </c>
      <c r="T1459" t="s">
        <v>50</v>
      </c>
      <c r="U1459" t="s">
        <v>38</v>
      </c>
      <c r="V1459" t="s">
        <v>45</v>
      </c>
      <c r="W1459">
        <v>1</v>
      </c>
      <c r="X1459">
        <v>1</v>
      </c>
      <c r="Y1459" s="2">
        <f>Table1[[#This Row],[premium_yearly]]*Table1[[#This Row],[tenure_years]]</f>
        <v>11694.12</v>
      </c>
      <c r="Z1459" s="2">
        <f>Table1[[#This Row],[total_collected_premiums]]*(1-$AD$2)</f>
        <v>8536.7075999999997</v>
      </c>
      <c r="AA1459" s="2">
        <f>Table1[[#This Row],[retained_premium]]-Table1[[#This Row],[claim_amount_paid]]</f>
        <v>4536.7075999999997</v>
      </c>
    </row>
    <row r="1460" spans="1:27" x14ac:dyDescent="0.35">
      <c r="A1460" t="s">
        <v>4419</v>
      </c>
      <c r="B1460" t="s">
        <v>4420</v>
      </c>
      <c r="C1460" t="s">
        <v>4421</v>
      </c>
      <c r="D1460" s="1">
        <v>40880</v>
      </c>
      <c r="E1460" s="1">
        <v>44333</v>
      </c>
      <c r="F1460" s="1">
        <v>44338</v>
      </c>
      <c r="G1460">
        <v>5</v>
      </c>
      <c r="H1460">
        <v>99.34</v>
      </c>
      <c r="I1460">
        <v>1192.08</v>
      </c>
      <c r="J1460">
        <v>9000</v>
      </c>
      <c r="K1460" t="s">
        <v>43</v>
      </c>
      <c r="L1460">
        <v>0</v>
      </c>
      <c r="M1460">
        <v>7.58</v>
      </c>
      <c r="N1460" t="s">
        <v>49</v>
      </c>
      <c r="O1460">
        <v>91</v>
      </c>
      <c r="P1460">
        <v>44</v>
      </c>
      <c r="Q1460">
        <v>1</v>
      </c>
      <c r="R1460">
        <v>2</v>
      </c>
      <c r="S1460" t="s">
        <v>37</v>
      </c>
      <c r="T1460" t="s">
        <v>30</v>
      </c>
      <c r="U1460" t="s">
        <v>31</v>
      </c>
      <c r="V1460" t="s">
        <v>39</v>
      </c>
      <c r="W1460">
        <v>1</v>
      </c>
      <c r="X1460">
        <v>1</v>
      </c>
      <c r="Y1460" s="2">
        <f>Table1[[#This Row],[premium_yearly]]*Table1[[#This Row],[tenure_years]]</f>
        <v>9035.9663999999993</v>
      </c>
      <c r="Z1460" s="2">
        <f>Table1[[#This Row],[total_collected_premiums]]*(1-$AD$2)</f>
        <v>6596.2554719999989</v>
      </c>
      <c r="AA1460" s="2">
        <f>Table1[[#This Row],[retained_premium]]-Table1[[#This Row],[claim_amount_paid]]</f>
        <v>6596.2554719999989</v>
      </c>
    </row>
    <row r="1461" spans="1:27" x14ac:dyDescent="0.35">
      <c r="A1461" t="s">
        <v>4422</v>
      </c>
      <c r="B1461" t="s">
        <v>4423</v>
      </c>
      <c r="C1461" t="s">
        <v>4424</v>
      </c>
      <c r="D1461" s="1">
        <v>43792</v>
      </c>
      <c r="E1461" s="1">
        <v>44336</v>
      </c>
      <c r="F1461" s="1">
        <v>44341</v>
      </c>
      <c r="G1461">
        <v>5</v>
      </c>
      <c r="H1461">
        <v>105.91</v>
      </c>
      <c r="I1461">
        <v>1270.92</v>
      </c>
      <c r="J1461">
        <v>2000</v>
      </c>
      <c r="K1461" t="s">
        <v>27</v>
      </c>
      <c r="L1461">
        <v>2000</v>
      </c>
      <c r="M1461">
        <v>2.67</v>
      </c>
      <c r="N1461" t="s">
        <v>28</v>
      </c>
      <c r="O1461">
        <v>32</v>
      </c>
      <c r="P1461">
        <v>28</v>
      </c>
      <c r="Q1461">
        <v>1</v>
      </c>
      <c r="R1461">
        <v>7</v>
      </c>
      <c r="S1461" t="s">
        <v>29</v>
      </c>
      <c r="T1461" t="s">
        <v>30</v>
      </c>
      <c r="U1461" t="s">
        <v>58</v>
      </c>
      <c r="V1461" t="s">
        <v>45</v>
      </c>
      <c r="W1461">
        <v>1</v>
      </c>
      <c r="X1461">
        <v>0</v>
      </c>
      <c r="Y1461" s="2">
        <f>Table1[[#This Row],[premium_yearly]]*Table1[[#This Row],[tenure_years]]</f>
        <v>3393.3564000000001</v>
      </c>
      <c r="Z1461" s="2">
        <f>Table1[[#This Row],[total_collected_premiums]]*(1-$AD$2)</f>
        <v>2477.1501720000001</v>
      </c>
      <c r="AA1461" s="2">
        <f>Table1[[#This Row],[retained_premium]]-Table1[[#This Row],[claim_amount_paid]]</f>
        <v>477.15017200000011</v>
      </c>
    </row>
    <row r="1462" spans="1:27" x14ac:dyDescent="0.35">
      <c r="A1462" t="s">
        <v>4425</v>
      </c>
      <c r="B1462" t="s">
        <v>4426</v>
      </c>
      <c r="C1462" t="s">
        <v>4427</v>
      </c>
      <c r="D1462" s="1">
        <v>41724</v>
      </c>
      <c r="E1462" s="1">
        <v>44343</v>
      </c>
      <c r="F1462" s="1">
        <v>44346</v>
      </c>
      <c r="G1462">
        <v>3</v>
      </c>
      <c r="H1462">
        <v>132.06</v>
      </c>
      <c r="I1462">
        <v>1584.72</v>
      </c>
      <c r="J1462">
        <v>6000</v>
      </c>
      <c r="K1462" t="s">
        <v>27</v>
      </c>
      <c r="L1462">
        <v>6000</v>
      </c>
      <c r="M1462">
        <v>2.67</v>
      </c>
      <c r="N1462" t="s">
        <v>28</v>
      </c>
      <c r="O1462">
        <v>32</v>
      </c>
      <c r="P1462">
        <v>33</v>
      </c>
      <c r="Q1462">
        <v>0</v>
      </c>
      <c r="R1462">
        <v>3</v>
      </c>
      <c r="S1462" t="s">
        <v>65</v>
      </c>
      <c r="T1462" t="s">
        <v>44</v>
      </c>
      <c r="U1462" t="s">
        <v>38</v>
      </c>
      <c r="V1462" t="s">
        <v>39</v>
      </c>
      <c r="W1462">
        <v>1</v>
      </c>
      <c r="X1462">
        <v>1</v>
      </c>
      <c r="Y1462" s="2">
        <f>Table1[[#This Row],[premium_yearly]]*Table1[[#This Row],[tenure_years]]</f>
        <v>4231.2024000000001</v>
      </c>
      <c r="Z1462" s="2">
        <f>Table1[[#This Row],[total_collected_premiums]]*(1-$AD$2)</f>
        <v>3088.777752</v>
      </c>
      <c r="AA1462" s="2">
        <f>Table1[[#This Row],[retained_premium]]-Table1[[#This Row],[claim_amount_paid]]</f>
        <v>-2911.222248</v>
      </c>
    </row>
    <row r="1463" spans="1:27" x14ac:dyDescent="0.35">
      <c r="A1463" t="s">
        <v>4428</v>
      </c>
      <c r="B1463" t="s">
        <v>4429</v>
      </c>
      <c r="C1463" t="s">
        <v>4430</v>
      </c>
      <c r="D1463" s="1">
        <v>43197</v>
      </c>
      <c r="E1463" s="1">
        <v>44341</v>
      </c>
      <c r="F1463" s="1">
        <v>44344</v>
      </c>
      <c r="G1463">
        <v>3</v>
      </c>
      <c r="H1463">
        <v>130.96</v>
      </c>
      <c r="I1463">
        <v>1571.52</v>
      </c>
      <c r="J1463">
        <v>8000</v>
      </c>
      <c r="K1463" t="s">
        <v>27</v>
      </c>
      <c r="L1463">
        <v>8000</v>
      </c>
      <c r="M1463">
        <v>7.92</v>
      </c>
      <c r="N1463" t="s">
        <v>49</v>
      </c>
      <c r="O1463">
        <v>95</v>
      </c>
      <c r="P1463">
        <v>60</v>
      </c>
      <c r="Q1463">
        <v>1</v>
      </c>
      <c r="R1463">
        <v>4</v>
      </c>
      <c r="S1463" t="s">
        <v>65</v>
      </c>
      <c r="T1463" t="s">
        <v>50</v>
      </c>
      <c r="U1463" t="s">
        <v>88</v>
      </c>
      <c r="V1463" t="s">
        <v>45</v>
      </c>
      <c r="W1463">
        <v>1</v>
      </c>
      <c r="X1463">
        <v>1</v>
      </c>
      <c r="Y1463" s="2">
        <f>Table1[[#This Row],[premium_yearly]]*Table1[[#This Row],[tenure_years]]</f>
        <v>12446.438399999999</v>
      </c>
      <c r="Z1463" s="2">
        <f>Table1[[#This Row],[total_collected_premiums]]*(1-$AD$2)</f>
        <v>9085.9000319999996</v>
      </c>
      <c r="AA1463" s="2">
        <f>Table1[[#This Row],[retained_premium]]-Table1[[#This Row],[claim_amount_paid]]</f>
        <v>1085.9000319999996</v>
      </c>
    </row>
    <row r="1464" spans="1:27" x14ac:dyDescent="0.35">
      <c r="A1464" t="s">
        <v>4431</v>
      </c>
      <c r="B1464" t="s">
        <v>4432</v>
      </c>
      <c r="C1464" t="s">
        <v>4433</v>
      </c>
      <c r="D1464" s="1">
        <v>42979</v>
      </c>
      <c r="E1464" s="1">
        <v>44344</v>
      </c>
      <c r="F1464" s="1">
        <v>44346</v>
      </c>
      <c r="G1464">
        <v>2</v>
      </c>
      <c r="H1464">
        <v>86.4</v>
      </c>
      <c r="I1464">
        <v>1036.8</v>
      </c>
      <c r="J1464">
        <v>6000</v>
      </c>
      <c r="K1464" t="s">
        <v>27</v>
      </c>
      <c r="L1464">
        <v>6000</v>
      </c>
      <c r="M1464">
        <v>2.5</v>
      </c>
      <c r="N1464" t="s">
        <v>28</v>
      </c>
      <c r="O1464">
        <v>30</v>
      </c>
      <c r="P1464">
        <v>54</v>
      </c>
      <c r="Q1464">
        <v>0</v>
      </c>
      <c r="R1464">
        <v>4</v>
      </c>
      <c r="S1464" t="s">
        <v>65</v>
      </c>
      <c r="T1464" t="s">
        <v>30</v>
      </c>
      <c r="U1464" t="s">
        <v>31</v>
      </c>
      <c r="V1464" t="s">
        <v>32</v>
      </c>
      <c r="W1464">
        <v>0</v>
      </c>
      <c r="X1464">
        <v>1</v>
      </c>
      <c r="Y1464" s="2">
        <f>Table1[[#This Row],[premium_yearly]]*Table1[[#This Row],[tenure_years]]</f>
        <v>2592</v>
      </c>
      <c r="Z1464" s="2">
        <f>Table1[[#This Row],[total_collected_premiums]]*(1-$AD$2)</f>
        <v>1892.1599999999999</v>
      </c>
      <c r="AA1464" s="2">
        <f>Table1[[#This Row],[retained_premium]]-Table1[[#This Row],[claim_amount_paid]]</f>
        <v>-4107.84</v>
      </c>
    </row>
    <row r="1465" spans="1:27" x14ac:dyDescent="0.35">
      <c r="A1465" t="s">
        <v>4434</v>
      </c>
      <c r="B1465" t="s">
        <v>4435</v>
      </c>
      <c r="C1465" t="s">
        <v>4436</v>
      </c>
      <c r="D1465" s="1">
        <v>43581</v>
      </c>
      <c r="E1465" s="1">
        <v>44347</v>
      </c>
      <c r="F1465" s="1">
        <v>44348</v>
      </c>
      <c r="G1465">
        <v>1</v>
      </c>
      <c r="H1465">
        <v>126.93</v>
      </c>
      <c r="I1465">
        <v>1523.16</v>
      </c>
      <c r="J1465">
        <v>8000</v>
      </c>
      <c r="K1465" t="s">
        <v>27</v>
      </c>
      <c r="L1465">
        <v>8000</v>
      </c>
      <c r="M1465">
        <v>4.33</v>
      </c>
      <c r="N1465" t="s">
        <v>36</v>
      </c>
      <c r="O1465">
        <v>52</v>
      </c>
      <c r="P1465">
        <v>58</v>
      </c>
      <c r="Q1465">
        <v>1</v>
      </c>
      <c r="R1465">
        <v>2</v>
      </c>
      <c r="S1465" t="s">
        <v>29</v>
      </c>
      <c r="T1465" t="s">
        <v>44</v>
      </c>
      <c r="U1465" t="s">
        <v>38</v>
      </c>
      <c r="V1465" t="s">
        <v>32</v>
      </c>
      <c r="W1465">
        <v>1</v>
      </c>
      <c r="X1465">
        <v>0</v>
      </c>
      <c r="Y1465" s="2">
        <f>Table1[[#This Row],[premium_yearly]]*Table1[[#This Row],[tenure_years]]</f>
        <v>6595.2828000000009</v>
      </c>
      <c r="Z1465" s="2">
        <f>Table1[[#This Row],[total_collected_premiums]]*(1-$AD$2)</f>
        <v>4814.5564440000007</v>
      </c>
      <c r="AA1465" s="2">
        <f>Table1[[#This Row],[retained_premium]]-Table1[[#This Row],[claim_amount_paid]]</f>
        <v>-3185.4435559999993</v>
      </c>
    </row>
    <row r="1466" spans="1:27" x14ac:dyDescent="0.35">
      <c r="A1466" t="s">
        <v>4437</v>
      </c>
      <c r="B1466" t="s">
        <v>4438</v>
      </c>
      <c r="C1466" t="s">
        <v>4439</v>
      </c>
      <c r="D1466" s="1">
        <v>41715</v>
      </c>
      <c r="E1466" s="1">
        <v>44347</v>
      </c>
      <c r="F1466" s="1">
        <v>44348</v>
      </c>
      <c r="G1466">
        <v>1</v>
      </c>
      <c r="H1466">
        <v>138.56</v>
      </c>
      <c r="I1466">
        <v>1662.72</v>
      </c>
      <c r="J1466">
        <v>7000</v>
      </c>
      <c r="K1466" t="s">
        <v>27</v>
      </c>
      <c r="L1466">
        <v>7000</v>
      </c>
      <c r="M1466">
        <v>8.5</v>
      </c>
      <c r="N1466" t="s">
        <v>36</v>
      </c>
      <c r="O1466">
        <v>102</v>
      </c>
      <c r="P1466">
        <v>31</v>
      </c>
      <c r="Q1466">
        <v>1</v>
      </c>
      <c r="R1466">
        <v>7</v>
      </c>
      <c r="S1466" t="s">
        <v>65</v>
      </c>
      <c r="T1466" t="s">
        <v>30</v>
      </c>
      <c r="U1466" t="s">
        <v>107</v>
      </c>
      <c r="V1466" t="s">
        <v>45</v>
      </c>
      <c r="W1466">
        <v>1</v>
      </c>
      <c r="X1466">
        <v>1</v>
      </c>
      <c r="Y1466" s="2">
        <f>Table1[[#This Row],[premium_yearly]]*Table1[[#This Row],[tenure_years]]</f>
        <v>14133.12</v>
      </c>
      <c r="Z1466" s="2">
        <f>Table1[[#This Row],[total_collected_premiums]]*(1-$AD$2)</f>
        <v>10317.177600000001</v>
      </c>
      <c r="AA1466" s="2">
        <f>Table1[[#This Row],[retained_premium]]-Table1[[#This Row],[claim_amount_paid]]</f>
        <v>3317.1776000000009</v>
      </c>
    </row>
    <row r="1467" spans="1:27" x14ac:dyDescent="0.35">
      <c r="A1467" t="s">
        <v>4440</v>
      </c>
      <c r="B1467" t="s">
        <v>4441</v>
      </c>
      <c r="C1467" t="s">
        <v>4442</v>
      </c>
      <c r="D1467" s="1">
        <v>42941</v>
      </c>
      <c r="E1467" s="1">
        <v>44337</v>
      </c>
      <c r="F1467" s="1">
        <v>44342</v>
      </c>
      <c r="G1467">
        <v>5</v>
      </c>
      <c r="H1467">
        <v>102.09</v>
      </c>
      <c r="I1467">
        <v>1225.08</v>
      </c>
      <c r="J1467">
        <v>7000</v>
      </c>
      <c r="K1467" t="s">
        <v>27</v>
      </c>
      <c r="L1467">
        <v>7000</v>
      </c>
      <c r="M1467">
        <v>2.42</v>
      </c>
      <c r="N1467" t="s">
        <v>36</v>
      </c>
      <c r="O1467">
        <v>29</v>
      </c>
      <c r="P1467">
        <v>58</v>
      </c>
      <c r="Q1467">
        <v>0</v>
      </c>
      <c r="R1467">
        <v>4</v>
      </c>
      <c r="S1467" t="s">
        <v>29</v>
      </c>
      <c r="T1467" t="s">
        <v>44</v>
      </c>
      <c r="U1467" t="s">
        <v>66</v>
      </c>
      <c r="V1467" t="s">
        <v>39</v>
      </c>
      <c r="W1467">
        <v>0</v>
      </c>
      <c r="X1467">
        <v>1</v>
      </c>
      <c r="Y1467" s="2">
        <f>Table1[[#This Row],[premium_yearly]]*Table1[[#This Row],[tenure_years]]</f>
        <v>2964.6935999999996</v>
      </c>
      <c r="Z1467" s="2">
        <f>Table1[[#This Row],[total_collected_premiums]]*(1-$AD$2)</f>
        <v>2164.2263279999997</v>
      </c>
      <c r="AA1467" s="2">
        <f>Table1[[#This Row],[retained_premium]]-Table1[[#This Row],[claim_amount_paid]]</f>
        <v>-4835.7736720000003</v>
      </c>
    </row>
    <row r="1468" spans="1:27" x14ac:dyDescent="0.35">
      <c r="A1468" t="s">
        <v>4443</v>
      </c>
      <c r="B1468" t="s">
        <v>4444</v>
      </c>
      <c r="C1468" t="s">
        <v>4445</v>
      </c>
      <c r="D1468" s="1">
        <v>43179</v>
      </c>
      <c r="E1468" s="1">
        <v>44351</v>
      </c>
      <c r="F1468" s="1">
        <v>44351</v>
      </c>
      <c r="G1468">
        <v>0</v>
      </c>
      <c r="H1468">
        <v>89.25</v>
      </c>
      <c r="I1468">
        <v>1071</v>
      </c>
      <c r="J1468">
        <v>2000</v>
      </c>
      <c r="K1468" t="s">
        <v>27</v>
      </c>
      <c r="L1468">
        <v>2000</v>
      </c>
      <c r="M1468">
        <v>8.75</v>
      </c>
      <c r="N1468" t="s">
        <v>49</v>
      </c>
      <c r="O1468">
        <v>105</v>
      </c>
      <c r="P1468">
        <v>52</v>
      </c>
      <c r="Q1468">
        <v>1</v>
      </c>
      <c r="R1468">
        <v>3</v>
      </c>
      <c r="S1468" t="s">
        <v>29</v>
      </c>
      <c r="T1468" t="s">
        <v>50</v>
      </c>
      <c r="U1468" t="s">
        <v>31</v>
      </c>
      <c r="V1468" t="s">
        <v>39</v>
      </c>
      <c r="W1468">
        <v>0</v>
      </c>
      <c r="X1468">
        <v>1</v>
      </c>
      <c r="Y1468" s="2">
        <f>Table1[[#This Row],[premium_yearly]]*Table1[[#This Row],[tenure_years]]</f>
        <v>9371.25</v>
      </c>
      <c r="Z1468" s="2">
        <f>Table1[[#This Row],[total_collected_premiums]]*(1-$AD$2)</f>
        <v>6841.0124999999998</v>
      </c>
      <c r="AA1468" s="2">
        <f>Table1[[#This Row],[retained_premium]]-Table1[[#This Row],[claim_amount_paid]]</f>
        <v>4841.0124999999998</v>
      </c>
    </row>
    <row r="1469" spans="1:27" x14ac:dyDescent="0.35">
      <c r="A1469" t="s">
        <v>4446</v>
      </c>
      <c r="B1469" t="s">
        <v>4447</v>
      </c>
      <c r="C1469" t="s">
        <v>4448</v>
      </c>
      <c r="D1469" s="1">
        <v>40519</v>
      </c>
      <c r="E1469" s="1">
        <v>44349</v>
      </c>
      <c r="F1469" s="1">
        <v>44349</v>
      </c>
      <c r="G1469">
        <v>0</v>
      </c>
      <c r="H1469">
        <v>71.150000000000006</v>
      </c>
      <c r="I1469">
        <v>853.8</v>
      </c>
      <c r="J1469">
        <v>2000</v>
      </c>
      <c r="K1469" t="s">
        <v>43</v>
      </c>
      <c r="L1469">
        <v>0</v>
      </c>
      <c r="M1469">
        <v>5.5</v>
      </c>
      <c r="N1469" t="s">
        <v>36</v>
      </c>
      <c r="O1469">
        <v>66</v>
      </c>
      <c r="P1469">
        <v>64</v>
      </c>
      <c r="Q1469">
        <v>1</v>
      </c>
      <c r="R1469">
        <v>2</v>
      </c>
      <c r="S1469" t="s">
        <v>29</v>
      </c>
      <c r="T1469" t="s">
        <v>44</v>
      </c>
      <c r="U1469" t="s">
        <v>58</v>
      </c>
      <c r="V1469" t="s">
        <v>39</v>
      </c>
      <c r="W1469">
        <v>1</v>
      </c>
      <c r="X1469">
        <v>1</v>
      </c>
      <c r="Y1469" s="2">
        <f>Table1[[#This Row],[premium_yearly]]*Table1[[#This Row],[tenure_years]]</f>
        <v>4695.8999999999996</v>
      </c>
      <c r="Z1469" s="2">
        <f>Table1[[#This Row],[total_collected_premiums]]*(1-$AD$2)</f>
        <v>3428.0069999999996</v>
      </c>
      <c r="AA1469" s="2">
        <f>Table1[[#This Row],[retained_premium]]-Table1[[#This Row],[claim_amount_paid]]</f>
        <v>3428.0069999999996</v>
      </c>
    </row>
    <row r="1470" spans="1:27" x14ac:dyDescent="0.35">
      <c r="A1470" t="s">
        <v>4449</v>
      </c>
      <c r="B1470" t="s">
        <v>4450</v>
      </c>
      <c r="C1470" t="s">
        <v>4451</v>
      </c>
      <c r="D1470" s="1">
        <v>43506</v>
      </c>
      <c r="E1470" s="1">
        <v>44343</v>
      </c>
      <c r="F1470" s="1">
        <v>44346</v>
      </c>
      <c r="G1470">
        <v>3</v>
      </c>
      <c r="H1470">
        <v>100.2</v>
      </c>
      <c r="I1470">
        <v>1202.4000000000001</v>
      </c>
      <c r="J1470">
        <v>1000</v>
      </c>
      <c r="K1470" t="s">
        <v>27</v>
      </c>
      <c r="L1470">
        <v>1000</v>
      </c>
      <c r="M1470">
        <v>5</v>
      </c>
      <c r="N1470" t="s">
        <v>49</v>
      </c>
      <c r="O1470">
        <v>60</v>
      </c>
      <c r="P1470">
        <v>40</v>
      </c>
      <c r="Q1470">
        <v>0</v>
      </c>
      <c r="R1470">
        <v>4</v>
      </c>
      <c r="S1470" t="s">
        <v>29</v>
      </c>
      <c r="T1470" t="s">
        <v>50</v>
      </c>
      <c r="U1470" t="s">
        <v>38</v>
      </c>
      <c r="V1470" t="s">
        <v>32</v>
      </c>
      <c r="W1470">
        <v>1</v>
      </c>
      <c r="X1470">
        <v>0</v>
      </c>
      <c r="Y1470" s="2">
        <f>Table1[[#This Row],[premium_yearly]]*Table1[[#This Row],[tenure_years]]</f>
        <v>6012</v>
      </c>
      <c r="Z1470" s="2">
        <f>Table1[[#This Row],[total_collected_premiums]]*(1-$AD$2)</f>
        <v>4388.76</v>
      </c>
      <c r="AA1470" s="2">
        <f>Table1[[#This Row],[retained_premium]]-Table1[[#This Row],[claim_amount_paid]]</f>
        <v>3388.76</v>
      </c>
    </row>
    <row r="1471" spans="1:27" x14ac:dyDescent="0.35">
      <c r="A1471" t="s">
        <v>4452</v>
      </c>
      <c r="B1471" t="s">
        <v>4453</v>
      </c>
      <c r="C1471" t="s">
        <v>4454</v>
      </c>
      <c r="D1471" s="1">
        <v>42185</v>
      </c>
      <c r="E1471" s="1">
        <v>44350</v>
      </c>
      <c r="F1471" s="1">
        <v>44350</v>
      </c>
      <c r="G1471">
        <v>0</v>
      </c>
      <c r="H1471">
        <v>132.05000000000001</v>
      </c>
      <c r="I1471">
        <v>1584.6</v>
      </c>
      <c r="J1471">
        <v>10000</v>
      </c>
      <c r="K1471" t="s">
        <v>27</v>
      </c>
      <c r="L1471">
        <v>10000</v>
      </c>
      <c r="M1471">
        <v>7.33</v>
      </c>
      <c r="N1471" t="s">
        <v>28</v>
      </c>
      <c r="O1471">
        <v>88</v>
      </c>
      <c r="P1471">
        <v>34</v>
      </c>
      <c r="Q1471">
        <v>1</v>
      </c>
      <c r="R1471">
        <v>7</v>
      </c>
      <c r="S1471" t="s">
        <v>29</v>
      </c>
      <c r="T1471" t="s">
        <v>44</v>
      </c>
      <c r="U1471" t="s">
        <v>38</v>
      </c>
      <c r="V1471" t="s">
        <v>32</v>
      </c>
      <c r="W1471">
        <v>1</v>
      </c>
      <c r="X1471">
        <v>1</v>
      </c>
      <c r="Y1471" s="2">
        <f>Table1[[#This Row],[premium_yearly]]*Table1[[#This Row],[tenure_years]]</f>
        <v>11615.117999999999</v>
      </c>
      <c r="Z1471" s="2">
        <f>Table1[[#This Row],[total_collected_premiums]]*(1-$AD$2)</f>
        <v>8479.0361399999983</v>
      </c>
      <c r="AA1471" s="2">
        <f>Table1[[#This Row],[retained_premium]]-Table1[[#This Row],[claim_amount_paid]]</f>
        <v>-1520.9638600000017</v>
      </c>
    </row>
    <row r="1472" spans="1:27" x14ac:dyDescent="0.35">
      <c r="A1472" t="s">
        <v>4455</v>
      </c>
      <c r="B1472" t="s">
        <v>4456</v>
      </c>
      <c r="C1472" t="s">
        <v>4457</v>
      </c>
      <c r="D1472" s="1">
        <v>42873</v>
      </c>
      <c r="E1472" s="1">
        <v>44335</v>
      </c>
      <c r="F1472" s="1">
        <v>44340</v>
      </c>
      <c r="G1472">
        <v>5</v>
      </c>
      <c r="H1472">
        <v>94.5</v>
      </c>
      <c r="I1472">
        <v>1134</v>
      </c>
      <c r="J1472">
        <v>5000</v>
      </c>
      <c r="K1472" t="s">
        <v>27</v>
      </c>
      <c r="L1472">
        <v>5000</v>
      </c>
      <c r="M1472">
        <v>6.42</v>
      </c>
      <c r="N1472" t="s">
        <v>36</v>
      </c>
      <c r="O1472">
        <v>77</v>
      </c>
      <c r="P1472">
        <v>56</v>
      </c>
      <c r="Q1472">
        <v>1</v>
      </c>
      <c r="R1472">
        <v>3</v>
      </c>
      <c r="S1472" t="s">
        <v>37</v>
      </c>
      <c r="T1472" t="s">
        <v>30</v>
      </c>
      <c r="U1472" t="s">
        <v>51</v>
      </c>
      <c r="V1472" t="s">
        <v>32</v>
      </c>
      <c r="W1472">
        <v>1</v>
      </c>
      <c r="X1472">
        <v>1</v>
      </c>
      <c r="Y1472" s="2">
        <f>Table1[[#This Row],[premium_yearly]]*Table1[[#This Row],[tenure_years]]</f>
        <v>7280.28</v>
      </c>
      <c r="Z1472" s="2">
        <f>Table1[[#This Row],[total_collected_premiums]]*(1-$AD$2)</f>
        <v>5314.6043999999993</v>
      </c>
      <c r="AA1472" s="2">
        <f>Table1[[#This Row],[retained_premium]]-Table1[[#This Row],[claim_amount_paid]]</f>
        <v>314.60439999999926</v>
      </c>
    </row>
    <row r="1473" spans="1:27" x14ac:dyDescent="0.35">
      <c r="A1473" t="s">
        <v>4458</v>
      </c>
      <c r="B1473" t="s">
        <v>4459</v>
      </c>
      <c r="C1473" t="s">
        <v>4460</v>
      </c>
      <c r="D1473" s="1">
        <v>43169</v>
      </c>
      <c r="E1473" s="1">
        <v>44335</v>
      </c>
      <c r="F1473" s="1">
        <v>44340</v>
      </c>
      <c r="G1473">
        <v>5</v>
      </c>
      <c r="H1473">
        <v>85.33</v>
      </c>
      <c r="I1473">
        <v>1023.96</v>
      </c>
      <c r="J1473">
        <v>1000</v>
      </c>
      <c r="K1473" t="s">
        <v>27</v>
      </c>
      <c r="L1473">
        <v>1000</v>
      </c>
      <c r="M1473">
        <v>7.83</v>
      </c>
      <c r="N1473" t="s">
        <v>49</v>
      </c>
      <c r="O1473">
        <v>94</v>
      </c>
      <c r="P1473">
        <v>26</v>
      </c>
      <c r="Q1473">
        <v>1</v>
      </c>
      <c r="R1473">
        <v>5</v>
      </c>
      <c r="S1473" t="s">
        <v>29</v>
      </c>
      <c r="T1473" t="s">
        <v>30</v>
      </c>
      <c r="U1473" t="s">
        <v>38</v>
      </c>
      <c r="V1473" t="s">
        <v>45</v>
      </c>
      <c r="W1473">
        <v>1</v>
      </c>
      <c r="X1473">
        <v>1</v>
      </c>
      <c r="Y1473" s="2">
        <f>Table1[[#This Row],[premium_yearly]]*Table1[[#This Row],[tenure_years]]</f>
        <v>8017.6068000000005</v>
      </c>
      <c r="Z1473" s="2">
        <f>Table1[[#This Row],[total_collected_premiums]]*(1-$AD$2)</f>
        <v>5852.8529640000006</v>
      </c>
      <c r="AA1473" s="2">
        <f>Table1[[#This Row],[retained_premium]]-Table1[[#This Row],[claim_amount_paid]]</f>
        <v>4852.8529640000006</v>
      </c>
    </row>
    <row r="1474" spans="1:27" x14ac:dyDescent="0.35">
      <c r="A1474" t="s">
        <v>4461</v>
      </c>
      <c r="B1474" t="s">
        <v>4462</v>
      </c>
      <c r="C1474" t="s">
        <v>4463</v>
      </c>
      <c r="D1474" s="1">
        <v>42271</v>
      </c>
      <c r="E1474" s="1">
        <v>44341</v>
      </c>
      <c r="F1474" s="1">
        <v>44346</v>
      </c>
      <c r="G1474">
        <v>5</v>
      </c>
      <c r="H1474">
        <v>73.94</v>
      </c>
      <c r="I1474">
        <v>887.28</v>
      </c>
      <c r="J1474">
        <v>3000</v>
      </c>
      <c r="K1474" t="s">
        <v>27</v>
      </c>
      <c r="L1474">
        <v>3000</v>
      </c>
      <c r="M1474">
        <v>8.33</v>
      </c>
      <c r="N1474" t="s">
        <v>49</v>
      </c>
      <c r="O1474">
        <v>100</v>
      </c>
      <c r="P1474">
        <v>33</v>
      </c>
      <c r="Q1474">
        <v>0</v>
      </c>
      <c r="R1474">
        <v>6</v>
      </c>
      <c r="S1474" t="s">
        <v>65</v>
      </c>
      <c r="T1474" t="s">
        <v>30</v>
      </c>
      <c r="U1474" t="s">
        <v>51</v>
      </c>
      <c r="V1474" t="s">
        <v>32</v>
      </c>
      <c r="W1474">
        <v>1</v>
      </c>
      <c r="X1474">
        <v>0</v>
      </c>
      <c r="Y1474" s="2">
        <f>Table1[[#This Row],[premium_yearly]]*Table1[[#This Row],[tenure_years]]</f>
        <v>7391.0424000000003</v>
      </c>
      <c r="Z1474" s="2">
        <f>Table1[[#This Row],[total_collected_premiums]]*(1-$AD$2)</f>
        <v>5395.4609520000004</v>
      </c>
      <c r="AA1474" s="2">
        <f>Table1[[#This Row],[retained_premium]]-Table1[[#This Row],[claim_amount_paid]]</f>
        <v>2395.4609520000004</v>
      </c>
    </row>
    <row r="1475" spans="1:27" x14ac:dyDescent="0.35">
      <c r="A1475" t="s">
        <v>4464</v>
      </c>
      <c r="B1475" t="s">
        <v>4465</v>
      </c>
      <c r="C1475" t="s">
        <v>4466</v>
      </c>
      <c r="D1475" s="1">
        <v>41357</v>
      </c>
      <c r="E1475" s="1">
        <v>44343</v>
      </c>
      <c r="F1475" s="1">
        <v>44348</v>
      </c>
      <c r="G1475">
        <v>5</v>
      </c>
      <c r="H1475">
        <v>126.59</v>
      </c>
      <c r="I1475">
        <v>1519.08</v>
      </c>
      <c r="J1475">
        <v>10000</v>
      </c>
      <c r="K1475" t="s">
        <v>27</v>
      </c>
      <c r="L1475">
        <v>10000</v>
      </c>
      <c r="M1475">
        <v>7.42</v>
      </c>
      <c r="N1475" t="s">
        <v>28</v>
      </c>
      <c r="O1475">
        <v>89</v>
      </c>
      <c r="P1475">
        <v>55</v>
      </c>
      <c r="Q1475">
        <v>0</v>
      </c>
      <c r="R1475">
        <v>6</v>
      </c>
      <c r="S1475" t="s">
        <v>37</v>
      </c>
      <c r="T1475" t="s">
        <v>44</v>
      </c>
      <c r="U1475" t="s">
        <v>38</v>
      </c>
      <c r="V1475" t="s">
        <v>45</v>
      </c>
      <c r="W1475">
        <v>1</v>
      </c>
      <c r="X1475">
        <v>0</v>
      </c>
      <c r="Y1475" s="2">
        <f>Table1[[#This Row],[premium_yearly]]*Table1[[#This Row],[tenure_years]]</f>
        <v>11271.5736</v>
      </c>
      <c r="Z1475" s="2">
        <f>Table1[[#This Row],[total_collected_premiums]]*(1-$AD$2)</f>
        <v>8228.2487280000005</v>
      </c>
      <c r="AA1475" s="2">
        <f>Table1[[#This Row],[retained_premium]]-Table1[[#This Row],[claim_amount_paid]]</f>
        <v>-1771.7512719999995</v>
      </c>
    </row>
    <row r="1476" spans="1:27" x14ac:dyDescent="0.35">
      <c r="A1476" t="s">
        <v>4467</v>
      </c>
      <c r="B1476" t="s">
        <v>4468</v>
      </c>
      <c r="C1476" t="s">
        <v>4469</v>
      </c>
      <c r="D1476" s="1">
        <v>42006</v>
      </c>
      <c r="E1476" s="1">
        <v>44349</v>
      </c>
      <c r="F1476" s="1">
        <v>44350</v>
      </c>
      <c r="G1476">
        <v>1</v>
      </c>
      <c r="H1476">
        <v>137.35</v>
      </c>
      <c r="I1476">
        <v>1648.2</v>
      </c>
      <c r="J1476">
        <v>4000</v>
      </c>
      <c r="K1476" t="s">
        <v>27</v>
      </c>
      <c r="L1476">
        <v>4000</v>
      </c>
      <c r="M1476">
        <v>4.25</v>
      </c>
      <c r="N1476" t="s">
        <v>49</v>
      </c>
      <c r="O1476">
        <v>51</v>
      </c>
      <c r="P1476">
        <v>58</v>
      </c>
      <c r="Q1476">
        <v>1</v>
      </c>
      <c r="R1476">
        <v>4</v>
      </c>
      <c r="S1476" t="s">
        <v>65</v>
      </c>
      <c r="T1476" t="s">
        <v>30</v>
      </c>
      <c r="U1476" t="s">
        <v>38</v>
      </c>
      <c r="V1476" t="s">
        <v>39</v>
      </c>
      <c r="W1476">
        <v>1</v>
      </c>
      <c r="X1476">
        <v>1</v>
      </c>
      <c r="Y1476" s="2">
        <f>Table1[[#This Row],[premium_yearly]]*Table1[[#This Row],[tenure_years]]</f>
        <v>7004.85</v>
      </c>
      <c r="Z1476" s="2">
        <f>Table1[[#This Row],[total_collected_premiums]]*(1-$AD$2)</f>
        <v>5113.5405000000001</v>
      </c>
      <c r="AA1476" s="2">
        <f>Table1[[#This Row],[retained_premium]]-Table1[[#This Row],[claim_amount_paid]]</f>
        <v>1113.5405000000001</v>
      </c>
    </row>
    <row r="1477" spans="1:27" x14ac:dyDescent="0.35">
      <c r="A1477" t="s">
        <v>4470</v>
      </c>
      <c r="B1477" t="s">
        <v>4471</v>
      </c>
      <c r="C1477" t="s">
        <v>4472</v>
      </c>
      <c r="D1477" s="1">
        <v>42669</v>
      </c>
      <c r="E1477" s="1">
        <v>44338</v>
      </c>
      <c r="F1477" s="1">
        <v>44343</v>
      </c>
      <c r="G1477">
        <v>5</v>
      </c>
      <c r="H1477">
        <v>73.53</v>
      </c>
      <c r="I1477">
        <v>882.36</v>
      </c>
      <c r="J1477">
        <v>7000</v>
      </c>
      <c r="K1477" t="s">
        <v>27</v>
      </c>
      <c r="L1477">
        <v>7000</v>
      </c>
      <c r="M1477">
        <v>4.83</v>
      </c>
      <c r="N1477" t="s">
        <v>36</v>
      </c>
      <c r="O1477">
        <v>58</v>
      </c>
      <c r="P1477">
        <v>44</v>
      </c>
      <c r="Q1477">
        <v>1</v>
      </c>
      <c r="R1477">
        <v>3</v>
      </c>
      <c r="S1477" t="s">
        <v>29</v>
      </c>
      <c r="T1477" t="s">
        <v>44</v>
      </c>
      <c r="U1477" t="s">
        <v>58</v>
      </c>
      <c r="V1477" t="s">
        <v>45</v>
      </c>
      <c r="W1477">
        <v>0</v>
      </c>
      <c r="X1477">
        <v>1</v>
      </c>
      <c r="Y1477" s="2">
        <f>Table1[[#This Row],[premium_yearly]]*Table1[[#This Row],[tenure_years]]</f>
        <v>4261.7988000000005</v>
      </c>
      <c r="Z1477" s="2">
        <f>Table1[[#This Row],[total_collected_premiums]]*(1-$AD$2)</f>
        <v>3111.1131240000004</v>
      </c>
      <c r="AA1477" s="2">
        <f>Table1[[#This Row],[retained_premium]]-Table1[[#This Row],[claim_amount_paid]]</f>
        <v>-3888.8868759999996</v>
      </c>
    </row>
    <row r="1478" spans="1:27" x14ac:dyDescent="0.35">
      <c r="A1478" t="s">
        <v>4473</v>
      </c>
      <c r="B1478" t="s">
        <v>4474</v>
      </c>
      <c r="C1478" t="s">
        <v>4475</v>
      </c>
      <c r="D1478" s="1">
        <v>42430</v>
      </c>
      <c r="E1478" s="1">
        <v>44337</v>
      </c>
      <c r="F1478" s="1">
        <v>44342</v>
      </c>
      <c r="G1478">
        <v>5</v>
      </c>
      <c r="H1478">
        <v>139.59</v>
      </c>
      <c r="I1478">
        <v>1675.08</v>
      </c>
      <c r="J1478">
        <v>8000</v>
      </c>
      <c r="K1478" t="s">
        <v>27</v>
      </c>
      <c r="L1478">
        <v>8000</v>
      </c>
      <c r="M1478">
        <v>1.58</v>
      </c>
      <c r="N1478" t="s">
        <v>36</v>
      </c>
      <c r="O1478">
        <v>19</v>
      </c>
      <c r="P1478">
        <v>52</v>
      </c>
      <c r="Q1478">
        <v>1</v>
      </c>
      <c r="R1478">
        <v>2</v>
      </c>
      <c r="S1478" t="s">
        <v>37</v>
      </c>
      <c r="T1478" t="s">
        <v>30</v>
      </c>
      <c r="U1478" t="s">
        <v>38</v>
      </c>
      <c r="V1478" t="s">
        <v>32</v>
      </c>
      <c r="W1478">
        <v>1</v>
      </c>
      <c r="X1478">
        <v>1</v>
      </c>
      <c r="Y1478" s="2">
        <f>Table1[[#This Row],[premium_yearly]]*Table1[[#This Row],[tenure_years]]</f>
        <v>2646.6264000000001</v>
      </c>
      <c r="Z1478" s="2">
        <f>Table1[[#This Row],[total_collected_premiums]]*(1-$AD$2)</f>
        <v>1932.037272</v>
      </c>
      <c r="AA1478" s="2">
        <f>Table1[[#This Row],[retained_premium]]-Table1[[#This Row],[claim_amount_paid]]</f>
        <v>-6067.9627280000004</v>
      </c>
    </row>
    <row r="1479" spans="1:27" x14ac:dyDescent="0.35">
      <c r="A1479" t="s">
        <v>4476</v>
      </c>
      <c r="B1479" t="s">
        <v>4477</v>
      </c>
      <c r="C1479" t="s">
        <v>4478</v>
      </c>
      <c r="D1479" s="1">
        <v>42708</v>
      </c>
      <c r="E1479" s="1">
        <v>44347</v>
      </c>
      <c r="F1479" s="1">
        <v>44349</v>
      </c>
      <c r="G1479">
        <v>2</v>
      </c>
      <c r="H1479">
        <v>78.97</v>
      </c>
      <c r="I1479">
        <v>947.64</v>
      </c>
      <c r="J1479">
        <v>10000</v>
      </c>
      <c r="K1479" t="s">
        <v>27</v>
      </c>
      <c r="L1479">
        <v>10000</v>
      </c>
      <c r="M1479">
        <v>8.75</v>
      </c>
      <c r="N1479" t="s">
        <v>28</v>
      </c>
      <c r="O1479">
        <v>105</v>
      </c>
      <c r="P1479">
        <v>57</v>
      </c>
      <c r="Q1479">
        <v>1</v>
      </c>
      <c r="R1479">
        <v>3</v>
      </c>
      <c r="S1479" t="s">
        <v>29</v>
      </c>
      <c r="T1479" t="s">
        <v>30</v>
      </c>
      <c r="U1479" t="s">
        <v>31</v>
      </c>
      <c r="V1479" t="s">
        <v>39</v>
      </c>
      <c r="W1479">
        <v>1</v>
      </c>
      <c r="X1479">
        <v>0</v>
      </c>
      <c r="Y1479" s="2">
        <f>Table1[[#This Row],[premium_yearly]]*Table1[[#This Row],[tenure_years]]</f>
        <v>8291.85</v>
      </c>
      <c r="Z1479" s="2">
        <f>Table1[[#This Row],[total_collected_premiums]]*(1-$AD$2)</f>
        <v>6053.0505000000003</v>
      </c>
      <c r="AA1479" s="2">
        <f>Table1[[#This Row],[retained_premium]]-Table1[[#This Row],[claim_amount_paid]]</f>
        <v>-3946.9494999999997</v>
      </c>
    </row>
    <row r="1480" spans="1:27" x14ac:dyDescent="0.35">
      <c r="A1480" t="s">
        <v>4479</v>
      </c>
      <c r="B1480" t="s">
        <v>4480</v>
      </c>
      <c r="C1480" t="s">
        <v>4481</v>
      </c>
      <c r="D1480" s="1">
        <v>43794</v>
      </c>
      <c r="E1480" s="1">
        <v>44352</v>
      </c>
      <c r="F1480" s="1">
        <v>44352</v>
      </c>
      <c r="G1480">
        <v>0</v>
      </c>
      <c r="H1480">
        <v>97.78</v>
      </c>
      <c r="I1480">
        <v>1173.3599999999999</v>
      </c>
      <c r="J1480">
        <v>3000</v>
      </c>
      <c r="K1480" t="s">
        <v>27</v>
      </c>
      <c r="L1480">
        <v>3000</v>
      </c>
      <c r="M1480">
        <v>9.17</v>
      </c>
      <c r="N1480" t="s">
        <v>36</v>
      </c>
      <c r="O1480">
        <v>110</v>
      </c>
      <c r="P1480">
        <v>35</v>
      </c>
      <c r="Q1480">
        <v>1</v>
      </c>
      <c r="R1480">
        <v>6</v>
      </c>
      <c r="S1480" t="s">
        <v>29</v>
      </c>
      <c r="T1480" t="s">
        <v>30</v>
      </c>
      <c r="U1480" t="s">
        <v>31</v>
      </c>
      <c r="V1480" t="s">
        <v>39</v>
      </c>
      <c r="W1480">
        <v>0</v>
      </c>
      <c r="X1480">
        <v>1</v>
      </c>
      <c r="Y1480" s="2">
        <f>Table1[[#This Row],[premium_yearly]]*Table1[[#This Row],[tenure_years]]</f>
        <v>10759.7112</v>
      </c>
      <c r="Z1480" s="2">
        <f>Table1[[#This Row],[total_collected_premiums]]*(1-$AD$2)</f>
        <v>7854.5891759999995</v>
      </c>
      <c r="AA1480" s="2">
        <f>Table1[[#This Row],[retained_premium]]-Table1[[#This Row],[claim_amount_paid]]</f>
        <v>4854.5891759999995</v>
      </c>
    </row>
    <row r="1481" spans="1:27" x14ac:dyDescent="0.35">
      <c r="A1481" t="s">
        <v>4482</v>
      </c>
      <c r="B1481" t="s">
        <v>4483</v>
      </c>
      <c r="C1481" t="s">
        <v>4484</v>
      </c>
      <c r="D1481" s="1">
        <v>41673</v>
      </c>
      <c r="E1481" s="1">
        <v>44344</v>
      </c>
      <c r="F1481" s="1">
        <v>44349</v>
      </c>
      <c r="G1481">
        <v>5</v>
      </c>
      <c r="H1481">
        <v>136.02000000000001</v>
      </c>
      <c r="I1481">
        <v>1632.24</v>
      </c>
      <c r="J1481">
        <v>7000</v>
      </c>
      <c r="K1481" t="s">
        <v>27</v>
      </c>
      <c r="L1481">
        <v>7000</v>
      </c>
      <c r="M1481">
        <v>8.25</v>
      </c>
      <c r="N1481" t="s">
        <v>49</v>
      </c>
      <c r="O1481">
        <v>99</v>
      </c>
      <c r="P1481">
        <v>38</v>
      </c>
      <c r="Q1481">
        <v>1</v>
      </c>
      <c r="R1481">
        <v>2</v>
      </c>
      <c r="S1481" t="s">
        <v>29</v>
      </c>
      <c r="T1481" t="s">
        <v>30</v>
      </c>
      <c r="U1481" t="s">
        <v>38</v>
      </c>
      <c r="V1481" t="s">
        <v>39</v>
      </c>
      <c r="W1481">
        <v>0</v>
      </c>
      <c r="X1481">
        <v>0</v>
      </c>
      <c r="Y1481" s="2">
        <f>Table1[[#This Row],[premium_yearly]]*Table1[[#This Row],[tenure_years]]</f>
        <v>13465.98</v>
      </c>
      <c r="Z1481" s="2">
        <f>Table1[[#This Row],[total_collected_premiums]]*(1-$AD$2)</f>
        <v>9830.1653999999999</v>
      </c>
      <c r="AA1481" s="2">
        <f>Table1[[#This Row],[retained_premium]]-Table1[[#This Row],[claim_amount_paid]]</f>
        <v>2830.1653999999999</v>
      </c>
    </row>
    <row r="1482" spans="1:27" x14ac:dyDescent="0.35">
      <c r="A1482" t="s">
        <v>4485</v>
      </c>
      <c r="B1482" t="s">
        <v>4486</v>
      </c>
      <c r="C1482" t="s">
        <v>4487</v>
      </c>
      <c r="D1482" s="1">
        <v>42870</v>
      </c>
      <c r="E1482" s="1">
        <v>44353</v>
      </c>
      <c r="F1482" s="1">
        <v>44353</v>
      </c>
      <c r="G1482">
        <v>0</v>
      </c>
      <c r="H1482">
        <v>127.17</v>
      </c>
      <c r="I1482">
        <v>1526.04</v>
      </c>
      <c r="J1482">
        <v>6000</v>
      </c>
      <c r="K1482" t="s">
        <v>27</v>
      </c>
      <c r="L1482">
        <v>6000</v>
      </c>
      <c r="M1482">
        <v>7.5</v>
      </c>
      <c r="N1482" t="s">
        <v>49</v>
      </c>
      <c r="O1482">
        <v>90</v>
      </c>
      <c r="P1482">
        <v>36</v>
      </c>
      <c r="Q1482">
        <v>1</v>
      </c>
      <c r="R1482">
        <v>6</v>
      </c>
      <c r="S1482" t="s">
        <v>29</v>
      </c>
      <c r="T1482" t="s">
        <v>50</v>
      </c>
      <c r="U1482" t="s">
        <v>88</v>
      </c>
      <c r="V1482" t="s">
        <v>32</v>
      </c>
      <c r="W1482">
        <v>0</v>
      </c>
      <c r="X1482">
        <v>1</v>
      </c>
      <c r="Y1482" s="2">
        <f>Table1[[#This Row],[premium_yearly]]*Table1[[#This Row],[tenure_years]]</f>
        <v>11445.3</v>
      </c>
      <c r="Z1482" s="2">
        <f>Table1[[#This Row],[total_collected_premiums]]*(1-$AD$2)</f>
        <v>8355.0689999999995</v>
      </c>
      <c r="AA1482" s="2">
        <f>Table1[[#This Row],[retained_premium]]-Table1[[#This Row],[claim_amount_paid]]</f>
        <v>2355.0689999999995</v>
      </c>
    </row>
    <row r="1483" spans="1:27" x14ac:dyDescent="0.35">
      <c r="A1483" t="s">
        <v>4488</v>
      </c>
      <c r="B1483" t="s">
        <v>4489</v>
      </c>
      <c r="C1483" t="s">
        <v>4490</v>
      </c>
      <c r="D1483" s="1">
        <v>41360</v>
      </c>
      <c r="E1483" s="1">
        <v>44353</v>
      </c>
      <c r="F1483" s="1">
        <v>44353</v>
      </c>
      <c r="G1483">
        <v>0</v>
      </c>
      <c r="H1483">
        <v>131.03</v>
      </c>
      <c r="I1483">
        <v>1572.36</v>
      </c>
      <c r="J1483">
        <v>3000</v>
      </c>
      <c r="K1483" t="s">
        <v>27</v>
      </c>
      <c r="L1483">
        <v>3000</v>
      </c>
      <c r="M1483">
        <v>1.5</v>
      </c>
      <c r="N1483" t="s">
        <v>49</v>
      </c>
      <c r="O1483">
        <v>18</v>
      </c>
      <c r="P1483">
        <v>60</v>
      </c>
      <c r="Q1483">
        <v>0</v>
      </c>
      <c r="R1483">
        <v>7</v>
      </c>
      <c r="S1483" t="s">
        <v>29</v>
      </c>
      <c r="T1483" t="s">
        <v>30</v>
      </c>
      <c r="U1483" t="s">
        <v>38</v>
      </c>
      <c r="V1483" t="s">
        <v>45</v>
      </c>
      <c r="W1483">
        <v>1</v>
      </c>
      <c r="X1483">
        <v>1</v>
      </c>
      <c r="Y1483" s="2">
        <f>Table1[[#This Row],[premium_yearly]]*Table1[[#This Row],[tenure_years]]</f>
        <v>2358.54</v>
      </c>
      <c r="Z1483" s="2">
        <f>Table1[[#This Row],[total_collected_premiums]]*(1-$AD$2)</f>
        <v>1721.7341999999999</v>
      </c>
      <c r="AA1483" s="2">
        <f>Table1[[#This Row],[retained_premium]]-Table1[[#This Row],[claim_amount_paid]]</f>
        <v>-1278.2658000000001</v>
      </c>
    </row>
    <row r="1484" spans="1:27" x14ac:dyDescent="0.35">
      <c r="A1484" t="s">
        <v>4491</v>
      </c>
      <c r="B1484" t="s">
        <v>4492</v>
      </c>
      <c r="C1484" t="s">
        <v>4493</v>
      </c>
      <c r="D1484" s="1">
        <v>43028</v>
      </c>
      <c r="E1484" s="1">
        <v>44348</v>
      </c>
      <c r="F1484" s="1">
        <v>44350</v>
      </c>
      <c r="G1484">
        <v>2</v>
      </c>
      <c r="H1484">
        <v>100.46</v>
      </c>
      <c r="I1484">
        <v>1205.52</v>
      </c>
      <c r="J1484">
        <v>7000</v>
      </c>
      <c r="K1484" t="s">
        <v>43</v>
      </c>
      <c r="L1484">
        <v>0</v>
      </c>
      <c r="M1484">
        <v>1.83</v>
      </c>
      <c r="N1484" t="s">
        <v>49</v>
      </c>
      <c r="O1484">
        <v>22</v>
      </c>
      <c r="P1484">
        <v>60</v>
      </c>
      <c r="Q1484">
        <v>1</v>
      </c>
      <c r="R1484">
        <v>3</v>
      </c>
      <c r="S1484" t="s">
        <v>37</v>
      </c>
      <c r="T1484" t="s">
        <v>30</v>
      </c>
      <c r="U1484" t="s">
        <v>38</v>
      </c>
      <c r="V1484" t="s">
        <v>32</v>
      </c>
      <c r="W1484">
        <v>0</v>
      </c>
      <c r="X1484">
        <v>1</v>
      </c>
      <c r="Y1484" s="2">
        <f>Table1[[#This Row],[premium_yearly]]*Table1[[#This Row],[tenure_years]]</f>
        <v>2206.1016</v>
      </c>
      <c r="Z1484" s="2">
        <f>Table1[[#This Row],[total_collected_premiums]]*(1-$AD$2)</f>
        <v>1610.454168</v>
      </c>
      <c r="AA1484" s="2">
        <f>Table1[[#This Row],[retained_premium]]-Table1[[#This Row],[claim_amount_paid]]</f>
        <v>1610.454168</v>
      </c>
    </row>
    <row r="1485" spans="1:27" x14ac:dyDescent="0.35">
      <c r="A1485" t="s">
        <v>4494</v>
      </c>
      <c r="B1485" t="s">
        <v>4495</v>
      </c>
      <c r="C1485" t="s">
        <v>4496</v>
      </c>
      <c r="D1485" s="1">
        <v>43810</v>
      </c>
      <c r="E1485" s="1">
        <v>44337</v>
      </c>
      <c r="F1485" s="1">
        <v>44342</v>
      </c>
      <c r="G1485">
        <v>5</v>
      </c>
      <c r="H1485">
        <v>102.5</v>
      </c>
      <c r="I1485">
        <v>1230</v>
      </c>
      <c r="J1485">
        <v>3000</v>
      </c>
      <c r="K1485" t="s">
        <v>27</v>
      </c>
      <c r="L1485">
        <v>3000</v>
      </c>
      <c r="M1485">
        <v>4.5</v>
      </c>
      <c r="N1485" t="s">
        <v>36</v>
      </c>
      <c r="O1485">
        <v>54</v>
      </c>
      <c r="P1485">
        <v>44</v>
      </c>
      <c r="Q1485">
        <v>1</v>
      </c>
      <c r="R1485">
        <v>3</v>
      </c>
      <c r="S1485" t="s">
        <v>65</v>
      </c>
      <c r="T1485" t="s">
        <v>30</v>
      </c>
      <c r="U1485" t="s">
        <v>38</v>
      </c>
      <c r="V1485" t="s">
        <v>45</v>
      </c>
      <c r="W1485">
        <v>0</v>
      </c>
      <c r="X1485">
        <v>1</v>
      </c>
      <c r="Y1485" s="2">
        <f>Table1[[#This Row],[premium_yearly]]*Table1[[#This Row],[tenure_years]]</f>
        <v>5535</v>
      </c>
      <c r="Z1485" s="2">
        <f>Table1[[#This Row],[total_collected_premiums]]*(1-$AD$2)</f>
        <v>4040.5499999999997</v>
      </c>
      <c r="AA1485" s="2">
        <f>Table1[[#This Row],[retained_premium]]-Table1[[#This Row],[claim_amount_paid]]</f>
        <v>1040.5499999999997</v>
      </c>
    </row>
    <row r="1486" spans="1:27" x14ac:dyDescent="0.35">
      <c r="A1486" t="s">
        <v>4497</v>
      </c>
      <c r="B1486" t="s">
        <v>4498</v>
      </c>
      <c r="C1486" t="s">
        <v>4499</v>
      </c>
      <c r="D1486" s="1">
        <v>41106</v>
      </c>
      <c r="E1486" s="1">
        <v>44344</v>
      </c>
      <c r="F1486" s="1">
        <v>44349</v>
      </c>
      <c r="G1486">
        <v>5</v>
      </c>
      <c r="H1486">
        <v>93.54</v>
      </c>
      <c r="I1486">
        <v>1122.48</v>
      </c>
      <c r="J1486">
        <v>6000</v>
      </c>
      <c r="K1486" t="s">
        <v>27</v>
      </c>
      <c r="L1486">
        <v>6000</v>
      </c>
      <c r="M1486">
        <v>8.92</v>
      </c>
      <c r="N1486" t="s">
        <v>28</v>
      </c>
      <c r="O1486">
        <v>107</v>
      </c>
      <c r="P1486">
        <v>27</v>
      </c>
      <c r="Q1486">
        <v>1</v>
      </c>
      <c r="R1486">
        <v>4</v>
      </c>
      <c r="S1486" t="s">
        <v>65</v>
      </c>
      <c r="T1486" t="s">
        <v>44</v>
      </c>
      <c r="U1486" t="s">
        <v>31</v>
      </c>
      <c r="V1486" t="s">
        <v>39</v>
      </c>
      <c r="W1486">
        <v>1</v>
      </c>
      <c r="X1486">
        <v>1</v>
      </c>
      <c r="Y1486" s="2">
        <f>Table1[[#This Row],[premium_yearly]]*Table1[[#This Row],[tenure_years]]</f>
        <v>10012.5216</v>
      </c>
      <c r="Z1486" s="2">
        <f>Table1[[#This Row],[total_collected_premiums]]*(1-$AD$2)</f>
        <v>7309.1407680000002</v>
      </c>
      <c r="AA1486" s="2">
        <f>Table1[[#This Row],[retained_premium]]-Table1[[#This Row],[claim_amount_paid]]</f>
        <v>1309.1407680000002</v>
      </c>
    </row>
    <row r="1487" spans="1:27" x14ac:dyDescent="0.35">
      <c r="A1487" t="s">
        <v>4500</v>
      </c>
      <c r="B1487" t="s">
        <v>4501</v>
      </c>
      <c r="C1487" t="s">
        <v>4502</v>
      </c>
      <c r="D1487" s="1">
        <v>40803</v>
      </c>
      <c r="E1487" s="1">
        <v>44338</v>
      </c>
      <c r="F1487" s="1">
        <v>44343</v>
      </c>
      <c r="G1487">
        <v>5</v>
      </c>
      <c r="H1487">
        <v>118.55</v>
      </c>
      <c r="I1487">
        <v>1422.6</v>
      </c>
      <c r="J1487">
        <v>1000</v>
      </c>
      <c r="K1487" t="s">
        <v>27</v>
      </c>
      <c r="L1487">
        <v>1000</v>
      </c>
      <c r="M1487">
        <v>4.92</v>
      </c>
      <c r="N1487" t="s">
        <v>28</v>
      </c>
      <c r="O1487">
        <v>59</v>
      </c>
      <c r="P1487">
        <v>53</v>
      </c>
      <c r="Q1487">
        <v>1</v>
      </c>
      <c r="R1487">
        <v>2</v>
      </c>
      <c r="S1487" t="s">
        <v>29</v>
      </c>
      <c r="T1487" t="s">
        <v>50</v>
      </c>
      <c r="U1487" t="s">
        <v>38</v>
      </c>
      <c r="V1487" t="s">
        <v>39</v>
      </c>
      <c r="W1487">
        <v>0</v>
      </c>
      <c r="X1487">
        <v>0</v>
      </c>
      <c r="Y1487" s="2">
        <f>Table1[[#This Row],[premium_yearly]]*Table1[[#This Row],[tenure_years]]</f>
        <v>6999.1919999999991</v>
      </c>
      <c r="Z1487" s="2">
        <f>Table1[[#This Row],[total_collected_premiums]]*(1-$AD$2)</f>
        <v>5109.4101599999995</v>
      </c>
      <c r="AA1487" s="2">
        <f>Table1[[#This Row],[retained_premium]]-Table1[[#This Row],[claim_amount_paid]]</f>
        <v>4109.4101599999995</v>
      </c>
    </row>
    <row r="1488" spans="1:27" x14ac:dyDescent="0.35">
      <c r="A1488" t="s">
        <v>4503</v>
      </c>
      <c r="B1488" t="s">
        <v>4504</v>
      </c>
      <c r="C1488" t="s">
        <v>4505</v>
      </c>
      <c r="D1488" s="1">
        <v>43510</v>
      </c>
      <c r="E1488" s="1">
        <v>44338</v>
      </c>
      <c r="F1488" s="1">
        <v>44343</v>
      </c>
      <c r="G1488">
        <v>5</v>
      </c>
      <c r="H1488">
        <v>110</v>
      </c>
      <c r="I1488">
        <v>1320</v>
      </c>
      <c r="J1488">
        <v>10000</v>
      </c>
      <c r="K1488" t="s">
        <v>27</v>
      </c>
      <c r="L1488">
        <v>10000</v>
      </c>
      <c r="M1488">
        <v>1.92</v>
      </c>
      <c r="N1488" t="s">
        <v>28</v>
      </c>
      <c r="O1488">
        <v>23</v>
      </c>
      <c r="P1488">
        <v>42</v>
      </c>
      <c r="Q1488">
        <v>1</v>
      </c>
      <c r="R1488">
        <v>2</v>
      </c>
      <c r="S1488" t="s">
        <v>29</v>
      </c>
      <c r="T1488" t="s">
        <v>50</v>
      </c>
      <c r="U1488" t="s">
        <v>31</v>
      </c>
      <c r="V1488" t="s">
        <v>39</v>
      </c>
      <c r="W1488">
        <v>1</v>
      </c>
      <c r="X1488">
        <v>1</v>
      </c>
      <c r="Y1488" s="2">
        <f>Table1[[#This Row],[premium_yearly]]*Table1[[#This Row],[tenure_years]]</f>
        <v>2534.4</v>
      </c>
      <c r="Z1488" s="2">
        <f>Table1[[#This Row],[total_collected_premiums]]*(1-$AD$2)</f>
        <v>1850.1120000000001</v>
      </c>
      <c r="AA1488" s="2">
        <f>Table1[[#This Row],[retained_premium]]-Table1[[#This Row],[claim_amount_paid]]</f>
        <v>-8149.8879999999999</v>
      </c>
    </row>
    <row r="1489" spans="1:27" x14ac:dyDescent="0.35">
      <c r="A1489" t="s">
        <v>4506</v>
      </c>
      <c r="B1489" t="s">
        <v>4507</v>
      </c>
      <c r="C1489" t="s">
        <v>4508</v>
      </c>
      <c r="D1489" s="1">
        <v>40607</v>
      </c>
      <c r="E1489" s="1">
        <v>44353</v>
      </c>
      <c r="F1489" s="1">
        <v>44353</v>
      </c>
      <c r="G1489">
        <v>0</v>
      </c>
      <c r="H1489">
        <v>75.680000000000007</v>
      </c>
      <c r="I1489">
        <v>908.16</v>
      </c>
      <c r="J1489">
        <v>7000</v>
      </c>
      <c r="K1489" t="s">
        <v>27</v>
      </c>
      <c r="L1489">
        <v>7000</v>
      </c>
      <c r="M1489">
        <v>2.92</v>
      </c>
      <c r="N1489" t="s">
        <v>28</v>
      </c>
      <c r="O1489">
        <v>35</v>
      </c>
      <c r="P1489">
        <v>46</v>
      </c>
      <c r="Q1489">
        <v>0</v>
      </c>
      <c r="R1489">
        <v>2</v>
      </c>
      <c r="S1489" t="s">
        <v>65</v>
      </c>
      <c r="T1489" t="s">
        <v>44</v>
      </c>
      <c r="U1489" t="s">
        <v>88</v>
      </c>
      <c r="V1489" t="s">
        <v>45</v>
      </c>
      <c r="W1489">
        <v>1</v>
      </c>
      <c r="X1489">
        <v>1</v>
      </c>
      <c r="Y1489" s="2">
        <f>Table1[[#This Row],[premium_yearly]]*Table1[[#This Row],[tenure_years]]</f>
        <v>2651.8271999999997</v>
      </c>
      <c r="Z1489" s="2">
        <f>Table1[[#This Row],[total_collected_premiums]]*(1-$AD$2)</f>
        <v>1935.8338559999997</v>
      </c>
      <c r="AA1489" s="2">
        <f>Table1[[#This Row],[retained_premium]]-Table1[[#This Row],[claim_amount_paid]]</f>
        <v>-5064.1661440000007</v>
      </c>
    </row>
    <row r="1490" spans="1:27" x14ac:dyDescent="0.35">
      <c r="A1490" t="s">
        <v>4509</v>
      </c>
      <c r="B1490" t="s">
        <v>4510</v>
      </c>
      <c r="C1490" t="s">
        <v>4511</v>
      </c>
      <c r="D1490" s="1">
        <v>40351</v>
      </c>
      <c r="E1490" s="1">
        <v>44349</v>
      </c>
      <c r="F1490" s="1">
        <v>44351</v>
      </c>
      <c r="G1490">
        <v>2</v>
      </c>
      <c r="H1490">
        <v>109.85</v>
      </c>
      <c r="I1490">
        <v>1318.2</v>
      </c>
      <c r="J1490">
        <v>3000</v>
      </c>
      <c r="K1490" t="s">
        <v>27</v>
      </c>
      <c r="L1490">
        <v>3000</v>
      </c>
      <c r="M1490">
        <v>1.75</v>
      </c>
      <c r="N1490" t="s">
        <v>49</v>
      </c>
      <c r="O1490">
        <v>21</v>
      </c>
      <c r="P1490">
        <v>49</v>
      </c>
      <c r="Q1490">
        <v>1</v>
      </c>
      <c r="R1490">
        <v>4</v>
      </c>
      <c r="S1490" t="s">
        <v>29</v>
      </c>
      <c r="T1490" t="s">
        <v>30</v>
      </c>
      <c r="U1490" t="s">
        <v>38</v>
      </c>
      <c r="V1490" t="s">
        <v>45</v>
      </c>
      <c r="W1490">
        <v>1</v>
      </c>
      <c r="X1490">
        <v>0</v>
      </c>
      <c r="Y1490" s="2">
        <f>Table1[[#This Row],[premium_yearly]]*Table1[[#This Row],[tenure_years]]</f>
        <v>2306.85</v>
      </c>
      <c r="Z1490" s="2">
        <f>Table1[[#This Row],[total_collected_premiums]]*(1-$AD$2)</f>
        <v>1684.0004999999999</v>
      </c>
      <c r="AA1490" s="2">
        <f>Table1[[#This Row],[retained_premium]]-Table1[[#This Row],[claim_amount_paid]]</f>
        <v>-1315.9995000000001</v>
      </c>
    </row>
    <row r="1491" spans="1:27" x14ac:dyDescent="0.35">
      <c r="A1491" t="s">
        <v>4512</v>
      </c>
      <c r="B1491" t="s">
        <v>4513</v>
      </c>
      <c r="C1491" t="s">
        <v>4514</v>
      </c>
      <c r="D1491" s="1">
        <v>40466</v>
      </c>
      <c r="E1491" s="1">
        <v>44355</v>
      </c>
      <c r="F1491" s="1">
        <v>44355</v>
      </c>
      <c r="G1491">
        <v>0</v>
      </c>
      <c r="H1491">
        <v>97.34</v>
      </c>
      <c r="I1491">
        <v>1168.08</v>
      </c>
      <c r="J1491">
        <v>7000</v>
      </c>
      <c r="K1491" t="s">
        <v>27</v>
      </c>
      <c r="L1491">
        <v>7000</v>
      </c>
      <c r="M1491">
        <v>2.5</v>
      </c>
      <c r="N1491" t="s">
        <v>28</v>
      </c>
      <c r="O1491">
        <v>30</v>
      </c>
      <c r="P1491">
        <v>64</v>
      </c>
      <c r="Q1491">
        <v>1</v>
      </c>
      <c r="R1491">
        <v>6</v>
      </c>
      <c r="S1491" t="s">
        <v>29</v>
      </c>
      <c r="T1491" t="s">
        <v>50</v>
      </c>
      <c r="U1491" t="s">
        <v>88</v>
      </c>
      <c r="V1491" t="s">
        <v>32</v>
      </c>
      <c r="W1491">
        <v>0</v>
      </c>
      <c r="X1491">
        <v>1</v>
      </c>
      <c r="Y1491" s="2">
        <f>Table1[[#This Row],[premium_yearly]]*Table1[[#This Row],[tenure_years]]</f>
        <v>2920.2</v>
      </c>
      <c r="Z1491" s="2">
        <f>Table1[[#This Row],[total_collected_premiums]]*(1-$AD$2)</f>
        <v>2131.7459999999996</v>
      </c>
      <c r="AA1491" s="2">
        <f>Table1[[#This Row],[retained_premium]]-Table1[[#This Row],[claim_amount_paid]]</f>
        <v>-4868.2540000000008</v>
      </c>
    </row>
    <row r="1492" spans="1:27" x14ac:dyDescent="0.35">
      <c r="A1492" t="s">
        <v>4515</v>
      </c>
      <c r="B1492" t="s">
        <v>4516</v>
      </c>
      <c r="C1492" t="s">
        <v>4517</v>
      </c>
      <c r="D1492" s="1">
        <v>41735</v>
      </c>
      <c r="E1492" s="1">
        <v>44351</v>
      </c>
      <c r="F1492" s="1">
        <v>44353</v>
      </c>
      <c r="G1492">
        <v>2</v>
      </c>
      <c r="H1492">
        <v>90.93</v>
      </c>
      <c r="I1492">
        <v>1091.1600000000001</v>
      </c>
      <c r="J1492">
        <v>2000</v>
      </c>
      <c r="K1492" t="s">
        <v>27</v>
      </c>
      <c r="L1492">
        <v>2000</v>
      </c>
      <c r="M1492">
        <v>3.17</v>
      </c>
      <c r="N1492" t="s">
        <v>49</v>
      </c>
      <c r="O1492">
        <v>38</v>
      </c>
      <c r="P1492">
        <v>47</v>
      </c>
      <c r="Q1492">
        <v>1</v>
      </c>
      <c r="R1492">
        <v>7</v>
      </c>
      <c r="S1492" t="s">
        <v>65</v>
      </c>
      <c r="T1492" t="s">
        <v>30</v>
      </c>
      <c r="U1492" t="s">
        <v>88</v>
      </c>
      <c r="V1492" t="s">
        <v>45</v>
      </c>
      <c r="W1492">
        <v>0</v>
      </c>
      <c r="X1492">
        <v>1</v>
      </c>
      <c r="Y1492" s="2">
        <f>Table1[[#This Row],[premium_yearly]]*Table1[[#This Row],[tenure_years]]</f>
        <v>3458.9772000000003</v>
      </c>
      <c r="Z1492" s="2">
        <f>Table1[[#This Row],[total_collected_premiums]]*(1-$AD$2)</f>
        <v>2525.0533560000003</v>
      </c>
      <c r="AA1492" s="2">
        <f>Table1[[#This Row],[retained_premium]]-Table1[[#This Row],[claim_amount_paid]]</f>
        <v>525.05335600000035</v>
      </c>
    </row>
    <row r="1493" spans="1:27" x14ac:dyDescent="0.35">
      <c r="A1493" t="s">
        <v>4518</v>
      </c>
      <c r="B1493" t="s">
        <v>4519</v>
      </c>
      <c r="C1493" t="s">
        <v>4520</v>
      </c>
      <c r="D1493" s="1">
        <v>43526</v>
      </c>
      <c r="E1493" s="1">
        <v>44339</v>
      </c>
      <c r="F1493" s="1">
        <v>44344</v>
      </c>
      <c r="G1493">
        <v>5</v>
      </c>
      <c r="H1493">
        <v>73.89</v>
      </c>
      <c r="I1493">
        <v>886.68</v>
      </c>
      <c r="J1493">
        <v>7000</v>
      </c>
      <c r="K1493" t="s">
        <v>27</v>
      </c>
      <c r="L1493">
        <v>7000</v>
      </c>
      <c r="M1493">
        <v>2.25</v>
      </c>
      <c r="N1493" t="s">
        <v>36</v>
      </c>
      <c r="O1493">
        <v>27</v>
      </c>
      <c r="P1493">
        <v>36</v>
      </c>
      <c r="Q1493">
        <v>1</v>
      </c>
      <c r="R1493">
        <v>7</v>
      </c>
      <c r="S1493" t="s">
        <v>37</v>
      </c>
      <c r="T1493" t="s">
        <v>30</v>
      </c>
      <c r="U1493" t="s">
        <v>66</v>
      </c>
      <c r="V1493" t="s">
        <v>39</v>
      </c>
      <c r="W1493">
        <v>0</v>
      </c>
      <c r="X1493">
        <v>1</v>
      </c>
      <c r="Y1493" s="2">
        <f>Table1[[#This Row],[premium_yearly]]*Table1[[#This Row],[tenure_years]]</f>
        <v>1995.03</v>
      </c>
      <c r="Z1493" s="2">
        <f>Table1[[#This Row],[total_collected_premiums]]*(1-$AD$2)</f>
        <v>1456.3718999999999</v>
      </c>
      <c r="AA1493" s="2">
        <f>Table1[[#This Row],[retained_premium]]-Table1[[#This Row],[claim_amount_paid]]</f>
        <v>-5543.6280999999999</v>
      </c>
    </row>
    <row r="1494" spans="1:27" x14ac:dyDescent="0.35">
      <c r="A1494" t="s">
        <v>4521</v>
      </c>
      <c r="B1494" t="s">
        <v>4522</v>
      </c>
      <c r="C1494" t="s">
        <v>4523</v>
      </c>
      <c r="D1494" s="1">
        <v>43082</v>
      </c>
      <c r="E1494" s="1">
        <v>44355</v>
      </c>
      <c r="F1494" s="1">
        <v>44355</v>
      </c>
      <c r="G1494">
        <v>0</v>
      </c>
      <c r="H1494">
        <v>138.97999999999999</v>
      </c>
      <c r="I1494">
        <v>1667.76</v>
      </c>
      <c r="J1494">
        <v>4000</v>
      </c>
      <c r="K1494" t="s">
        <v>27</v>
      </c>
      <c r="L1494">
        <v>4000</v>
      </c>
      <c r="M1494">
        <v>4.83</v>
      </c>
      <c r="N1494" t="s">
        <v>36</v>
      </c>
      <c r="O1494">
        <v>58</v>
      </c>
      <c r="P1494">
        <v>49</v>
      </c>
      <c r="Q1494">
        <v>1</v>
      </c>
      <c r="R1494">
        <v>3</v>
      </c>
      <c r="S1494" t="s">
        <v>29</v>
      </c>
      <c r="T1494" t="s">
        <v>30</v>
      </c>
      <c r="U1494" t="s">
        <v>58</v>
      </c>
      <c r="V1494" t="s">
        <v>32</v>
      </c>
      <c r="W1494">
        <v>0</v>
      </c>
      <c r="X1494">
        <v>0</v>
      </c>
      <c r="Y1494" s="2">
        <f>Table1[[#This Row],[premium_yearly]]*Table1[[#This Row],[tenure_years]]</f>
        <v>8055.2808000000005</v>
      </c>
      <c r="Z1494" s="2">
        <f>Table1[[#This Row],[total_collected_premiums]]*(1-$AD$2)</f>
        <v>5880.3549840000005</v>
      </c>
      <c r="AA1494" s="2">
        <f>Table1[[#This Row],[retained_premium]]-Table1[[#This Row],[claim_amount_paid]]</f>
        <v>1880.3549840000005</v>
      </c>
    </row>
    <row r="1495" spans="1:27" x14ac:dyDescent="0.35">
      <c r="A1495" t="s">
        <v>4524</v>
      </c>
      <c r="B1495" t="s">
        <v>4525</v>
      </c>
      <c r="C1495" t="s">
        <v>4526</v>
      </c>
      <c r="D1495" s="1">
        <v>41690</v>
      </c>
      <c r="E1495" s="1">
        <v>44348</v>
      </c>
      <c r="F1495" s="1">
        <v>44351</v>
      </c>
      <c r="G1495">
        <v>3</v>
      </c>
      <c r="H1495">
        <v>103.18</v>
      </c>
      <c r="I1495">
        <v>1238.1600000000001</v>
      </c>
      <c r="J1495">
        <v>9000</v>
      </c>
      <c r="K1495" t="s">
        <v>27</v>
      </c>
      <c r="L1495">
        <v>9000</v>
      </c>
      <c r="M1495">
        <v>2.83</v>
      </c>
      <c r="N1495" t="s">
        <v>28</v>
      </c>
      <c r="O1495">
        <v>34</v>
      </c>
      <c r="P1495">
        <v>27</v>
      </c>
      <c r="Q1495">
        <v>1</v>
      </c>
      <c r="R1495">
        <v>3</v>
      </c>
      <c r="S1495" t="s">
        <v>65</v>
      </c>
      <c r="T1495" t="s">
        <v>30</v>
      </c>
      <c r="U1495" t="s">
        <v>107</v>
      </c>
      <c r="V1495" t="s">
        <v>39</v>
      </c>
      <c r="W1495">
        <v>0</v>
      </c>
      <c r="X1495">
        <v>1</v>
      </c>
      <c r="Y1495" s="2">
        <f>Table1[[#This Row],[premium_yearly]]*Table1[[#This Row],[tenure_years]]</f>
        <v>3503.9928000000004</v>
      </c>
      <c r="Z1495" s="2">
        <f>Table1[[#This Row],[total_collected_premiums]]*(1-$AD$2)</f>
        <v>2557.9147440000002</v>
      </c>
      <c r="AA1495" s="2">
        <f>Table1[[#This Row],[retained_premium]]-Table1[[#This Row],[claim_amount_paid]]</f>
        <v>-6442.0852560000003</v>
      </c>
    </row>
    <row r="1496" spans="1:27" x14ac:dyDescent="0.35">
      <c r="A1496" t="s">
        <v>4527</v>
      </c>
      <c r="B1496" t="s">
        <v>4528</v>
      </c>
      <c r="C1496" t="s">
        <v>4529</v>
      </c>
      <c r="D1496" s="1">
        <v>40833</v>
      </c>
      <c r="E1496" s="1">
        <v>44348</v>
      </c>
      <c r="F1496" s="1">
        <v>44351</v>
      </c>
      <c r="G1496">
        <v>3</v>
      </c>
      <c r="H1496">
        <v>118.79</v>
      </c>
      <c r="I1496">
        <v>1425.48</v>
      </c>
      <c r="J1496">
        <v>8000</v>
      </c>
      <c r="K1496" t="s">
        <v>27</v>
      </c>
      <c r="L1496">
        <v>8000</v>
      </c>
      <c r="M1496">
        <v>9.67</v>
      </c>
      <c r="N1496" t="s">
        <v>49</v>
      </c>
      <c r="O1496">
        <v>116</v>
      </c>
      <c r="P1496">
        <v>49</v>
      </c>
      <c r="Q1496">
        <v>1</v>
      </c>
      <c r="R1496">
        <v>3</v>
      </c>
      <c r="S1496" t="s">
        <v>65</v>
      </c>
      <c r="T1496" t="s">
        <v>50</v>
      </c>
      <c r="U1496" t="s">
        <v>31</v>
      </c>
      <c r="V1496" t="s">
        <v>45</v>
      </c>
      <c r="W1496">
        <v>1</v>
      </c>
      <c r="X1496">
        <v>1</v>
      </c>
      <c r="Y1496" s="2">
        <f>Table1[[#This Row],[premium_yearly]]*Table1[[#This Row],[tenure_years]]</f>
        <v>13784.391600000001</v>
      </c>
      <c r="Z1496" s="2">
        <f>Table1[[#This Row],[total_collected_premiums]]*(1-$AD$2)</f>
        <v>10062.605868000001</v>
      </c>
      <c r="AA1496" s="2">
        <f>Table1[[#This Row],[retained_premium]]-Table1[[#This Row],[claim_amount_paid]]</f>
        <v>2062.6058680000006</v>
      </c>
    </row>
    <row r="1497" spans="1:27" x14ac:dyDescent="0.35">
      <c r="A1497" t="s">
        <v>4530</v>
      </c>
      <c r="B1497" t="s">
        <v>4531</v>
      </c>
      <c r="C1497" t="s">
        <v>4532</v>
      </c>
      <c r="D1497" s="1">
        <v>40596</v>
      </c>
      <c r="E1497" s="1">
        <v>44346</v>
      </c>
      <c r="F1497" s="1">
        <v>44351</v>
      </c>
      <c r="G1497">
        <v>5</v>
      </c>
      <c r="H1497">
        <v>122.43</v>
      </c>
      <c r="I1497">
        <v>1469.16</v>
      </c>
      <c r="J1497">
        <v>2000</v>
      </c>
      <c r="K1497" t="s">
        <v>27</v>
      </c>
      <c r="L1497">
        <v>2000</v>
      </c>
      <c r="M1497">
        <v>8.75</v>
      </c>
      <c r="N1497" t="s">
        <v>49</v>
      </c>
      <c r="O1497">
        <v>105</v>
      </c>
      <c r="P1497">
        <v>44</v>
      </c>
      <c r="Q1497">
        <v>1</v>
      </c>
      <c r="R1497">
        <v>4</v>
      </c>
      <c r="S1497" t="s">
        <v>29</v>
      </c>
      <c r="T1497" t="s">
        <v>30</v>
      </c>
      <c r="U1497" t="s">
        <v>107</v>
      </c>
      <c r="V1497" t="s">
        <v>32</v>
      </c>
      <c r="W1497">
        <v>1</v>
      </c>
      <c r="X1497">
        <v>1</v>
      </c>
      <c r="Y1497" s="2">
        <f>Table1[[#This Row],[premium_yearly]]*Table1[[#This Row],[tenure_years]]</f>
        <v>12855.150000000001</v>
      </c>
      <c r="Z1497" s="2">
        <f>Table1[[#This Row],[total_collected_premiums]]*(1-$AD$2)</f>
        <v>9384.2595000000001</v>
      </c>
      <c r="AA1497" s="2">
        <f>Table1[[#This Row],[retained_premium]]-Table1[[#This Row],[claim_amount_paid]]</f>
        <v>7384.2595000000001</v>
      </c>
    </row>
    <row r="1498" spans="1:27" x14ac:dyDescent="0.35">
      <c r="A1498" t="s">
        <v>4533</v>
      </c>
      <c r="B1498" t="s">
        <v>4534</v>
      </c>
      <c r="C1498" t="s">
        <v>4535</v>
      </c>
      <c r="D1498" s="1">
        <v>42946</v>
      </c>
      <c r="E1498" s="1">
        <v>44356</v>
      </c>
      <c r="F1498" s="1">
        <v>44356</v>
      </c>
      <c r="G1498">
        <v>0</v>
      </c>
      <c r="H1498">
        <v>71.959999999999994</v>
      </c>
      <c r="I1498">
        <v>863.52</v>
      </c>
      <c r="J1498">
        <v>4000</v>
      </c>
      <c r="K1498" t="s">
        <v>27</v>
      </c>
      <c r="L1498">
        <v>4000</v>
      </c>
      <c r="M1498">
        <v>8.42</v>
      </c>
      <c r="N1498" t="s">
        <v>36</v>
      </c>
      <c r="O1498">
        <v>101</v>
      </c>
      <c r="P1498">
        <v>38</v>
      </c>
      <c r="Q1498">
        <v>0</v>
      </c>
      <c r="R1498">
        <v>2</v>
      </c>
      <c r="S1498" t="s">
        <v>29</v>
      </c>
      <c r="T1498" t="s">
        <v>50</v>
      </c>
      <c r="U1498" t="s">
        <v>38</v>
      </c>
      <c r="V1498" t="s">
        <v>45</v>
      </c>
      <c r="W1498">
        <v>0</v>
      </c>
      <c r="X1498">
        <v>0</v>
      </c>
      <c r="Y1498" s="2">
        <f>Table1[[#This Row],[premium_yearly]]*Table1[[#This Row],[tenure_years]]</f>
        <v>7270.8383999999996</v>
      </c>
      <c r="Z1498" s="2">
        <f>Table1[[#This Row],[total_collected_premiums]]*(1-$AD$2)</f>
        <v>5307.7120319999995</v>
      </c>
      <c r="AA1498" s="2">
        <f>Table1[[#This Row],[retained_premium]]-Table1[[#This Row],[claim_amount_paid]]</f>
        <v>1307.7120319999995</v>
      </c>
    </row>
    <row r="1499" spans="1:27" x14ac:dyDescent="0.35">
      <c r="A1499" t="s">
        <v>4536</v>
      </c>
      <c r="B1499" t="s">
        <v>4537</v>
      </c>
      <c r="C1499" t="s">
        <v>4538</v>
      </c>
      <c r="D1499" s="1">
        <v>41843</v>
      </c>
      <c r="E1499" s="1">
        <v>44355</v>
      </c>
      <c r="F1499" s="1">
        <v>44355</v>
      </c>
      <c r="G1499">
        <v>0</v>
      </c>
      <c r="H1499">
        <v>82.1</v>
      </c>
      <c r="I1499">
        <v>985.2</v>
      </c>
      <c r="J1499">
        <v>8000</v>
      </c>
      <c r="K1499" t="s">
        <v>27</v>
      </c>
      <c r="L1499">
        <v>8000</v>
      </c>
      <c r="M1499">
        <v>6</v>
      </c>
      <c r="N1499" t="s">
        <v>28</v>
      </c>
      <c r="O1499">
        <v>72</v>
      </c>
      <c r="P1499">
        <v>59</v>
      </c>
      <c r="Q1499">
        <v>1</v>
      </c>
      <c r="R1499">
        <v>6</v>
      </c>
      <c r="S1499" t="s">
        <v>65</v>
      </c>
      <c r="T1499" t="s">
        <v>50</v>
      </c>
      <c r="U1499" t="s">
        <v>107</v>
      </c>
      <c r="V1499" t="s">
        <v>32</v>
      </c>
      <c r="W1499">
        <v>1</v>
      </c>
      <c r="X1499">
        <v>0</v>
      </c>
      <c r="Y1499" s="2">
        <f>Table1[[#This Row],[premium_yearly]]*Table1[[#This Row],[tenure_years]]</f>
        <v>5911.2000000000007</v>
      </c>
      <c r="Z1499" s="2">
        <f>Table1[[#This Row],[total_collected_premiums]]*(1-$AD$2)</f>
        <v>4315.1760000000004</v>
      </c>
      <c r="AA1499" s="2">
        <f>Table1[[#This Row],[retained_premium]]-Table1[[#This Row],[claim_amount_paid]]</f>
        <v>-3684.8239999999996</v>
      </c>
    </row>
    <row r="1500" spans="1:27" x14ac:dyDescent="0.35">
      <c r="A1500" t="s">
        <v>4539</v>
      </c>
      <c r="B1500" t="s">
        <v>4540</v>
      </c>
      <c r="C1500" t="s">
        <v>4541</v>
      </c>
      <c r="D1500" s="1">
        <v>42080</v>
      </c>
      <c r="E1500" s="1">
        <v>44356</v>
      </c>
      <c r="F1500" s="1">
        <v>44356</v>
      </c>
      <c r="G1500">
        <v>0</v>
      </c>
      <c r="H1500">
        <v>84.23</v>
      </c>
      <c r="I1500">
        <v>1010.76</v>
      </c>
      <c r="J1500">
        <v>10000</v>
      </c>
      <c r="K1500" t="s">
        <v>27</v>
      </c>
      <c r="L1500">
        <v>10000</v>
      </c>
      <c r="M1500">
        <v>8.42</v>
      </c>
      <c r="N1500" t="s">
        <v>28</v>
      </c>
      <c r="O1500">
        <v>101</v>
      </c>
      <c r="P1500">
        <v>34</v>
      </c>
      <c r="Q1500">
        <v>1</v>
      </c>
      <c r="R1500">
        <v>5</v>
      </c>
      <c r="S1500" t="s">
        <v>29</v>
      </c>
      <c r="T1500" t="s">
        <v>44</v>
      </c>
      <c r="U1500" t="s">
        <v>38</v>
      </c>
      <c r="V1500" t="s">
        <v>32</v>
      </c>
      <c r="W1500">
        <v>0</v>
      </c>
      <c r="X1500">
        <v>0</v>
      </c>
      <c r="Y1500" s="2">
        <f>Table1[[#This Row],[premium_yearly]]*Table1[[#This Row],[tenure_years]]</f>
        <v>8510.5992000000006</v>
      </c>
      <c r="Z1500" s="2">
        <f>Table1[[#This Row],[total_collected_premiums]]*(1-$AD$2)</f>
        <v>6212.7374159999999</v>
      </c>
      <c r="AA1500" s="2">
        <f>Table1[[#This Row],[retained_premium]]-Table1[[#This Row],[claim_amount_paid]]</f>
        <v>-3787.2625840000001</v>
      </c>
    </row>
    <row r="1501" spans="1:27" x14ac:dyDescent="0.35">
      <c r="A1501" t="s">
        <v>4542</v>
      </c>
      <c r="B1501" t="s">
        <v>4543</v>
      </c>
      <c r="C1501" t="s">
        <v>4544</v>
      </c>
      <c r="D1501" s="1">
        <v>41780</v>
      </c>
      <c r="E1501" s="1">
        <v>44339</v>
      </c>
      <c r="F1501" s="1">
        <v>44344</v>
      </c>
      <c r="G1501">
        <v>5</v>
      </c>
      <c r="H1501">
        <v>76.94</v>
      </c>
      <c r="I1501">
        <v>923.28</v>
      </c>
      <c r="J1501">
        <v>1000</v>
      </c>
      <c r="K1501" t="s">
        <v>27</v>
      </c>
      <c r="L1501">
        <v>1000</v>
      </c>
      <c r="M1501">
        <v>6.17</v>
      </c>
      <c r="N1501" t="s">
        <v>36</v>
      </c>
      <c r="O1501">
        <v>74</v>
      </c>
      <c r="P1501">
        <v>59</v>
      </c>
      <c r="Q1501">
        <v>1</v>
      </c>
      <c r="R1501">
        <v>7</v>
      </c>
      <c r="S1501" t="s">
        <v>65</v>
      </c>
      <c r="T1501" t="s">
        <v>30</v>
      </c>
      <c r="U1501" t="s">
        <v>31</v>
      </c>
      <c r="V1501" t="s">
        <v>32</v>
      </c>
      <c r="W1501">
        <v>0</v>
      </c>
      <c r="X1501">
        <v>1</v>
      </c>
      <c r="Y1501" s="2">
        <f>Table1[[#This Row],[premium_yearly]]*Table1[[#This Row],[tenure_years]]</f>
        <v>5696.6376</v>
      </c>
      <c r="Z1501" s="2">
        <f>Table1[[#This Row],[total_collected_premiums]]*(1-$AD$2)</f>
        <v>4158.5454479999999</v>
      </c>
      <c r="AA1501" s="2">
        <f>Table1[[#This Row],[retained_premium]]-Table1[[#This Row],[claim_amount_paid]]</f>
        <v>3158.5454479999999</v>
      </c>
    </row>
    <row r="1502" spans="1:27" x14ac:dyDescent="0.35">
      <c r="A1502" t="s">
        <v>4545</v>
      </c>
      <c r="B1502" t="s">
        <v>4546</v>
      </c>
      <c r="C1502" t="s">
        <v>4547</v>
      </c>
      <c r="D1502" s="1">
        <v>42678</v>
      </c>
      <c r="E1502" s="1">
        <v>44352</v>
      </c>
      <c r="F1502" s="1">
        <v>44354</v>
      </c>
      <c r="G1502">
        <v>2</v>
      </c>
      <c r="H1502">
        <v>136.91999999999999</v>
      </c>
      <c r="I1502">
        <v>1643.04</v>
      </c>
      <c r="J1502">
        <v>8000</v>
      </c>
      <c r="K1502" t="s">
        <v>27</v>
      </c>
      <c r="L1502">
        <v>8000</v>
      </c>
      <c r="M1502">
        <v>8.42</v>
      </c>
      <c r="N1502" t="s">
        <v>28</v>
      </c>
      <c r="O1502">
        <v>101</v>
      </c>
      <c r="P1502">
        <v>44</v>
      </c>
      <c r="Q1502">
        <v>0</v>
      </c>
      <c r="R1502">
        <v>6</v>
      </c>
      <c r="S1502" t="s">
        <v>29</v>
      </c>
      <c r="T1502" t="s">
        <v>44</v>
      </c>
      <c r="U1502" t="s">
        <v>38</v>
      </c>
      <c r="V1502" t="s">
        <v>32</v>
      </c>
      <c r="W1502">
        <v>0</v>
      </c>
      <c r="X1502">
        <v>1</v>
      </c>
      <c r="Y1502" s="2">
        <f>Table1[[#This Row],[premium_yearly]]*Table1[[#This Row],[tenure_years]]</f>
        <v>13834.3968</v>
      </c>
      <c r="Z1502" s="2">
        <f>Table1[[#This Row],[total_collected_premiums]]*(1-$AD$2)</f>
        <v>10099.109664</v>
      </c>
      <c r="AA1502" s="2">
        <f>Table1[[#This Row],[retained_premium]]-Table1[[#This Row],[claim_amount_paid]]</f>
        <v>2099.1096639999996</v>
      </c>
    </row>
    <row r="1503" spans="1:27" x14ac:dyDescent="0.35">
      <c r="A1503" t="s">
        <v>4548</v>
      </c>
      <c r="B1503" t="s">
        <v>4549</v>
      </c>
      <c r="C1503" t="s">
        <v>4550</v>
      </c>
      <c r="D1503" s="1">
        <v>42038</v>
      </c>
      <c r="E1503" s="1">
        <v>44358</v>
      </c>
      <c r="F1503" s="1">
        <v>44358</v>
      </c>
      <c r="G1503">
        <v>0</v>
      </c>
      <c r="H1503">
        <v>111.7</v>
      </c>
      <c r="I1503">
        <v>1340.4</v>
      </c>
      <c r="J1503">
        <v>3000</v>
      </c>
      <c r="K1503" t="s">
        <v>27</v>
      </c>
      <c r="L1503">
        <v>3000</v>
      </c>
      <c r="M1503">
        <v>6.17</v>
      </c>
      <c r="N1503" t="s">
        <v>28</v>
      </c>
      <c r="O1503">
        <v>74</v>
      </c>
      <c r="P1503">
        <v>30</v>
      </c>
      <c r="Q1503">
        <v>0</v>
      </c>
      <c r="R1503">
        <v>4</v>
      </c>
      <c r="S1503" t="s">
        <v>29</v>
      </c>
      <c r="T1503" t="s">
        <v>50</v>
      </c>
      <c r="U1503" t="s">
        <v>31</v>
      </c>
      <c r="V1503" t="s">
        <v>39</v>
      </c>
      <c r="W1503">
        <v>0</v>
      </c>
      <c r="X1503">
        <v>0</v>
      </c>
      <c r="Y1503" s="2">
        <f>Table1[[#This Row],[premium_yearly]]*Table1[[#This Row],[tenure_years]]</f>
        <v>8270.268</v>
      </c>
      <c r="Z1503" s="2">
        <f>Table1[[#This Row],[total_collected_premiums]]*(1-$AD$2)</f>
        <v>6037.2956400000003</v>
      </c>
      <c r="AA1503" s="2">
        <f>Table1[[#This Row],[retained_premium]]-Table1[[#This Row],[claim_amount_paid]]</f>
        <v>3037.2956400000003</v>
      </c>
    </row>
    <row r="1504" spans="1:27" x14ac:dyDescent="0.35">
      <c r="A1504" t="s">
        <v>4551</v>
      </c>
      <c r="B1504" t="s">
        <v>4552</v>
      </c>
      <c r="C1504" t="s">
        <v>4553</v>
      </c>
      <c r="D1504" s="1">
        <v>42658</v>
      </c>
      <c r="E1504" s="1">
        <v>44354</v>
      </c>
      <c r="F1504" s="1">
        <v>44356</v>
      </c>
      <c r="G1504">
        <v>2</v>
      </c>
      <c r="H1504">
        <v>103.72</v>
      </c>
      <c r="I1504">
        <v>1244.6400000000001</v>
      </c>
      <c r="J1504">
        <v>3000</v>
      </c>
      <c r="K1504" t="s">
        <v>27</v>
      </c>
      <c r="L1504">
        <v>3000</v>
      </c>
      <c r="M1504">
        <v>6.25</v>
      </c>
      <c r="N1504" t="s">
        <v>28</v>
      </c>
      <c r="O1504">
        <v>75</v>
      </c>
      <c r="P1504">
        <v>55</v>
      </c>
      <c r="Q1504">
        <v>1</v>
      </c>
      <c r="R1504">
        <v>7</v>
      </c>
      <c r="S1504" t="s">
        <v>29</v>
      </c>
      <c r="T1504" t="s">
        <v>44</v>
      </c>
      <c r="U1504" t="s">
        <v>51</v>
      </c>
      <c r="V1504" t="s">
        <v>39</v>
      </c>
      <c r="W1504">
        <v>1</v>
      </c>
      <c r="X1504">
        <v>1</v>
      </c>
      <c r="Y1504" s="2">
        <f>Table1[[#This Row],[premium_yearly]]*Table1[[#This Row],[tenure_years]]</f>
        <v>7779.0000000000009</v>
      </c>
      <c r="Z1504" s="2">
        <f>Table1[[#This Row],[total_collected_premiums]]*(1-$AD$2)</f>
        <v>5678.67</v>
      </c>
      <c r="AA1504" s="2">
        <f>Table1[[#This Row],[retained_premium]]-Table1[[#This Row],[claim_amount_paid]]</f>
        <v>2678.67</v>
      </c>
    </row>
    <row r="1505" spans="1:27" x14ac:dyDescent="0.35">
      <c r="A1505" t="s">
        <v>4554</v>
      </c>
      <c r="B1505" t="s">
        <v>4555</v>
      </c>
      <c r="C1505" t="s">
        <v>4556</v>
      </c>
      <c r="D1505" s="1">
        <v>43016</v>
      </c>
      <c r="E1505" s="1">
        <v>44351</v>
      </c>
      <c r="F1505" s="1">
        <v>44354</v>
      </c>
      <c r="G1505">
        <v>3</v>
      </c>
      <c r="H1505">
        <v>134.47999999999999</v>
      </c>
      <c r="I1505">
        <v>1613.76</v>
      </c>
      <c r="J1505">
        <v>3000</v>
      </c>
      <c r="K1505" t="s">
        <v>27</v>
      </c>
      <c r="L1505">
        <v>3000</v>
      </c>
      <c r="M1505">
        <v>1.67</v>
      </c>
      <c r="N1505" t="s">
        <v>28</v>
      </c>
      <c r="O1505">
        <v>20</v>
      </c>
      <c r="P1505">
        <v>54</v>
      </c>
      <c r="Q1505">
        <v>1</v>
      </c>
      <c r="R1505">
        <v>3</v>
      </c>
      <c r="S1505" t="s">
        <v>65</v>
      </c>
      <c r="T1505" t="s">
        <v>30</v>
      </c>
      <c r="U1505" t="s">
        <v>31</v>
      </c>
      <c r="V1505" t="s">
        <v>32</v>
      </c>
      <c r="W1505">
        <v>1</v>
      </c>
      <c r="X1505">
        <v>0</v>
      </c>
      <c r="Y1505" s="2">
        <f>Table1[[#This Row],[premium_yearly]]*Table1[[#This Row],[tenure_years]]</f>
        <v>2694.9791999999998</v>
      </c>
      <c r="Z1505" s="2">
        <f>Table1[[#This Row],[total_collected_premiums]]*(1-$AD$2)</f>
        <v>1967.3348159999998</v>
      </c>
      <c r="AA1505" s="2">
        <f>Table1[[#This Row],[retained_premium]]-Table1[[#This Row],[claim_amount_paid]]</f>
        <v>-1032.6651840000002</v>
      </c>
    </row>
    <row r="1506" spans="1:27" x14ac:dyDescent="0.35">
      <c r="A1506" t="s">
        <v>4557</v>
      </c>
      <c r="B1506" t="s">
        <v>4558</v>
      </c>
      <c r="C1506" t="s">
        <v>4559</v>
      </c>
      <c r="D1506" s="1">
        <v>40454</v>
      </c>
      <c r="E1506" s="1">
        <v>44358</v>
      </c>
      <c r="F1506" s="1">
        <v>44358</v>
      </c>
      <c r="G1506">
        <v>0</v>
      </c>
      <c r="H1506">
        <v>123.26</v>
      </c>
      <c r="I1506">
        <v>1479.12</v>
      </c>
      <c r="J1506">
        <v>2000</v>
      </c>
      <c r="K1506" t="s">
        <v>27</v>
      </c>
      <c r="L1506">
        <v>2000</v>
      </c>
      <c r="M1506">
        <v>4</v>
      </c>
      <c r="N1506" t="s">
        <v>49</v>
      </c>
      <c r="O1506">
        <v>48</v>
      </c>
      <c r="P1506">
        <v>37</v>
      </c>
      <c r="Q1506">
        <v>1</v>
      </c>
      <c r="R1506">
        <v>7</v>
      </c>
      <c r="S1506" t="s">
        <v>65</v>
      </c>
      <c r="T1506" t="s">
        <v>30</v>
      </c>
      <c r="U1506" t="s">
        <v>107</v>
      </c>
      <c r="V1506" t="s">
        <v>45</v>
      </c>
      <c r="W1506">
        <v>1</v>
      </c>
      <c r="X1506">
        <v>1</v>
      </c>
      <c r="Y1506" s="2">
        <f>Table1[[#This Row],[premium_yearly]]*Table1[[#This Row],[tenure_years]]</f>
        <v>5916.48</v>
      </c>
      <c r="Z1506" s="2">
        <f>Table1[[#This Row],[total_collected_premiums]]*(1-$AD$2)</f>
        <v>4319.0303999999996</v>
      </c>
      <c r="AA1506" s="2">
        <f>Table1[[#This Row],[retained_premium]]-Table1[[#This Row],[claim_amount_paid]]</f>
        <v>2319.0303999999996</v>
      </c>
    </row>
    <row r="1507" spans="1:27" x14ac:dyDescent="0.35">
      <c r="A1507" t="s">
        <v>4560</v>
      </c>
      <c r="B1507" t="s">
        <v>4561</v>
      </c>
      <c r="C1507" t="s">
        <v>4562</v>
      </c>
      <c r="D1507" s="1">
        <v>42668</v>
      </c>
      <c r="E1507" s="1">
        <v>44348</v>
      </c>
      <c r="F1507" s="1">
        <v>44353</v>
      </c>
      <c r="G1507">
        <v>5</v>
      </c>
      <c r="H1507">
        <v>111.62</v>
      </c>
      <c r="I1507">
        <v>1339.44</v>
      </c>
      <c r="J1507">
        <v>6000</v>
      </c>
      <c r="K1507" t="s">
        <v>27</v>
      </c>
      <c r="L1507">
        <v>6000</v>
      </c>
      <c r="M1507">
        <v>8</v>
      </c>
      <c r="N1507" t="s">
        <v>36</v>
      </c>
      <c r="O1507">
        <v>96</v>
      </c>
      <c r="P1507">
        <v>33</v>
      </c>
      <c r="Q1507">
        <v>0</v>
      </c>
      <c r="R1507">
        <v>4</v>
      </c>
      <c r="S1507" t="s">
        <v>29</v>
      </c>
      <c r="T1507" t="s">
        <v>44</v>
      </c>
      <c r="U1507" t="s">
        <v>38</v>
      </c>
      <c r="V1507" t="s">
        <v>45</v>
      </c>
      <c r="W1507">
        <v>1</v>
      </c>
      <c r="X1507">
        <v>1</v>
      </c>
      <c r="Y1507" s="2">
        <f>Table1[[#This Row],[premium_yearly]]*Table1[[#This Row],[tenure_years]]</f>
        <v>10715.52</v>
      </c>
      <c r="Z1507" s="2">
        <f>Table1[[#This Row],[total_collected_premiums]]*(1-$AD$2)</f>
        <v>7822.3296</v>
      </c>
      <c r="AA1507" s="2">
        <f>Table1[[#This Row],[retained_premium]]-Table1[[#This Row],[claim_amount_paid]]</f>
        <v>1822.3296</v>
      </c>
    </row>
    <row r="1508" spans="1:27" x14ac:dyDescent="0.35">
      <c r="A1508" t="s">
        <v>4563</v>
      </c>
      <c r="B1508" t="s">
        <v>4564</v>
      </c>
      <c r="C1508" t="s">
        <v>4565</v>
      </c>
      <c r="D1508" s="1">
        <v>41587</v>
      </c>
      <c r="E1508" s="1">
        <v>44347</v>
      </c>
      <c r="F1508" s="1">
        <v>44352</v>
      </c>
      <c r="G1508">
        <v>5</v>
      </c>
      <c r="H1508">
        <v>96.01</v>
      </c>
      <c r="I1508">
        <v>1152.1199999999999</v>
      </c>
      <c r="J1508">
        <v>4000</v>
      </c>
      <c r="K1508" t="s">
        <v>27</v>
      </c>
      <c r="L1508">
        <v>4000</v>
      </c>
      <c r="M1508">
        <v>2</v>
      </c>
      <c r="N1508" t="s">
        <v>36</v>
      </c>
      <c r="O1508">
        <v>24</v>
      </c>
      <c r="P1508">
        <v>32</v>
      </c>
      <c r="Q1508">
        <v>1</v>
      </c>
      <c r="R1508">
        <v>7</v>
      </c>
      <c r="S1508" t="s">
        <v>65</v>
      </c>
      <c r="T1508" t="s">
        <v>30</v>
      </c>
      <c r="U1508" t="s">
        <v>38</v>
      </c>
      <c r="V1508" t="s">
        <v>45</v>
      </c>
      <c r="W1508">
        <v>1</v>
      </c>
      <c r="X1508">
        <v>1</v>
      </c>
      <c r="Y1508" s="2">
        <f>Table1[[#This Row],[premium_yearly]]*Table1[[#This Row],[tenure_years]]</f>
        <v>2304.2399999999998</v>
      </c>
      <c r="Z1508" s="2">
        <f>Table1[[#This Row],[total_collected_premiums]]*(1-$AD$2)</f>
        <v>1682.0951999999997</v>
      </c>
      <c r="AA1508" s="2">
        <f>Table1[[#This Row],[retained_premium]]-Table1[[#This Row],[claim_amount_paid]]</f>
        <v>-2317.9048000000003</v>
      </c>
    </row>
    <row r="1509" spans="1:27" x14ac:dyDescent="0.35">
      <c r="A1509" t="s">
        <v>4566</v>
      </c>
      <c r="B1509" t="s">
        <v>4567</v>
      </c>
      <c r="C1509" t="s">
        <v>4568</v>
      </c>
      <c r="D1509" s="1">
        <v>42025</v>
      </c>
      <c r="E1509" s="1">
        <v>44359</v>
      </c>
      <c r="F1509" s="1">
        <v>44359</v>
      </c>
      <c r="G1509">
        <v>0</v>
      </c>
      <c r="H1509">
        <v>93.88</v>
      </c>
      <c r="I1509">
        <v>1126.56</v>
      </c>
      <c r="J1509">
        <v>10000</v>
      </c>
      <c r="K1509" t="s">
        <v>27</v>
      </c>
      <c r="L1509">
        <v>10000</v>
      </c>
      <c r="M1509">
        <v>0.83</v>
      </c>
      <c r="N1509" t="s">
        <v>36</v>
      </c>
      <c r="O1509">
        <v>10</v>
      </c>
      <c r="P1509">
        <v>26</v>
      </c>
      <c r="Q1509">
        <v>1</v>
      </c>
      <c r="R1509">
        <v>4</v>
      </c>
      <c r="S1509" t="s">
        <v>29</v>
      </c>
      <c r="T1509" t="s">
        <v>30</v>
      </c>
      <c r="U1509" t="s">
        <v>58</v>
      </c>
      <c r="V1509" t="s">
        <v>32</v>
      </c>
      <c r="W1509">
        <v>1</v>
      </c>
      <c r="X1509">
        <v>1</v>
      </c>
      <c r="Y1509" s="2">
        <f>Table1[[#This Row],[premium_yearly]]*Table1[[#This Row],[tenure_years]]</f>
        <v>935.0447999999999</v>
      </c>
      <c r="Z1509" s="2">
        <f>Table1[[#This Row],[total_collected_premiums]]*(1-$AD$2)</f>
        <v>682.58270399999992</v>
      </c>
      <c r="AA1509" s="2">
        <f>Table1[[#This Row],[retained_premium]]-Table1[[#This Row],[claim_amount_paid]]</f>
        <v>-9317.4172959999996</v>
      </c>
    </row>
    <row r="1510" spans="1:27" x14ac:dyDescent="0.35">
      <c r="A1510" t="s">
        <v>4569</v>
      </c>
      <c r="B1510" t="s">
        <v>4570</v>
      </c>
      <c r="C1510" t="s">
        <v>4571</v>
      </c>
      <c r="D1510" s="1">
        <v>41269</v>
      </c>
      <c r="E1510" s="1">
        <v>44345</v>
      </c>
      <c r="F1510" s="1">
        <v>44350</v>
      </c>
      <c r="G1510">
        <v>5</v>
      </c>
      <c r="H1510">
        <v>123.47</v>
      </c>
      <c r="I1510">
        <v>1481.64</v>
      </c>
      <c r="J1510">
        <v>4000</v>
      </c>
      <c r="K1510" t="s">
        <v>27</v>
      </c>
      <c r="L1510">
        <v>4000</v>
      </c>
      <c r="M1510">
        <v>5.83</v>
      </c>
      <c r="N1510" t="s">
        <v>36</v>
      </c>
      <c r="O1510">
        <v>70</v>
      </c>
      <c r="P1510">
        <v>52</v>
      </c>
      <c r="Q1510">
        <v>1</v>
      </c>
      <c r="R1510">
        <v>2</v>
      </c>
      <c r="S1510" t="s">
        <v>37</v>
      </c>
      <c r="T1510" t="s">
        <v>44</v>
      </c>
      <c r="U1510" t="s">
        <v>38</v>
      </c>
      <c r="V1510" t="s">
        <v>32</v>
      </c>
      <c r="W1510">
        <v>0</v>
      </c>
      <c r="X1510">
        <v>1</v>
      </c>
      <c r="Y1510" s="2">
        <f>Table1[[#This Row],[premium_yearly]]*Table1[[#This Row],[tenure_years]]</f>
        <v>8637.9612000000016</v>
      </c>
      <c r="Z1510" s="2">
        <f>Table1[[#This Row],[total_collected_premiums]]*(1-$AD$2)</f>
        <v>6305.7116760000008</v>
      </c>
      <c r="AA1510" s="2">
        <f>Table1[[#This Row],[retained_premium]]-Table1[[#This Row],[claim_amount_paid]]</f>
        <v>2305.7116760000008</v>
      </c>
    </row>
    <row r="1511" spans="1:27" x14ac:dyDescent="0.35">
      <c r="A1511" t="s">
        <v>4572</v>
      </c>
      <c r="B1511" t="s">
        <v>4573</v>
      </c>
      <c r="C1511" t="s">
        <v>4574</v>
      </c>
      <c r="D1511" s="1">
        <v>42979</v>
      </c>
      <c r="E1511" s="1">
        <v>44355</v>
      </c>
      <c r="F1511" s="1">
        <v>44357</v>
      </c>
      <c r="G1511">
        <v>2</v>
      </c>
      <c r="H1511">
        <v>101.9</v>
      </c>
      <c r="I1511">
        <v>1222.8</v>
      </c>
      <c r="J1511">
        <v>7000</v>
      </c>
      <c r="K1511" t="s">
        <v>27</v>
      </c>
      <c r="L1511">
        <v>7000</v>
      </c>
      <c r="M1511">
        <v>8.25</v>
      </c>
      <c r="N1511" t="s">
        <v>28</v>
      </c>
      <c r="O1511">
        <v>99</v>
      </c>
      <c r="P1511">
        <v>59</v>
      </c>
      <c r="Q1511">
        <v>1</v>
      </c>
      <c r="R1511">
        <v>6</v>
      </c>
      <c r="S1511" t="s">
        <v>29</v>
      </c>
      <c r="T1511" t="s">
        <v>50</v>
      </c>
      <c r="U1511" t="s">
        <v>38</v>
      </c>
      <c r="V1511" t="s">
        <v>45</v>
      </c>
      <c r="W1511">
        <v>1</v>
      </c>
      <c r="X1511">
        <v>0</v>
      </c>
      <c r="Y1511" s="2">
        <f>Table1[[#This Row],[premium_yearly]]*Table1[[#This Row],[tenure_years]]</f>
        <v>10088.1</v>
      </c>
      <c r="Z1511" s="2">
        <f>Table1[[#This Row],[total_collected_premiums]]*(1-$AD$2)</f>
        <v>7364.3130000000001</v>
      </c>
      <c r="AA1511" s="2">
        <f>Table1[[#This Row],[retained_premium]]-Table1[[#This Row],[claim_amount_paid]]</f>
        <v>364.3130000000001</v>
      </c>
    </row>
    <row r="1512" spans="1:27" x14ac:dyDescent="0.35">
      <c r="A1512" t="s">
        <v>4575</v>
      </c>
      <c r="B1512" t="s">
        <v>4576</v>
      </c>
      <c r="C1512" t="s">
        <v>4577</v>
      </c>
      <c r="D1512" s="1">
        <v>43131</v>
      </c>
      <c r="E1512" s="1">
        <v>44348</v>
      </c>
      <c r="F1512" s="1">
        <v>44353</v>
      </c>
      <c r="G1512">
        <v>5</v>
      </c>
      <c r="H1512">
        <v>126.7</v>
      </c>
      <c r="I1512">
        <v>1520.4</v>
      </c>
      <c r="J1512">
        <v>8000</v>
      </c>
      <c r="K1512" t="s">
        <v>27</v>
      </c>
      <c r="L1512">
        <v>8000</v>
      </c>
      <c r="M1512">
        <v>3.42</v>
      </c>
      <c r="N1512" t="s">
        <v>49</v>
      </c>
      <c r="O1512">
        <v>41</v>
      </c>
      <c r="P1512">
        <v>57</v>
      </c>
      <c r="Q1512">
        <v>1</v>
      </c>
      <c r="R1512">
        <v>7</v>
      </c>
      <c r="S1512" t="s">
        <v>29</v>
      </c>
      <c r="T1512" t="s">
        <v>50</v>
      </c>
      <c r="U1512" t="s">
        <v>66</v>
      </c>
      <c r="V1512" t="s">
        <v>32</v>
      </c>
      <c r="W1512">
        <v>1</v>
      </c>
      <c r="X1512">
        <v>1</v>
      </c>
      <c r="Y1512" s="2">
        <f>Table1[[#This Row],[premium_yearly]]*Table1[[#This Row],[tenure_years]]</f>
        <v>5199.768</v>
      </c>
      <c r="Z1512" s="2">
        <f>Table1[[#This Row],[total_collected_premiums]]*(1-$AD$2)</f>
        <v>3795.8306400000001</v>
      </c>
      <c r="AA1512" s="2">
        <f>Table1[[#This Row],[retained_premium]]-Table1[[#This Row],[claim_amount_paid]]</f>
        <v>-4204.1693599999999</v>
      </c>
    </row>
    <row r="1513" spans="1:27" x14ac:dyDescent="0.35">
      <c r="A1513" t="s">
        <v>4578</v>
      </c>
      <c r="B1513" t="s">
        <v>4579</v>
      </c>
      <c r="C1513" t="s">
        <v>4580</v>
      </c>
      <c r="D1513" s="1">
        <v>42589</v>
      </c>
      <c r="E1513" s="1">
        <v>44351</v>
      </c>
      <c r="F1513" s="1">
        <v>44356</v>
      </c>
      <c r="G1513">
        <v>5</v>
      </c>
      <c r="H1513">
        <v>88.82</v>
      </c>
      <c r="I1513">
        <v>1065.8399999999999</v>
      </c>
      <c r="J1513">
        <v>5000</v>
      </c>
      <c r="K1513" t="s">
        <v>27</v>
      </c>
      <c r="L1513">
        <v>5000</v>
      </c>
      <c r="M1513">
        <v>9.17</v>
      </c>
      <c r="N1513" t="s">
        <v>49</v>
      </c>
      <c r="O1513">
        <v>110</v>
      </c>
      <c r="P1513">
        <v>41</v>
      </c>
      <c r="Q1513">
        <v>1</v>
      </c>
      <c r="R1513">
        <v>7</v>
      </c>
      <c r="S1513" t="s">
        <v>65</v>
      </c>
      <c r="T1513" t="s">
        <v>44</v>
      </c>
      <c r="U1513" t="s">
        <v>88</v>
      </c>
      <c r="V1513" t="s">
        <v>45</v>
      </c>
      <c r="W1513">
        <v>0</v>
      </c>
      <c r="X1513">
        <v>0</v>
      </c>
      <c r="Y1513" s="2">
        <f>Table1[[#This Row],[premium_yearly]]*Table1[[#This Row],[tenure_years]]</f>
        <v>9773.7527999999984</v>
      </c>
      <c r="Z1513" s="2">
        <f>Table1[[#This Row],[total_collected_premiums]]*(1-$AD$2)</f>
        <v>7134.8395439999986</v>
      </c>
      <c r="AA1513" s="2">
        <f>Table1[[#This Row],[retained_premium]]-Table1[[#This Row],[claim_amount_paid]]</f>
        <v>2134.8395439999986</v>
      </c>
    </row>
    <row r="1514" spans="1:27" x14ac:dyDescent="0.35">
      <c r="A1514" t="s">
        <v>4581</v>
      </c>
      <c r="B1514" t="s">
        <v>4582</v>
      </c>
      <c r="C1514" t="s">
        <v>4583</v>
      </c>
      <c r="D1514" s="1">
        <v>42935</v>
      </c>
      <c r="E1514" s="1">
        <v>44348</v>
      </c>
      <c r="F1514" s="1">
        <v>44353</v>
      </c>
      <c r="G1514">
        <v>5</v>
      </c>
      <c r="H1514">
        <v>81.37</v>
      </c>
      <c r="I1514">
        <v>976.44</v>
      </c>
      <c r="J1514">
        <v>2000</v>
      </c>
      <c r="K1514" t="s">
        <v>27</v>
      </c>
      <c r="L1514">
        <v>2000</v>
      </c>
      <c r="M1514">
        <v>3.83</v>
      </c>
      <c r="N1514" t="s">
        <v>49</v>
      </c>
      <c r="O1514">
        <v>46</v>
      </c>
      <c r="P1514">
        <v>34</v>
      </c>
      <c r="Q1514">
        <v>0</v>
      </c>
      <c r="R1514">
        <v>3</v>
      </c>
      <c r="S1514" t="s">
        <v>29</v>
      </c>
      <c r="T1514" t="s">
        <v>44</v>
      </c>
      <c r="U1514" t="s">
        <v>38</v>
      </c>
      <c r="V1514" t="s">
        <v>32</v>
      </c>
      <c r="W1514">
        <v>0</v>
      </c>
      <c r="X1514">
        <v>1</v>
      </c>
      <c r="Y1514" s="2">
        <f>Table1[[#This Row],[premium_yearly]]*Table1[[#This Row],[tenure_years]]</f>
        <v>3739.7652000000003</v>
      </c>
      <c r="Z1514" s="2">
        <f>Table1[[#This Row],[total_collected_premiums]]*(1-$AD$2)</f>
        <v>2730.0285960000001</v>
      </c>
      <c r="AA1514" s="2">
        <f>Table1[[#This Row],[retained_premium]]-Table1[[#This Row],[claim_amount_paid]]</f>
        <v>730.02859600000011</v>
      </c>
    </row>
    <row r="1515" spans="1:27" x14ac:dyDescent="0.35">
      <c r="A1515" t="s">
        <v>4584</v>
      </c>
      <c r="B1515" t="s">
        <v>4585</v>
      </c>
      <c r="C1515" t="s">
        <v>4586</v>
      </c>
      <c r="D1515" s="1">
        <v>40400</v>
      </c>
      <c r="E1515" s="1">
        <v>44355</v>
      </c>
      <c r="F1515" s="1">
        <v>44357</v>
      </c>
      <c r="G1515">
        <v>2</v>
      </c>
      <c r="H1515">
        <v>119.78</v>
      </c>
      <c r="I1515">
        <v>1437.36</v>
      </c>
      <c r="J1515">
        <v>2000</v>
      </c>
      <c r="K1515" t="s">
        <v>27</v>
      </c>
      <c r="L1515">
        <v>2000</v>
      </c>
      <c r="M1515">
        <v>6.67</v>
      </c>
      <c r="N1515" t="s">
        <v>28</v>
      </c>
      <c r="O1515">
        <v>80</v>
      </c>
      <c r="P1515">
        <v>38</v>
      </c>
      <c r="Q1515">
        <v>1</v>
      </c>
      <c r="R1515">
        <v>5</v>
      </c>
      <c r="S1515" t="s">
        <v>29</v>
      </c>
      <c r="T1515" t="s">
        <v>50</v>
      </c>
      <c r="U1515" t="s">
        <v>38</v>
      </c>
      <c r="V1515" t="s">
        <v>39</v>
      </c>
      <c r="W1515">
        <v>1</v>
      </c>
      <c r="X1515">
        <v>1</v>
      </c>
      <c r="Y1515" s="2">
        <f>Table1[[#This Row],[premium_yearly]]*Table1[[#This Row],[tenure_years]]</f>
        <v>9587.1911999999993</v>
      </c>
      <c r="Z1515" s="2">
        <f>Table1[[#This Row],[total_collected_premiums]]*(1-$AD$2)</f>
        <v>6998.6495759999989</v>
      </c>
      <c r="AA1515" s="2">
        <f>Table1[[#This Row],[retained_premium]]-Table1[[#This Row],[claim_amount_paid]]</f>
        <v>4998.6495759999989</v>
      </c>
    </row>
    <row r="1516" spans="1:27" x14ac:dyDescent="0.35">
      <c r="A1516" t="s">
        <v>4587</v>
      </c>
      <c r="B1516" t="s">
        <v>4588</v>
      </c>
      <c r="C1516" t="s">
        <v>4589</v>
      </c>
      <c r="D1516" s="1">
        <v>40609</v>
      </c>
      <c r="E1516" s="1">
        <v>44351</v>
      </c>
      <c r="F1516" s="1">
        <v>44356</v>
      </c>
      <c r="G1516">
        <v>5</v>
      </c>
      <c r="H1516">
        <v>117.06</v>
      </c>
      <c r="I1516">
        <v>1404.72</v>
      </c>
      <c r="J1516">
        <v>6000</v>
      </c>
      <c r="K1516" t="s">
        <v>27</v>
      </c>
      <c r="L1516">
        <v>6000</v>
      </c>
      <c r="M1516">
        <v>2.25</v>
      </c>
      <c r="N1516" t="s">
        <v>49</v>
      </c>
      <c r="O1516">
        <v>27</v>
      </c>
      <c r="P1516">
        <v>48</v>
      </c>
      <c r="Q1516">
        <v>1</v>
      </c>
      <c r="R1516">
        <v>2</v>
      </c>
      <c r="S1516" t="s">
        <v>29</v>
      </c>
      <c r="T1516" t="s">
        <v>30</v>
      </c>
      <c r="U1516" t="s">
        <v>58</v>
      </c>
      <c r="V1516" t="s">
        <v>32</v>
      </c>
      <c r="W1516">
        <v>1</v>
      </c>
      <c r="X1516">
        <v>1</v>
      </c>
      <c r="Y1516" s="2">
        <f>Table1[[#This Row],[premium_yearly]]*Table1[[#This Row],[tenure_years]]</f>
        <v>3160.62</v>
      </c>
      <c r="Z1516" s="2">
        <f>Table1[[#This Row],[total_collected_premiums]]*(1-$AD$2)</f>
        <v>2307.2525999999998</v>
      </c>
      <c r="AA1516" s="2">
        <f>Table1[[#This Row],[retained_premium]]-Table1[[#This Row],[claim_amount_paid]]</f>
        <v>-3692.7474000000002</v>
      </c>
    </row>
    <row r="1517" spans="1:27" x14ac:dyDescent="0.35">
      <c r="A1517" t="s">
        <v>4590</v>
      </c>
      <c r="B1517" t="s">
        <v>4591</v>
      </c>
      <c r="C1517" t="s">
        <v>4592</v>
      </c>
      <c r="D1517" s="1">
        <v>41937</v>
      </c>
      <c r="E1517" s="1">
        <v>44350</v>
      </c>
      <c r="F1517" s="1">
        <v>44355</v>
      </c>
      <c r="G1517">
        <v>5</v>
      </c>
      <c r="H1517">
        <v>105.34</v>
      </c>
      <c r="I1517">
        <v>1264.08</v>
      </c>
      <c r="J1517">
        <v>1000</v>
      </c>
      <c r="K1517" t="s">
        <v>27</v>
      </c>
      <c r="L1517">
        <v>1000</v>
      </c>
      <c r="M1517">
        <v>6.58</v>
      </c>
      <c r="N1517" t="s">
        <v>28</v>
      </c>
      <c r="O1517">
        <v>79</v>
      </c>
      <c r="P1517">
        <v>44</v>
      </c>
      <c r="Q1517">
        <v>1</v>
      </c>
      <c r="R1517">
        <v>3</v>
      </c>
      <c r="S1517" t="s">
        <v>65</v>
      </c>
      <c r="T1517" t="s">
        <v>50</v>
      </c>
      <c r="U1517" t="s">
        <v>58</v>
      </c>
      <c r="V1517" t="s">
        <v>45</v>
      </c>
      <c r="W1517">
        <v>1</v>
      </c>
      <c r="X1517">
        <v>1</v>
      </c>
      <c r="Y1517" s="2">
        <f>Table1[[#This Row],[premium_yearly]]*Table1[[#This Row],[tenure_years]]</f>
        <v>8317.6463999999996</v>
      </c>
      <c r="Z1517" s="2">
        <f>Table1[[#This Row],[total_collected_premiums]]*(1-$AD$2)</f>
        <v>6071.8818719999999</v>
      </c>
      <c r="AA1517" s="2">
        <f>Table1[[#This Row],[retained_premium]]-Table1[[#This Row],[claim_amount_paid]]</f>
        <v>5071.8818719999999</v>
      </c>
    </row>
    <row r="1518" spans="1:27" x14ac:dyDescent="0.35">
      <c r="A1518" t="s">
        <v>4593</v>
      </c>
      <c r="B1518" t="s">
        <v>4594</v>
      </c>
      <c r="C1518" t="s">
        <v>4595</v>
      </c>
      <c r="D1518" s="1">
        <v>41557</v>
      </c>
      <c r="E1518" s="1">
        <v>44345</v>
      </c>
      <c r="F1518" s="1">
        <v>44350</v>
      </c>
      <c r="G1518">
        <v>5</v>
      </c>
      <c r="H1518">
        <v>117.74</v>
      </c>
      <c r="I1518">
        <v>1412.88</v>
      </c>
      <c r="J1518">
        <v>10000</v>
      </c>
      <c r="K1518" t="s">
        <v>27</v>
      </c>
      <c r="L1518">
        <v>10000</v>
      </c>
      <c r="M1518">
        <v>0.92</v>
      </c>
      <c r="N1518" t="s">
        <v>28</v>
      </c>
      <c r="O1518">
        <v>11</v>
      </c>
      <c r="P1518">
        <v>40</v>
      </c>
      <c r="Q1518">
        <v>0</v>
      </c>
      <c r="R1518">
        <v>5</v>
      </c>
      <c r="S1518" t="s">
        <v>29</v>
      </c>
      <c r="T1518" t="s">
        <v>44</v>
      </c>
      <c r="U1518" t="s">
        <v>58</v>
      </c>
      <c r="V1518" t="s">
        <v>45</v>
      </c>
      <c r="W1518">
        <v>1</v>
      </c>
      <c r="X1518">
        <v>1</v>
      </c>
      <c r="Y1518" s="2">
        <f>Table1[[#This Row],[premium_yearly]]*Table1[[#This Row],[tenure_years]]</f>
        <v>1299.8496000000002</v>
      </c>
      <c r="Z1518" s="2">
        <f>Table1[[#This Row],[total_collected_premiums]]*(1-$AD$2)</f>
        <v>948.89020800000014</v>
      </c>
      <c r="AA1518" s="2">
        <f>Table1[[#This Row],[retained_premium]]-Table1[[#This Row],[claim_amount_paid]]</f>
        <v>-9051.1097919999993</v>
      </c>
    </row>
    <row r="1519" spans="1:27" x14ac:dyDescent="0.35">
      <c r="A1519" t="s">
        <v>4596</v>
      </c>
      <c r="B1519" t="s">
        <v>4597</v>
      </c>
      <c r="C1519" t="s">
        <v>4598</v>
      </c>
      <c r="D1519" s="1">
        <v>42990</v>
      </c>
      <c r="E1519" s="1">
        <v>44360</v>
      </c>
      <c r="F1519" s="1">
        <v>44360</v>
      </c>
      <c r="G1519">
        <v>0</v>
      </c>
      <c r="H1519">
        <v>85.32</v>
      </c>
      <c r="I1519">
        <v>1023.84</v>
      </c>
      <c r="J1519">
        <v>6000</v>
      </c>
      <c r="K1519" t="s">
        <v>27</v>
      </c>
      <c r="L1519">
        <v>6000</v>
      </c>
      <c r="M1519">
        <v>6.08</v>
      </c>
      <c r="N1519" t="s">
        <v>36</v>
      </c>
      <c r="O1519">
        <v>73</v>
      </c>
      <c r="P1519">
        <v>54</v>
      </c>
      <c r="Q1519">
        <v>1</v>
      </c>
      <c r="R1519">
        <v>3</v>
      </c>
      <c r="S1519" t="s">
        <v>29</v>
      </c>
      <c r="T1519" t="s">
        <v>30</v>
      </c>
      <c r="U1519" t="s">
        <v>107</v>
      </c>
      <c r="V1519" t="s">
        <v>45</v>
      </c>
      <c r="W1519">
        <v>1</v>
      </c>
      <c r="X1519">
        <v>1</v>
      </c>
      <c r="Y1519" s="2">
        <f>Table1[[#This Row],[premium_yearly]]*Table1[[#This Row],[tenure_years]]</f>
        <v>6224.9472000000005</v>
      </c>
      <c r="Z1519" s="2">
        <f>Table1[[#This Row],[total_collected_premiums]]*(1-$AD$2)</f>
        <v>4544.211456</v>
      </c>
      <c r="AA1519" s="2">
        <f>Table1[[#This Row],[retained_premium]]-Table1[[#This Row],[claim_amount_paid]]</f>
        <v>-1455.788544</v>
      </c>
    </row>
    <row r="1520" spans="1:27" x14ac:dyDescent="0.35">
      <c r="A1520" t="s">
        <v>4599</v>
      </c>
      <c r="B1520" t="s">
        <v>4600</v>
      </c>
      <c r="C1520" t="s">
        <v>4601</v>
      </c>
      <c r="D1520" s="1">
        <v>43191</v>
      </c>
      <c r="E1520" s="1">
        <v>44358</v>
      </c>
      <c r="F1520" s="1">
        <v>44359</v>
      </c>
      <c r="G1520">
        <v>1</v>
      </c>
      <c r="H1520">
        <v>111.36</v>
      </c>
      <c r="I1520">
        <v>1336.32</v>
      </c>
      <c r="J1520">
        <v>8000</v>
      </c>
      <c r="K1520" t="s">
        <v>27</v>
      </c>
      <c r="L1520">
        <v>8000</v>
      </c>
      <c r="M1520">
        <v>1.58</v>
      </c>
      <c r="N1520" t="s">
        <v>28</v>
      </c>
      <c r="O1520">
        <v>19</v>
      </c>
      <c r="P1520">
        <v>55</v>
      </c>
      <c r="Q1520">
        <v>1</v>
      </c>
      <c r="R1520">
        <v>7</v>
      </c>
      <c r="S1520" t="s">
        <v>65</v>
      </c>
      <c r="T1520" t="s">
        <v>44</v>
      </c>
      <c r="U1520" t="s">
        <v>38</v>
      </c>
      <c r="V1520" t="s">
        <v>39</v>
      </c>
      <c r="W1520">
        <v>1</v>
      </c>
      <c r="X1520">
        <v>1</v>
      </c>
      <c r="Y1520" s="2">
        <f>Table1[[#This Row],[premium_yearly]]*Table1[[#This Row],[tenure_years]]</f>
        <v>2111.3856000000001</v>
      </c>
      <c r="Z1520" s="2">
        <f>Table1[[#This Row],[total_collected_premiums]]*(1-$AD$2)</f>
        <v>1541.3114880000001</v>
      </c>
      <c r="AA1520" s="2">
        <f>Table1[[#This Row],[retained_premium]]-Table1[[#This Row],[claim_amount_paid]]</f>
        <v>-6458.6885119999997</v>
      </c>
    </row>
    <row r="1521" spans="1:27" x14ac:dyDescent="0.35">
      <c r="A1521" t="s">
        <v>4602</v>
      </c>
      <c r="B1521" t="s">
        <v>4603</v>
      </c>
      <c r="C1521" t="s">
        <v>4604</v>
      </c>
      <c r="D1521" s="1">
        <v>40733</v>
      </c>
      <c r="E1521" s="1">
        <v>44352</v>
      </c>
      <c r="F1521" s="1">
        <v>44357</v>
      </c>
      <c r="G1521">
        <v>5</v>
      </c>
      <c r="H1521">
        <v>105.45</v>
      </c>
      <c r="I1521">
        <v>1265.4000000000001</v>
      </c>
      <c r="J1521">
        <v>8000</v>
      </c>
      <c r="K1521" t="s">
        <v>27</v>
      </c>
      <c r="L1521">
        <v>8000</v>
      </c>
      <c r="M1521">
        <v>5.75</v>
      </c>
      <c r="N1521" t="s">
        <v>49</v>
      </c>
      <c r="O1521">
        <v>69</v>
      </c>
      <c r="P1521">
        <v>29</v>
      </c>
      <c r="Q1521">
        <v>1</v>
      </c>
      <c r="R1521">
        <v>7</v>
      </c>
      <c r="S1521" t="s">
        <v>29</v>
      </c>
      <c r="T1521" t="s">
        <v>50</v>
      </c>
      <c r="U1521" t="s">
        <v>38</v>
      </c>
      <c r="V1521" t="s">
        <v>39</v>
      </c>
      <c r="W1521">
        <v>1</v>
      </c>
      <c r="X1521">
        <v>1</v>
      </c>
      <c r="Y1521" s="2">
        <f>Table1[[#This Row],[premium_yearly]]*Table1[[#This Row],[tenure_years]]</f>
        <v>7276.05</v>
      </c>
      <c r="Z1521" s="2">
        <f>Table1[[#This Row],[total_collected_premiums]]*(1-$AD$2)</f>
        <v>5311.5164999999997</v>
      </c>
      <c r="AA1521" s="2">
        <f>Table1[[#This Row],[retained_premium]]-Table1[[#This Row],[claim_amount_paid]]</f>
        <v>-2688.4835000000003</v>
      </c>
    </row>
    <row r="1522" spans="1:27" x14ac:dyDescent="0.35">
      <c r="A1522" t="s">
        <v>4605</v>
      </c>
      <c r="B1522" t="s">
        <v>4606</v>
      </c>
      <c r="C1522" t="s">
        <v>4607</v>
      </c>
      <c r="D1522" s="1">
        <v>41693</v>
      </c>
      <c r="E1522" s="1">
        <v>44352</v>
      </c>
      <c r="F1522" s="1">
        <v>44357</v>
      </c>
      <c r="G1522">
        <v>5</v>
      </c>
      <c r="H1522">
        <v>118.57</v>
      </c>
      <c r="I1522">
        <v>1422.84</v>
      </c>
      <c r="J1522">
        <v>8000</v>
      </c>
      <c r="K1522" t="s">
        <v>27</v>
      </c>
      <c r="L1522">
        <v>8000</v>
      </c>
      <c r="M1522">
        <v>4</v>
      </c>
      <c r="N1522" t="s">
        <v>49</v>
      </c>
      <c r="O1522">
        <v>48</v>
      </c>
      <c r="P1522">
        <v>50</v>
      </c>
      <c r="Q1522">
        <v>0</v>
      </c>
      <c r="R1522">
        <v>5</v>
      </c>
      <c r="S1522" t="s">
        <v>29</v>
      </c>
      <c r="T1522" t="s">
        <v>30</v>
      </c>
      <c r="U1522" t="s">
        <v>31</v>
      </c>
      <c r="V1522" t="s">
        <v>45</v>
      </c>
      <c r="W1522">
        <v>1</v>
      </c>
      <c r="X1522">
        <v>1</v>
      </c>
      <c r="Y1522" s="2">
        <f>Table1[[#This Row],[premium_yearly]]*Table1[[#This Row],[tenure_years]]</f>
        <v>5691.36</v>
      </c>
      <c r="Z1522" s="2">
        <f>Table1[[#This Row],[total_collected_premiums]]*(1-$AD$2)</f>
        <v>4154.6927999999998</v>
      </c>
      <c r="AA1522" s="2">
        <f>Table1[[#This Row],[retained_premium]]-Table1[[#This Row],[claim_amount_paid]]</f>
        <v>-3845.3072000000002</v>
      </c>
    </row>
    <row r="1523" spans="1:27" x14ac:dyDescent="0.35">
      <c r="A1523" t="s">
        <v>4608</v>
      </c>
      <c r="B1523" t="s">
        <v>4609</v>
      </c>
      <c r="C1523" t="s">
        <v>4610</v>
      </c>
      <c r="D1523" s="1">
        <v>40337</v>
      </c>
      <c r="E1523" s="1">
        <v>44354</v>
      </c>
      <c r="F1523" s="1">
        <v>44357</v>
      </c>
      <c r="G1523">
        <v>3</v>
      </c>
      <c r="H1523">
        <v>138.94</v>
      </c>
      <c r="I1523">
        <v>1667.28</v>
      </c>
      <c r="J1523">
        <v>7000</v>
      </c>
      <c r="K1523" t="s">
        <v>27</v>
      </c>
      <c r="L1523">
        <v>7000</v>
      </c>
      <c r="M1523">
        <v>4.83</v>
      </c>
      <c r="N1523" t="s">
        <v>28</v>
      </c>
      <c r="O1523">
        <v>58</v>
      </c>
      <c r="P1523">
        <v>48</v>
      </c>
      <c r="Q1523">
        <v>1</v>
      </c>
      <c r="R1523">
        <v>6</v>
      </c>
      <c r="S1523" t="s">
        <v>29</v>
      </c>
      <c r="T1523" t="s">
        <v>50</v>
      </c>
      <c r="U1523" t="s">
        <v>58</v>
      </c>
      <c r="V1523" t="s">
        <v>45</v>
      </c>
      <c r="W1523">
        <v>1</v>
      </c>
      <c r="X1523">
        <v>0</v>
      </c>
      <c r="Y1523" s="2">
        <f>Table1[[#This Row],[premium_yearly]]*Table1[[#This Row],[tenure_years]]</f>
        <v>8052.9624000000003</v>
      </c>
      <c r="Z1523" s="2">
        <f>Table1[[#This Row],[total_collected_premiums]]*(1-$AD$2)</f>
        <v>5878.6625519999998</v>
      </c>
      <c r="AA1523" s="2">
        <f>Table1[[#This Row],[retained_premium]]-Table1[[#This Row],[claim_amount_paid]]</f>
        <v>-1121.3374480000002</v>
      </c>
    </row>
    <row r="1524" spans="1:27" x14ac:dyDescent="0.35">
      <c r="A1524" t="s">
        <v>4611</v>
      </c>
      <c r="B1524" t="s">
        <v>4612</v>
      </c>
      <c r="C1524" t="s">
        <v>4613</v>
      </c>
      <c r="D1524" s="1">
        <v>43223</v>
      </c>
      <c r="E1524" s="1">
        <v>44353</v>
      </c>
      <c r="F1524" s="1">
        <v>44358</v>
      </c>
      <c r="G1524">
        <v>5</v>
      </c>
      <c r="H1524">
        <v>133.22999999999999</v>
      </c>
      <c r="I1524">
        <v>1598.76</v>
      </c>
      <c r="J1524">
        <v>2000</v>
      </c>
      <c r="K1524" t="s">
        <v>43</v>
      </c>
      <c r="L1524">
        <v>0</v>
      </c>
      <c r="M1524">
        <v>9.17</v>
      </c>
      <c r="N1524" t="s">
        <v>49</v>
      </c>
      <c r="O1524">
        <v>110</v>
      </c>
      <c r="P1524">
        <v>29</v>
      </c>
      <c r="Q1524">
        <v>1</v>
      </c>
      <c r="R1524">
        <v>5</v>
      </c>
      <c r="S1524" t="s">
        <v>37</v>
      </c>
      <c r="T1524" t="s">
        <v>30</v>
      </c>
      <c r="U1524" t="s">
        <v>38</v>
      </c>
      <c r="V1524" t="s">
        <v>45</v>
      </c>
      <c r="W1524">
        <v>1</v>
      </c>
      <c r="X1524">
        <v>1</v>
      </c>
      <c r="Y1524" s="2">
        <f>Table1[[#This Row],[premium_yearly]]*Table1[[#This Row],[tenure_years]]</f>
        <v>14660.629199999999</v>
      </c>
      <c r="Z1524" s="2">
        <f>Table1[[#This Row],[total_collected_premiums]]*(1-$AD$2)</f>
        <v>10702.259316</v>
      </c>
      <c r="AA1524" s="2">
        <f>Table1[[#This Row],[retained_premium]]-Table1[[#This Row],[claim_amount_paid]]</f>
        <v>10702.259316</v>
      </c>
    </row>
    <row r="1525" spans="1:27" x14ac:dyDescent="0.35">
      <c r="A1525" t="s">
        <v>4614</v>
      </c>
      <c r="B1525" t="s">
        <v>4615</v>
      </c>
      <c r="C1525" t="s">
        <v>4616</v>
      </c>
      <c r="D1525" s="1">
        <v>41223</v>
      </c>
      <c r="E1525" s="1">
        <v>44357</v>
      </c>
      <c r="F1525" s="1">
        <v>44359</v>
      </c>
      <c r="G1525">
        <v>2</v>
      </c>
      <c r="H1525">
        <v>116.57</v>
      </c>
      <c r="I1525">
        <v>1398.84</v>
      </c>
      <c r="J1525">
        <v>3000</v>
      </c>
      <c r="K1525" t="s">
        <v>27</v>
      </c>
      <c r="L1525">
        <v>3000</v>
      </c>
      <c r="M1525">
        <v>7.75</v>
      </c>
      <c r="N1525" t="s">
        <v>36</v>
      </c>
      <c r="O1525">
        <v>93</v>
      </c>
      <c r="P1525">
        <v>56</v>
      </c>
      <c r="Q1525">
        <v>1</v>
      </c>
      <c r="R1525">
        <v>3</v>
      </c>
      <c r="S1525" t="s">
        <v>29</v>
      </c>
      <c r="T1525" t="s">
        <v>30</v>
      </c>
      <c r="U1525" t="s">
        <v>58</v>
      </c>
      <c r="V1525" t="s">
        <v>32</v>
      </c>
      <c r="W1525">
        <v>0</v>
      </c>
      <c r="X1525">
        <v>1</v>
      </c>
      <c r="Y1525" s="2">
        <f>Table1[[#This Row],[premium_yearly]]*Table1[[#This Row],[tenure_years]]</f>
        <v>10841.01</v>
      </c>
      <c r="Z1525" s="2">
        <f>Table1[[#This Row],[total_collected_premiums]]*(1-$AD$2)</f>
        <v>7913.9372999999996</v>
      </c>
      <c r="AA1525" s="2">
        <f>Table1[[#This Row],[retained_premium]]-Table1[[#This Row],[claim_amount_paid]]</f>
        <v>4913.9372999999996</v>
      </c>
    </row>
    <row r="1526" spans="1:27" x14ac:dyDescent="0.35">
      <c r="A1526" t="s">
        <v>4617</v>
      </c>
      <c r="B1526" t="s">
        <v>4618</v>
      </c>
      <c r="C1526" t="s">
        <v>4619</v>
      </c>
      <c r="D1526" s="1">
        <v>42225</v>
      </c>
      <c r="E1526" s="1">
        <v>44354</v>
      </c>
      <c r="F1526" s="1">
        <v>44357</v>
      </c>
      <c r="G1526">
        <v>3</v>
      </c>
      <c r="H1526">
        <v>101.46</v>
      </c>
      <c r="I1526">
        <v>1217.52</v>
      </c>
      <c r="J1526">
        <v>10000</v>
      </c>
      <c r="K1526" t="s">
        <v>27</v>
      </c>
      <c r="L1526">
        <v>10000</v>
      </c>
      <c r="M1526">
        <v>4.33</v>
      </c>
      <c r="N1526" t="s">
        <v>36</v>
      </c>
      <c r="O1526">
        <v>52</v>
      </c>
      <c r="P1526">
        <v>39</v>
      </c>
      <c r="Q1526">
        <v>1</v>
      </c>
      <c r="R1526">
        <v>2</v>
      </c>
      <c r="S1526" t="s">
        <v>29</v>
      </c>
      <c r="T1526" t="s">
        <v>30</v>
      </c>
      <c r="U1526" t="s">
        <v>58</v>
      </c>
      <c r="V1526" t="s">
        <v>39</v>
      </c>
      <c r="W1526">
        <v>1</v>
      </c>
      <c r="X1526">
        <v>1</v>
      </c>
      <c r="Y1526" s="2">
        <f>Table1[[#This Row],[premium_yearly]]*Table1[[#This Row],[tenure_years]]</f>
        <v>5271.8616000000002</v>
      </c>
      <c r="Z1526" s="2">
        <f>Table1[[#This Row],[total_collected_premiums]]*(1-$AD$2)</f>
        <v>3848.4589679999999</v>
      </c>
      <c r="AA1526" s="2">
        <f>Table1[[#This Row],[retained_premium]]-Table1[[#This Row],[claim_amount_paid]]</f>
        <v>-6151.5410320000001</v>
      </c>
    </row>
    <row r="1527" spans="1:27" x14ac:dyDescent="0.35">
      <c r="A1527" t="s">
        <v>4620</v>
      </c>
      <c r="B1527" t="s">
        <v>4621</v>
      </c>
      <c r="C1527" t="s">
        <v>4622</v>
      </c>
      <c r="D1527" s="1">
        <v>40659</v>
      </c>
      <c r="E1527" s="1">
        <v>44361</v>
      </c>
      <c r="F1527" s="1">
        <v>44361</v>
      </c>
      <c r="G1527">
        <v>0</v>
      </c>
      <c r="H1527">
        <v>97.43</v>
      </c>
      <c r="I1527">
        <v>1169.1600000000001</v>
      </c>
      <c r="J1527">
        <v>10000</v>
      </c>
      <c r="K1527" t="s">
        <v>27</v>
      </c>
      <c r="L1527">
        <v>10000</v>
      </c>
      <c r="M1527">
        <v>6</v>
      </c>
      <c r="N1527" t="s">
        <v>36</v>
      </c>
      <c r="O1527">
        <v>72</v>
      </c>
      <c r="P1527">
        <v>38</v>
      </c>
      <c r="Q1527">
        <v>0</v>
      </c>
      <c r="R1527">
        <v>7</v>
      </c>
      <c r="S1527" t="s">
        <v>29</v>
      </c>
      <c r="T1527" t="s">
        <v>44</v>
      </c>
      <c r="U1527" t="s">
        <v>66</v>
      </c>
      <c r="V1527" t="s">
        <v>39</v>
      </c>
      <c r="W1527">
        <v>0</v>
      </c>
      <c r="X1527">
        <v>1</v>
      </c>
      <c r="Y1527" s="2">
        <f>Table1[[#This Row],[premium_yearly]]*Table1[[#This Row],[tenure_years]]</f>
        <v>7014.9600000000009</v>
      </c>
      <c r="Z1527" s="2">
        <f>Table1[[#This Row],[total_collected_premiums]]*(1-$AD$2)</f>
        <v>5120.9208000000008</v>
      </c>
      <c r="AA1527" s="2">
        <f>Table1[[#This Row],[retained_premium]]-Table1[[#This Row],[claim_amount_paid]]</f>
        <v>-4879.0791999999992</v>
      </c>
    </row>
    <row r="1528" spans="1:27" x14ac:dyDescent="0.35">
      <c r="A1528" t="s">
        <v>4623</v>
      </c>
      <c r="B1528" t="s">
        <v>4624</v>
      </c>
      <c r="C1528" t="s">
        <v>4625</v>
      </c>
      <c r="D1528" s="1">
        <v>40365</v>
      </c>
      <c r="E1528" s="1">
        <v>44360</v>
      </c>
      <c r="F1528" s="1">
        <v>44361</v>
      </c>
      <c r="G1528">
        <v>1</v>
      </c>
      <c r="H1528">
        <v>94.84</v>
      </c>
      <c r="I1528">
        <v>1138.08</v>
      </c>
      <c r="J1528">
        <v>2000</v>
      </c>
      <c r="K1528" t="s">
        <v>27</v>
      </c>
      <c r="L1528">
        <v>2000</v>
      </c>
      <c r="M1528">
        <v>0.92</v>
      </c>
      <c r="N1528" t="s">
        <v>36</v>
      </c>
      <c r="O1528">
        <v>11</v>
      </c>
      <c r="P1528">
        <v>45</v>
      </c>
      <c r="Q1528">
        <v>1</v>
      </c>
      <c r="R1528">
        <v>2</v>
      </c>
      <c r="S1528" t="s">
        <v>65</v>
      </c>
      <c r="T1528" t="s">
        <v>30</v>
      </c>
      <c r="U1528" t="s">
        <v>107</v>
      </c>
      <c r="V1528" t="s">
        <v>32</v>
      </c>
      <c r="W1528">
        <v>0</v>
      </c>
      <c r="X1528">
        <v>1</v>
      </c>
      <c r="Y1528" s="2">
        <f>Table1[[#This Row],[premium_yearly]]*Table1[[#This Row],[tenure_years]]</f>
        <v>1047.0336</v>
      </c>
      <c r="Z1528" s="2">
        <f>Table1[[#This Row],[total_collected_premiums]]*(1-$AD$2)</f>
        <v>764.33452799999998</v>
      </c>
      <c r="AA1528" s="2">
        <f>Table1[[#This Row],[retained_premium]]-Table1[[#This Row],[claim_amount_paid]]</f>
        <v>-1235.6654720000001</v>
      </c>
    </row>
    <row r="1529" spans="1:27" x14ac:dyDescent="0.35">
      <c r="A1529" t="s">
        <v>4626</v>
      </c>
      <c r="B1529" t="s">
        <v>4627</v>
      </c>
      <c r="C1529" t="s">
        <v>4628</v>
      </c>
      <c r="D1529" s="1">
        <v>41862</v>
      </c>
      <c r="E1529" s="1">
        <v>44357</v>
      </c>
      <c r="F1529" s="1">
        <v>44360</v>
      </c>
      <c r="G1529">
        <v>3</v>
      </c>
      <c r="H1529">
        <v>115.42</v>
      </c>
      <c r="I1529">
        <v>1385.04</v>
      </c>
      <c r="J1529">
        <v>2000</v>
      </c>
      <c r="K1529" t="s">
        <v>27</v>
      </c>
      <c r="L1529">
        <v>2000</v>
      </c>
      <c r="M1529">
        <v>6.25</v>
      </c>
      <c r="N1529" t="s">
        <v>28</v>
      </c>
      <c r="O1529">
        <v>75</v>
      </c>
      <c r="P1529">
        <v>37</v>
      </c>
      <c r="Q1529">
        <v>1</v>
      </c>
      <c r="R1529">
        <v>3</v>
      </c>
      <c r="S1529" t="s">
        <v>65</v>
      </c>
      <c r="T1529" t="s">
        <v>30</v>
      </c>
      <c r="U1529" t="s">
        <v>31</v>
      </c>
      <c r="V1529" t="s">
        <v>45</v>
      </c>
      <c r="W1529">
        <v>1</v>
      </c>
      <c r="X1529">
        <v>1</v>
      </c>
      <c r="Y1529" s="2">
        <f>Table1[[#This Row],[premium_yearly]]*Table1[[#This Row],[tenure_years]]</f>
        <v>8656.5</v>
      </c>
      <c r="Z1529" s="2">
        <f>Table1[[#This Row],[total_collected_premiums]]*(1-$AD$2)</f>
        <v>6319.2449999999999</v>
      </c>
      <c r="AA1529" s="2">
        <f>Table1[[#This Row],[retained_premium]]-Table1[[#This Row],[claim_amount_paid]]</f>
        <v>4319.2449999999999</v>
      </c>
    </row>
    <row r="1530" spans="1:27" x14ac:dyDescent="0.35">
      <c r="A1530" t="s">
        <v>4629</v>
      </c>
      <c r="B1530" t="s">
        <v>4630</v>
      </c>
      <c r="C1530" t="s">
        <v>4631</v>
      </c>
      <c r="D1530" s="1">
        <v>43434</v>
      </c>
      <c r="E1530" s="1">
        <v>44361</v>
      </c>
      <c r="F1530" s="1">
        <v>44362</v>
      </c>
      <c r="G1530">
        <v>1</v>
      </c>
      <c r="H1530">
        <v>74.73</v>
      </c>
      <c r="I1530">
        <v>896.76</v>
      </c>
      <c r="J1530">
        <v>10000</v>
      </c>
      <c r="K1530" t="s">
        <v>27</v>
      </c>
      <c r="L1530">
        <v>10000</v>
      </c>
      <c r="M1530">
        <v>1.25</v>
      </c>
      <c r="N1530" t="s">
        <v>28</v>
      </c>
      <c r="O1530">
        <v>15</v>
      </c>
      <c r="P1530">
        <v>27</v>
      </c>
      <c r="Q1530">
        <v>0</v>
      </c>
      <c r="R1530">
        <v>6</v>
      </c>
      <c r="S1530" t="s">
        <v>65</v>
      </c>
      <c r="T1530" t="s">
        <v>44</v>
      </c>
      <c r="U1530" t="s">
        <v>38</v>
      </c>
      <c r="V1530" t="s">
        <v>45</v>
      </c>
      <c r="W1530">
        <v>1</v>
      </c>
      <c r="X1530">
        <v>1</v>
      </c>
      <c r="Y1530" s="2">
        <f>Table1[[#This Row],[premium_yearly]]*Table1[[#This Row],[tenure_years]]</f>
        <v>1120.95</v>
      </c>
      <c r="Z1530" s="2">
        <f>Table1[[#This Row],[total_collected_premiums]]*(1-$AD$2)</f>
        <v>818.29349999999999</v>
      </c>
      <c r="AA1530" s="2">
        <f>Table1[[#This Row],[retained_premium]]-Table1[[#This Row],[claim_amount_paid]]</f>
        <v>-9181.7065000000002</v>
      </c>
    </row>
    <row r="1531" spans="1:27" x14ac:dyDescent="0.35">
      <c r="A1531" t="s">
        <v>4632</v>
      </c>
      <c r="B1531" t="s">
        <v>4633</v>
      </c>
      <c r="C1531" t="s">
        <v>4634</v>
      </c>
      <c r="D1531" s="1">
        <v>41198</v>
      </c>
      <c r="E1531" s="1">
        <v>44357</v>
      </c>
      <c r="F1531" s="1">
        <v>44360</v>
      </c>
      <c r="G1531">
        <v>3</v>
      </c>
      <c r="H1531">
        <v>129.47999999999999</v>
      </c>
      <c r="I1531">
        <v>1553.76</v>
      </c>
      <c r="J1531">
        <v>8000</v>
      </c>
      <c r="K1531" t="s">
        <v>27</v>
      </c>
      <c r="L1531">
        <v>8000</v>
      </c>
      <c r="M1531">
        <v>2</v>
      </c>
      <c r="N1531" t="s">
        <v>28</v>
      </c>
      <c r="O1531">
        <v>24</v>
      </c>
      <c r="P1531">
        <v>25</v>
      </c>
      <c r="Q1531">
        <v>0</v>
      </c>
      <c r="R1531">
        <v>6</v>
      </c>
      <c r="S1531" t="s">
        <v>37</v>
      </c>
      <c r="T1531" t="s">
        <v>30</v>
      </c>
      <c r="U1531" t="s">
        <v>31</v>
      </c>
      <c r="V1531" t="s">
        <v>45</v>
      </c>
      <c r="W1531">
        <v>0</v>
      </c>
      <c r="X1531">
        <v>1</v>
      </c>
      <c r="Y1531" s="2">
        <f>Table1[[#This Row],[premium_yearly]]*Table1[[#This Row],[tenure_years]]</f>
        <v>3107.52</v>
      </c>
      <c r="Z1531" s="2">
        <f>Table1[[#This Row],[total_collected_premiums]]*(1-$AD$2)</f>
        <v>2268.4895999999999</v>
      </c>
      <c r="AA1531" s="2">
        <f>Table1[[#This Row],[retained_premium]]-Table1[[#This Row],[claim_amount_paid]]</f>
        <v>-5731.5104000000001</v>
      </c>
    </row>
    <row r="1532" spans="1:27" x14ac:dyDescent="0.35">
      <c r="A1532" t="s">
        <v>4635</v>
      </c>
      <c r="B1532" t="s">
        <v>4636</v>
      </c>
      <c r="C1532" t="s">
        <v>4637</v>
      </c>
      <c r="D1532" s="1">
        <v>43254</v>
      </c>
      <c r="E1532" s="1">
        <v>44349</v>
      </c>
      <c r="F1532" s="1">
        <v>44354</v>
      </c>
      <c r="G1532">
        <v>5</v>
      </c>
      <c r="H1532">
        <v>135.99</v>
      </c>
      <c r="I1532">
        <v>1631.88</v>
      </c>
      <c r="J1532">
        <v>9000</v>
      </c>
      <c r="K1532" t="s">
        <v>27</v>
      </c>
      <c r="L1532">
        <v>9000</v>
      </c>
      <c r="M1532">
        <v>6.67</v>
      </c>
      <c r="N1532" t="s">
        <v>28</v>
      </c>
      <c r="O1532">
        <v>80</v>
      </c>
      <c r="P1532">
        <v>62</v>
      </c>
      <c r="Q1532">
        <v>0</v>
      </c>
      <c r="R1532">
        <v>6</v>
      </c>
      <c r="S1532" t="s">
        <v>65</v>
      </c>
      <c r="T1532" t="s">
        <v>50</v>
      </c>
      <c r="U1532" t="s">
        <v>38</v>
      </c>
      <c r="V1532" t="s">
        <v>39</v>
      </c>
      <c r="W1532">
        <v>1</v>
      </c>
      <c r="X1532">
        <v>1</v>
      </c>
      <c r="Y1532" s="2">
        <f>Table1[[#This Row],[premium_yearly]]*Table1[[#This Row],[tenure_years]]</f>
        <v>10884.6396</v>
      </c>
      <c r="Z1532" s="2">
        <f>Table1[[#This Row],[total_collected_premiums]]*(1-$AD$2)</f>
        <v>7945.786908</v>
      </c>
      <c r="AA1532" s="2">
        <f>Table1[[#This Row],[retained_premium]]-Table1[[#This Row],[claim_amount_paid]]</f>
        <v>-1054.213092</v>
      </c>
    </row>
    <row r="1533" spans="1:27" x14ac:dyDescent="0.35">
      <c r="A1533" t="s">
        <v>4638</v>
      </c>
      <c r="B1533" t="s">
        <v>4639</v>
      </c>
      <c r="C1533" t="s">
        <v>4640</v>
      </c>
      <c r="D1533" s="1">
        <v>42222</v>
      </c>
      <c r="E1533" s="1">
        <v>44360</v>
      </c>
      <c r="F1533" s="1">
        <v>44361</v>
      </c>
      <c r="G1533">
        <v>1</v>
      </c>
      <c r="H1533">
        <v>133.84</v>
      </c>
      <c r="I1533">
        <v>1606.08</v>
      </c>
      <c r="J1533">
        <v>5000</v>
      </c>
      <c r="K1533" t="s">
        <v>27</v>
      </c>
      <c r="L1533">
        <v>5000</v>
      </c>
      <c r="M1533">
        <v>7.83</v>
      </c>
      <c r="N1533" t="s">
        <v>49</v>
      </c>
      <c r="O1533">
        <v>94</v>
      </c>
      <c r="P1533">
        <v>48</v>
      </c>
      <c r="Q1533">
        <v>1</v>
      </c>
      <c r="R1533">
        <v>4</v>
      </c>
      <c r="S1533" t="s">
        <v>29</v>
      </c>
      <c r="T1533" t="s">
        <v>44</v>
      </c>
      <c r="U1533" t="s">
        <v>38</v>
      </c>
      <c r="V1533" t="s">
        <v>32</v>
      </c>
      <c r="W1533">
        <v>1</v>
      </c>
      <c r="X1533">
        <v>0</v>
      </c>
      <c r="Y1533" s="2">
        <f>Table1[[#This Row],[premium_yearly]]*Table1[[#This Row],[tenure_years]]</f>
        <v>12575.606399999999</v>
      </c>
      <c r="Z1533" s="2">
        <f>Table1[[#This Row],[total_collected_premiums]]*(1-$AD$2)</f>
        <v>9180.1926719999992</v>
      </c>
      <c r="AA1533" s="2">
        <f>Table1[[#This Row],[retained_premium]]-Table1[[#This Row],[claim_amount_paid]]</f>
        <v>4180.1926719999992</v>
      </c>
    </row>
    <row r="1534" spans="1:27" x14ac:dyDescent="0.35">
      <c r="A1534" t="s">
        <v>4641</v>
      </c>
      <c r="B1534" t="s">
        <v>4642</v>
      </c>
      <c r="C1534" t="s">
        <v>4643</v>
      </c>
      <c r="D1534" s="1">
        <v>41055</v>
      </c>
      <c r="E1534" s="1">
        <v>44351</v>
      </c>
      <c r="F1534" s="1">
        <v>44356</v>
      </c>
      <c r="G1534">
        <v>5</v>
      </c>
      <c r="H1534">
        <v>86.59</v>
      </c>
      <c r="I1534">
        <v>1039.08</v>
      </c>
      <c r="J1534">
        <v>4000</v>
      </c>
      <c r="K1534" t="s">
        <v>27</v>
      </c>
      <c r="L1534">
        <v>4000</v>
      </c>
      <c r="M1534">
        <v>0.67</v>
      </c>
      <c r="N1534" t="s">
        <v>36</v>
      </c>
      <c r="O1534">
        <v>8</v>
      </c>
      <c r="P1534">
        <v>56</v>
      </c>
      <c r="Q1534">
        <v>1</v>
      </c>
      <c r="R1534">
        <v>3</v>
      </c>
      <c r="S1534" t="s">
        <v>29</v>
      </c>
      <c r="T1534" t="s">
        <v>30</v>
      </c>
      <c r="U1534" t="s">
        <v>31</v>
      </c>
      <c r="V1534" t="s">
        <v>32</v>
      </c>
      <c r="W1534">
        <v>1</v>
      </c>
      <c r="X1534">
        <v>1</v>
      </c>
      <c r="Y1534" s="2">
        <f>Table1[[#This Row],[premium_yearly]]*Table1[[#This Row],[tenure_years]]</f>
        <v>696.18359999999996</v>
      </c>
      <c r="Z1534" s="2">
        <f>Table1[[#This Row],[total_collected_premiums]]*(1-$AD$2)</f>
        <v>508.21402799999993</v>
      </c>
      <c r="AA1534" s="2">
        <f>Table1[[#This Row],[retained_premium]]-Table1[[#This Row],[claim_amount_paid]]</f>
        <v>-3491.7859720000001</v>
      </c>
    </row>
    <row r="1535" spans="1:27" x14ac:dyDescent="0.35">
      <c r="A1535" t="s">
        <v>4644</v>
      </c>
      <c r="B1535" t="s">
        <v>4645</v>
      </c>
      <c r="C1535" t="s">
        <v>4646</v>
      </c>
      <c r="D1535" s="1">
        <v>40637</v>
      </c>
      <c r="E1535" s="1">
        <v>44349</v>
      </c>
      <c r="F1535" s="1">
        <v>44354</v>
      </c>
      <c r="G1535">
        <v>5</v>
      </c>
      <c r="H1535">
        <v>89.08</v>
      </c>
      <c r="I1535">
        <v>1068.96</v>
      </c>
      <c r="J1535">
        <v>10000</v>
      </c>
      <c r="K1535" t="s">
        <v>27</v>
      </c>
      <c r="L1535">
        <v>10000</v>
      </c>
      <c r="M1535">
        <v>1.33</v>
      </c>
      <c r="N1535" t="s">
        <v>36</v>
      </c>
      <c r="O1535">
        <v>16</v>
      </c>
      <c r="P1535">
        <v>64</v>
      </c>
      <c r="Q1535">
        <v>1</v>
      </c>
      <c r="R1535">
        <v>5</v>
      </c>
      <c r="S1535" t="s">
        <v>29</v>
      </c>
      <c r="T1535" t="s">
        <v>30</v>
      </c>
      <c r="U1535" t="s">
        <v>66</v>
      </c>
      <c r="V1535" t="s">
        <v>39</v>
      </c>
      <c r="W1535">
        <v>0</v>
      </c>
      <c r="X1535">
        <v>0</v>
      </c>
      <c r="Y1535" s="2">
        <f>Table1[[#This Row],[premium_yearly]]*Table1[[#This Row],[tenure_years]]</f>
        <v>1421.7168000000001</v>
      </c>
      <c r="Z1535" s="2">
        <f>Table1[[#This Row],[total_collected_premiums]]*(1-$AD$2)</f>
        <v>1037.8532640000001</v>
      </c>
      <c r="AA1535" s="2">
        <f>Table1[[#This Row],[retained_premium]]-Table1[[#This Row],[claim_amount_paid]]</f>
        <v>-8962.1467360000006</v>
      </c>
    </row>
    <row r="1536" spans="1:27" x14ac:dyDescent="0.35">
      <c r="A1536" t="s">
        <v>4647</v>
      </c>
      <c r="B1536" t="s">
        <v>4648</v>
      </c>
      <c r="C1536" t="s">
        <v>4649</v>
      </c>
      <c r="D1536" s="1">
        <v>43673</v>
      </c>
      <c r="E1536" s="1">
        <v>44354</v>
      </c>
      <c r="F1536" s="1">
        <v>44359</v>
      </c>
      <c r="G1536">
        <v>5</v>
      </c>
      <c r="H1536">
        <v>85.07</v>
      </c>
      <c r="I1536">
        <v>1020.84</v>
      </c>
      <c r="J1536">
        <v>5000</v>
      </c>
      <c r="K1536" t="s">
        <v>27</v>
      </c>
      <c r="L1536">
        <v>5000</v>
      </c>
      <c r="M1536">
        <v>7.08</v>
      </c>
      <c r="N1536" t="s">
        <v>28</v>
      </c>
      <c r="O1536">
        <v>85</v>
      </c>
      <c r="P1536">
        <v>60</v>
      </c>
      <c r="Q1536">
        <v>0</v>
      </c>
      <c r="R1536">
        <v>5</v>
      </c>
      <c r="S1536" t="s">
        <v>65</v>
      </c>
      <c r="T1536" t="s">
        <v>50</v>
      </c>
      <c r="U1536" t="s">
        <v>31</v>
      </c>
      <c r="V1536" t="s">
        <v>39</v>
      </c>
      <c r="W1536">
        <v>0</v>
      </c>
      <c r="X1536">
        <v>1</v>
      </c>
      <c r="Y1536" s="2">
        <f>Table1[[#This Row],[premium_yearly]]*Table1[[#This Row],[tenure_years]]</f>
        <v>7227.5472</v>
      </c>
      <c r="Z1536" s="2">
        <f>Table1[[#This Row],[total_collected_premiums]]*(1-$AD$2)</f>
        <v>5276.1094560000001</v>
      </c>
      <c r="AA1536" s="2">
        <f>Table1[[#This Row],[retained_premium]]-Table1[[#This Row],[claim_amount_paid]]</f>
        <v>276.10945600000014</v>
      </c>
    </row>
    <row r="1537" spans="1:27" x14ac:dyDescent="0.35">
      <c r="A1537" t="s">
        <v>4650</v>
      </c>
      <c r="B1537" t="s">
        <v>4651</v>
      </c>
      <c r="C1537" t="s">
        <v>4652</v>
      </c>
      <c r="D1537" s="1">
        <v>41202</v>
      </c>
      <c r="E1537" s="1">
        <v>44354</v>
      </c>
      <c r="F1537" s="1">
        <v>44359</v>
      </c>
      <c r="G1537">
        <v>5</v>
      </c>
      <c r="H1537">
        <v>107.08</v>
      </c>
      <c r="I1537">
        <v>1284.96</v>
      </c>
      <c r="J1537">
        <v>8000</v>
      </c>
      <c r="K1537" t="s">
        <v>27</v>
      </c>
      <c r="L1537">
        <v>8000</v>
      </c>
      <c r="M1537">
        <v>7.58</v>
      </c>
      <c r="N1537" t="s">
        <v>28</v>
      </c>
      <c r="O1537">
        <v>91</v>
      </c>
      <c r="P1537">
        <v>64</v>
      </c>
      <c r="Q1537">
        <v>0</v>
      </c>
      <c r="R1537">
        <v>4</v>
      </c>
      <c r="S1537" t="s">
        <v>37</v>
      </c>
      <c r="T1537" t="s">
        <v>50</v>
      </c>
      <c r="U1537" t="s">
        <v>31</v>
      </c>
      <c r="V1537" t="s">
        <v>45</v>
      </c>
      <c r="W1537">
        <v>1</v>
      </c>
      <c r="X1537">
        <v>0</v>
      </c>
      <c r="Y1537" s="2">
        <f>Table1[[#This Row],[premium_yearly]]*Table1[[#This Row],[tenure_years]]</f>
        <v>9739.9968000000008</v>
      </c>
      <c r="Z1537" s="2">
        <f>Table1[[#This Row],[total_collected_premiums]]*(1-$AD$2)</f>
        <v>7110.1976640000003</v>
      </c>
      <c r="AA1537" s="2">
        <f>Table1[[#This Row],[retained_premium]]-Table1[[#This Row],[claim_amount_paid]]</f>
        <v>-889.80233599999974</v>
      </c>
    </row>
    <row r="1538" spans="1:27" x14ac:dyDescent="0.35">
      <c r="A1538" t="s">
        <v>4653</v>
      </c>
      <c r="B1538" t="s">
        <v>4654</v>
      </c>
      <c r="C1538" t="s">
        <v>4655</v>
      </c>
      <c r="D1538" s="1">
        <v>42967</v>
      </c>
      <c r="E1538" s="1">
        <v>44363</v>
      </c>
      <c r="F1538" s="1">
        <v>44364</v>
      </c>
      <c r="G1538">
        <v>1</v>
      </c>
      <c r="H1538">
        <v>123.44</v>
      </c>
      <c r="I1538">
        <v>1481.28</v>
      </c>
      <c r="J1538">
        <v>2000</v>
      </c>
      <c r="K1538" t="s">
        <v>27</v>
      </c>
      <c r="L1538">
        <v>2000</v>
      </c>
      <c r="M1538">
        <v>5.08</v>
      </c>
      <c r="N1538" t="s">
        <v>28</v>
      </c>
      <c r="O1538">
        <v>61</v>
      </c>
      <c r="P1538">
        <v>37</v>
      </c>
      <c r="Q1538">
        <v>1</v>
      </c>
      <c r="R1538">
        <v>5</v>
      </c>
      <c r="S1538" t="s">
        <v>29</v>
      </c>
      <c r="T1538" t="s">
        <v>50</v>
      </c>
      <c r="U1538" t="s">
        <v>38</v>
      </c>
      <c r="V1538" t="s">
        <v>39</v>
      </c>
      <c r="W1538">
        <v>0</v>
      </c>
      <c r="X1538">
        <v>1</v>
      </c>
      <c r="Y1538" s="2">
        <f>Table1[[#This Row],[premium_yearly]]*Table1[[#This Row],[tenure_years]]</f>
        <v>7524.9023999999999</v>
      </c>
      <c r="Z1538" s="2">
        <f>Table1[[#This Row],[total_collected_premiums]]*(1-$AD$2)</f>
        <v>5493.1787519999998</v>
      </c>
      <c r="AA1538" s="2">
        <f>Table1[[#This Row],[retained_premium]]-Table1[[#This Row],[claim_amount_paid]]</f>
        <v>3493.1787519999998</v>
      </c>
    </row>
    <row r="1539" spans="1:27" x14ac:dyDescent="0.35">
      <c r="A1539" t="s">
        <v>4656</v>
      </c>
      <c r="B1539" t="s">
        <v>4657</v>
      </c>
      <c r="C1539" t="s">
        <v>4658</v>
      </c>
      <c r="D1539" s="1">
        <v>43157</v>
      </c>
      <c r="E1539" s="1">
        <v>44362</v>
      </c>
      <c r="F1539" s="1">
        <v>44363</v>
      </c>
      <c r="G1539">
        <v>1</v>
      </c>
      <c r="H1539">
        <v>72.06</v>
      </c>
      <c r="I1539">
        <v>864.72</v>
      </c>
      <c r="J1539">
        <v>1000</v>
      </c>
      <c r="K1539" t="s">
        <v>27</v>
      </c>
      <c r="L1539">
        <v>1000</v>
      </c>
      <c r="M1539">
        <v>9.08</v>
      </c>
      <c r="N1539" t="s">
        <v>36</v>
      </c>
      <c r="O1539">
        <v>109</v>
      </c>
      <c r="P1539">
        <v>32</v>
      </c>
      <c r="Q1539">
        <v>0</v>
      </c>
      <c r="R1539">
        <v>4</v>
      </c>
      <c r="S1539" t="s">
        <v>65</v>
      </c>
      <c r="T1539" t="s">
        <v>50</v>
      </c>
      <c r="U1539" t="s">
        <v>31</v>
      </c>
      <c r="V1539" t="s">
        <v>39</v>
      </c>
      <c r="W1539">
        <v>0</v>
      </c>
      <c r="X1539">
        <v>1</v>
      </c>
      <c r="Y1539" s="2">
        <f>Table1[[#This Row],[premium_yearly]]*Table1[[#This Row],[tenure_years]]</f>
        <v>7851.6576000000005</v>
      </c>
      <c r="Z1539" s="2">
        <f>Table1[[#This Row],[total_collected_premiums]]*(1-$AD$2)</f>
        <v>5731.7100479999999</v>
      </c>
      <c r="AA1539" s="2">
        <f>Table1[[#This Row],[retained_premium]]-Table1[[#This Row],[claim_amount_paid]]</f>
        <v>4731.7100479999999</v>
      </c>
    </row>
    <row r="1540" spans="1:27" x14ac:dyDescent="0.35">
      <c r="A1540" t="s">
        <v>4659</v>
      </c>
      <c r="B1540" t="s">
        <v>4660</v>
      </c>
      <c r="C1540" t="s">
        <v>4661</v>
      </c>
      <c r="D1540" s="1">
        <v>40341</v>
      </c>
      <c r="E1540" s="1">
        <v>44359</v>
      </c>
      <c r="F1540" s="1">
        <v>44362</v>
      </c>
      <c r="G1540">
        <v>3</v>
      </c>
      <c r="H1540">
        <v>89.46</v>
      </c>
      <c r="I1540">
        <v>1073.52</v>
      </c>
      <c r="J1540">
        <v>6000</v>
      </c>
      <c r="K1540" t="s">
        <v>27</v>
      </c>
      <c r="L1540">
        <v>6000</v>
      </c>
      <c r="M1540">
        <v>6.5</v>
      </c>
      <c r="N1540" t="s">
        <v>28</v>
      </c>
      <c r="O1540">
        <v>78</v>
      </c>
      <c r="P1540">
        <v>26</v>
      </c>
      <c r="Q1540">
        <v>0</v>
      </c>
      <c r="R1540">
        <v>3</v>
      </c>
      <c r="S1540" t="s">
        <v>29</v>
      </c>
      <c r="T1540" t="s">
        <v>30</v>
      </c>
      <c r="U1540" t="s">
        <v>38</v>
      </c>
      <c r="V1540" t="s">
        <v>32</v>
      </c>
      <c r="W1540">
        <v>0</v>
      </c>
      <c r="X1540">
        <v>1</v>
      </c>
      <c r="Y1540" s="2">
        <f>Table1[[#This Row],[premium_yearly]]*Table1[[#This Row],[tenure_years]]</f>
        <v>6977.88</v>
      </c>
      <c r="Z1540" s="2">
        <f>Table1[[#This Row],[total_collected_premiums]]*(1-$AD$2)</f>
        <v>5093.8523999999998</v>
      </c>
      <c r="AA1540" s="2">
        <f>Table1[[#This Row],[retained_premium]]-Table1[[#This Row],[claim_amount_paid]]</f>
        <v>-906.14760000000024</v>
      </c>
    </row>
    <row r="1541" spans="1:27" x14ac:dyDescent="0.35">
      <c r="A1541" t="s">
        <v>4662</v>
      </c>
      <c r="B1541" t="s">
        <v>4663</v>
      </c>
      <c r="C1541" t="s">
        <v>4664</v>
      </c>
      <c r="D1541" s="1">
        <v>43832</v>
      </c>
      <c r="E1541" s="1">
        <v>44352</v>
      </c>
      <c r="F1541" s="1">
        <v>44357</v>
      </c>
      <c r="G1541">
        <v>5</v>
      </c>
      <c r="H1541">
        <v>82.86</v>
      </c>
      <c r="I1541">
        <v>994.32</v>
      </c>
      <c r="J1541">
        <v>7000</v>
      </c>
      <c r="K1541" t="s">
        <v>27</v>
      </c>
      <c r="L1541">
        <v>7000</v>
      </c>
      <c r="M1541">
        <v>2.08</v>
      </c>
      <c r="N1541" t="s">
        <v>36</v>
      </c>
      <c r="O1541">
        <v>25</v>
      </c>
      <c r="P1541">
        <v>58</v>
      </c>
      <c r="Q1541">
        <v>1</v>
      </c>
      <c r="R1541">
        <v>7</v>
      </c>
      <c r="S1541" t="s">
        <v>65</v>
      </c>
      <c r="T1541" t="s">
        <v>50</v>
      </c>
      <c r="U1541" t="s">
        <v>51</v>
      </c>
      <c r="V1541" t="s">
        <v>32</v>
      </c>
      <c r="W1541">
        <v>1</v>
      </c>
      <c r="X1541">
        <v>1</v>
      </c>
      <c r="Y1541" s="2">
        <f>Table1[[#This Row],[premium_yearly]]*Table1[[#This Row],[tenure_years]]</f>
        <v>2068.1856000000002</v>
      </c>
      <c r="Z1541" s="2">
        <f>Table1[[#This Row],[total_collected_premiums]]*(1-$AD$2)</f>
        <v>1509.7754880000002</v>
      </c>
      <c r="AA1541" s="2">
        <f>Table1[[#This Row],[retained_premium]]-Table1[[#This Row],[claim_amount_paid]]</f>
        <v>-5490.2245119999998</v>
      </c>
    </row>
    <row r="1542" spans="1:27" x14ac:dyDescent="0.35">
      <c r="A1542" t="s">
        <v>4665</v>
      </c>
      <c r="B1542" t="s">
        <v>4666</v>
      </c>
      <c r="C1542" t="s">
        <v>4667</v>
      </c>
      <c r="D1542" s="1">
        <v>42299</v>
      </c>
      <c r="E1542" s="1">
        <v>44363</v>
      </c>
      <c r="F1542" s="1">
        <v>44364</v>
      </c>
      <c r="G1542">
        <v>1</v>
      </c>
      <c r="H1542">
        <v>120.2</v>
      </c>
      <c r="I1542">
        <v>1442.4</v>
      </c>
      <c r="J1542">
        <v>9000</v>
      </c>
      <c r="K1542" t="s">
        <v>27</v>
      </c>
      <c r="L1542">
        <v>9000</v>
      </c>
      <c r="M1542">
        <v>1.67</v>
      </c>
      <c r="N1542" t="s">
        <v>36</v>
      </c>
      <c r="O1542">
        <v>20</v>
      </c>
      <c r="P1542">
        <v>43</v>
      </c>
      <c r="Q1542">
        <v>1</v>
      </c>
      <c r="R1542">
        <v>5</v>
      </c>
      <c r="S1542" t="s">
        <v>29</v>
      </c>
      <c r="T1542" t="s">
        <v>50</v>
      </c>
      <c r="U1542" t="s">
        <v>31</v>
      </c>
      <c r="V1542" t="s">
        <v>45</v>
      </c>
      <c r="W1542">
        <v>0</v>
      </c>
      <c r="X1542">
        <v>1</v>
      </c>
      <c r="Y1542" s="2">
        <f>Table1[[#This Row],[premium_yearly]]*Table1[[#This Row],[tenure_years]]</f>
        <v>2408.808</v>
      </c>
      <c r="Z1542" s="2">
        <f>Table1[[#This Row],[total_collected_premiums]]*(1-$AD$2)</f>
        <v>1758.42984</v>
      </c>
      <c r="AA1542" s="2">
        <f>Table1[[#This Row],[retained_premium]]-Table1[[#This Row],[claim_amount_paid]]</f>
        <v>-7241.5701600000002</v>
      </c>
    </row>
    <row r="1543" spans="1:27" x14ac:dyDescent="0.35">
      <c r="A1543" t="s">
        <v>4668</v>
      </c>
      <c r="B1543" t="s">
        <v>4669</v>
      </c>
      <c r="C1543" t="s">
        <v>4670</v>
      </c>
      <c r="D1543" s="1">
        <v>41027</v>
      </c>
      <c r="E1543" s="1">
        <v>44357</v>
      </c>
      <c r="F1543" s="1">
        <v>44362</v>
      </c>
      <c r="G1543">
        <v>5</v>
      </c>
      <c r="H1543">
        <v>132.77000000000001</v>
      </c>
      <c r="I1543">
        <v>1593.24</v>
      </c>
      <c r="J1543">
        <v>10000</v>
      </c>
      <c r="K1543" t="s">
        <v>27</v>
      </c>
      <c r="L1543">
        <v>10000</v>
      </c>
      <c r="M1543">
        <v>2.83</v>
      </c>
      <c r="N1543" t="s">
        <v>49</v>
      </c>
      <c r="O1543">
        <v>34</v>
      </c>
      <c r="P1543">
        <v>30</v>
      </c>
      <c r="Q1543">
        <v>1</v>
      </c>
      <c r="R1543">
        <v>2</v>
      </c>
      <c r="S1543" t="s">
        <v>29</v>
      </c>
      <c r="T1543" t="s">
        <v>44</v>
      </c>
      <c r="U1543" t="s">
        <v>66</v>
      </c>
      <c r="V1543" t="s">
        <v>45</v>
      </c>
      <c r="W1543">
        <v>0</v>
      </c>
      <c r="X1543">
        <v>1</v>
      </c>
      <c r="Y1543" s="2">
        <f>Table1[[#This Row],[premium_yearly]]*Table1[[#This Row],[tenure_years]]</f>
        <v>4508.8692000000001</v>
      </c>
      <c r="Z1543" s="2">
        <f>Table1[[#This Row],[total_collected_premiums]]*(1-$AD$2)</f>
        <v>3291.4745159999998</v>
      </c>
      <c r="AA1543" s="2">
        <f>Table1[[#This Row],[retained_premium]]-Table1[[#This Row],[claim_amount_paid]]</f>
        <v>-6708.5254839999998</v>
      </c>
    </row>
    <row r="1544" spans="1:27" x14ac:dyDescent="0.35">
      <c r="A1544" t="s">
        <v>4671</v>
      </c>
      <c r="B1544" t="s">
        <v>4672</v>
      </c>
      <c r="C1544" t="s">
        <v>4673</v>
      </c>
      <c r="D1544" s="1">
        <v>40489</v>
      </c>
      <c r="E1544" s="1">
        <v>44356</v>
      </c>
      <c r="F1544" s="1">
        <v>44361</v>
      </c>
      <c r="G1544">
        <v>5</v>
      </c>
      <c r="H1544">
        <v>70.2</v>
      </c>
      <c r="I1544">
        <v>842.4</v>
      </c>
      <c r="J1544">
        <v>10000</v>
      </c>
      <c r="K1544" t="s">
        <v>27</v>
      </c>
      <c r="L1544">
        <v>10000</v>
      </c>
      <c r="M1544">
        <v>9.42</v>
      </c>
      <c r="N1544" t="s">
        <v>28</v>
      </c>
      <c r="O1544">
        <v>113</v>
      </c>
      <c r="P1544">
        <v>37</v>
      </c>
      <c r="Q1544">
        <v>0</v>
      </c>
      <c r="R1544">
        <v>6</v>
      </c>
      <c r="S1544" t="s">
        <v>29</v>
      </c>
      <c r="T1544" t="s">
        <v>50</v>
      </c>
      <c r="U1544" t="s">
        <v>88</v>
      </c>
      <c r="V1544" t="s">
        <v>45</v>
      </c>
      <c r="W1544">
        <v>0</v>
      </c>
      <c r="X1544">
        <v>1</v>
      </c>
      <c r="Y1544" s="2">
        <f>Table1[[#This Row],[premium_yearly]]*Table1[[#This Row],[tenure_years]]</f>
        <v>7935.4079999999994</v>
      </c>
      <c r="Z1544" s="2">
        <f>Table1[[#This Row],[total_collected_premiums]]*(1-$AD$2)</f>
        <v>5792.8478399999995</v>
      </c>
      <c r="AA1544" s="2">
        <f>Table1[[#This Row],[retained_premium]]-Table1[[#This Row],[claim_amount_paid]]</f>
        <v>-4207.1521600000005</v>
      </c>
    </row>
    <row r="1545" spans="1:27" x14ac:dyDescent="0.35">
      <c r="A1545" t="s">
        <v>4674</v>
      </c>
      <c r="B1545" t="s">
        <v>4675</v>
      </c>
      <c r="C1545" t="s">
        <v>4676</v>
      </c>
      <c r="D1545" s="1">
        <v>43793</v>
      </c>
      <c r="E1545" s="1">
        <v>44361</v>
      </c>
      <c r="F1545" s="1">
        <v>44364</v>
      </c>
      <c r="G1545">
        <v>3</v>
      </c>
      <c r="H1545">
        <v>138.36000000000001</v>
      </c>
      <c r="I1545">
        <v>1660.32</v>
      </c>
      <c r="J1545">
        <v>10000</v>
      </c>
      <c r="K1545" t="s">
        <v>27</v>
      </c>
      <c r="L1545">
        <v>10000</v>
      </c>
      <c r="M1545">
        <v>7.17</v>
      </c>
      <c r="N1545" t="s">
        <v>49</v>
      </c>
      <c r="O1545">
        <v>86</v>
      </c>
      <c r="P1545">
        <v>54</v>
      </c>
      <c r="Q1545">
        <v>1</v>
      </c>
      <c r="R1545">
        <v>3</v>
      </c>
      <c r="S1545" t="s">
        <v>29</v>
      </c>
      <c r="T1545" t="s">
        <v>30</v>
      </c>
      <c r="U1545" t="s">
        <v>58</v>
      </c>
      <c r="V1545" t="s">
        <v>32</v>
      </c>
      <c r="W1545">
        <v>0</v>
      </c>
      <c r="X1545">
        <v>1</v>
      </c>
      <c r="Y1545" s="2">
        <f>Table1[[#This Row],[premium_yearly]]*Table1[[#This Row],[tenure_years]]</f>
        <v>11904.4944</v>
      </c>
      <c r="Z1545" s="2">
        <f>Table1[[#This Row],[total_collected_premiums]]*(1-$AD$2)</f>
        <v>8690.2809120000002</v>
      </c>
      <c r="AA1545" s="2">
        <f>Table1[[#This Row],[retained_premium]]-Table1[[#This Row],[claim_amount_paid]]</f>
        <v>-1309.7190879999998</v>
      </c>
    </row>
    <row r="1546" spans="1:27" x14ac:dyDescent="0.35">
      <c r="A1546" t="s">
        <v>4677</v>
      </c>
      <c r="B1546" t="s">
        <v>4678</v>
      </c>
      <c r="C1546" t="s">
        <v>4679</v>
      </c>
      <c r="D1546" s="1">
        <v>43664</v>
      </c>
      <c r="E1546" s="1">
        <v>44367</v>
      </c>
      <c r="F1546" s="1">
        <v>44367</v>
      </c>
      <c r="G1546">
        <v>0</v>
      </c>
      <c r="H1546">
        <v>73.81</v>
      </c>
      <c r="I1546">
        <v>885.72</v>
      </c>
      <c r="J1546">
        <v>2000</v>
      </c>
      <c r="K1546" t="s">
        <v>27</v>
      </c>
      <c r="L1546">
        <v>2000</v>
      </c>
      <c r="M1546">
        <v>1.5</v>
      </c>
      <c r="N1546" t="s">
        <v>28</v>
      </c>
      <c r="O1546">
        <v>18</v>
      </c>
      <c r="P1546">
        <v>33</v>
      </c>
      <c r="Q1546">
        <v>0</v>
      </c>
      <c r="R1546">
        <v>3</v>
      </c>
      <c r="S1546" t="s">
        <v>29</v>
      </c>
      <c r="T1546" t="s">
        <v>50</v>
      </c>
      <c r="U1546" t="s">
        <v>38</v>
      </c>
      <c r="V1546" t="s">
        <v>32</v>
      </c>
      <c r="W1546">
        <v>0</v>
      </c>
      <c r="X1546">
        <v>1</v>
      </c>
      <c r="Y1546" s="2">
        <f>Table1[[#This Row],[premium_yearly]]*Table1[[#This Row],[tenure_years]]</f>
        <v>1328.58</v>
      </c>
      <c r="Z1546" s="2">
        <f>Table1[[#This Row],[total_collected_premiums]]*(1-$AD$2)</f>
        <v>969.86339999999996</v>
      </c>
      <c r="AA1546" s="2">
        <f>Table1[[#This Row],[retained_premium]]-Table1[[#This Row],[claim_amount_paid]]</f>
        <v>-1030.1366</v>
      </c>
    </row>
    <row r="1547" spans="1:27" x14ac:dyDescent="0.35">
      <c r="A1547" t="s">
        <v>4680</v>
      </c>
      <c r="B1547" t="s">
        <v>4681</v>
      </c>
      <c r="C1547" t="s">
        <v>4682</v>
      </c>
      <c r="D1547" s="1">
        <v>41825</v>
      </c>
      <c r="E1547" s="1">
        <v>44351</v>
      </c>
      <c r="F1547" s="1">
        <v>44356</v>
      </c>
      <c r="G1547">
        <v>5</v>
      </c>
      <c r="H1547">
        <v>128.41</v>
      </c>
      <c r="I1547">
        <v>1540.92</v>
      </c>
      <c r="J1547">
        <v>9000</v>
      </c>
      <c r="K1547" t="s">
        <v>27</v>
      </c>
      <c r="L1547">
        <v>9000</v>
      </c>
      <c r="M1547">
        <v>8</v>
      </c>
      <c r="N1547" t="s">
        <v>36</v>
      </c>
      <c r="O1547">
        <v>96</v>
      </c>
      <c r="P1547">
        <v>50</v>
      </c>
      <c r="Q1547">
        <v>1</v>
      </c>
      <c r="R1547">
        <v>5</v>
      </c>
      <c r="S1547" t="s">
        <v>29</v>
      </c>
      <c r="T1547" t="s">
        <v>30</v>
      </c>
      <c r="U1547" t="s">
        <v>38</v>
      </c>
      <c r="V1547" t="s">
        <v>32</v>
      </c>
      <c r="W1547">
        <v>1</v>
      </c>
      <c r="X1547">
        <v>1</v>
      </c>
      <c r="Y1547" s="2">
        <f>Table1[[#This Row],[premium_yearly]]*Table1[[#This Row],[tenure_years]]</f>
        <v>12327.36</v>
      </c>
      <c r="Z1547" s="2">
        <f>Table1[[#This Row],[total_collected_premiums]]*(1-$AD$2)</f>
        <v>8998.9727999999996</v>
      </c>
      <c r="AA1547" s="2">
        <f>Table1[[#This Row],[retained_premium]]-Table1[[#This Row],[claim_amount_paid]]</f>
        <v>-1.0272000000004482</v>
      </c>
    </row>
    <row r="1548" spans="1:27" x14ac:dyDescent="0.35">
      <c r="A1548" t="s">
        <v>4683</v>
      </c>
      <c r="B1548" t="s">
        <v>4684</v>
      </c>
      <c r="C1548" t="s">
        <v>4685</v>
      </c>
      <c r="D1548" s="1">
        <v>40943</v>
      </c>
      <c r="E1548" s="1">
        <v>44366</v>
      </c>
      <c r="F1548" s="1">
        <v>44367</v>
      </c>
      <c r="G1548">
        <v>1</v>
      </c>
      <c r="H1548">
        <v>92.87</v>
      </c>
      <c r="I1548">
        <v>1114.44</v>
      </c>
      <c r="J1548">
        <v>7000</v>
      </c>
      <c r="K1548" t="s">
        <v>27</v>
      </c>
      <c r="L1548">
        <v>7000</v>
      </c>
      <c r="M1548">
        <v>7.5</v>
      </c>
      <c r="N1548" t="s">
        <v>28</v>
      </c>
      <c r="O1548">
        <v>90</v>
      </c>
      <c r="P1548">
        <v>36</v>
      </c>
      <c r="Q1548">
        <v>1</v>
      </c>
      <c r="R1548">
        <v>7</v>
      </c>
      <c r="S1548" t="s">
        <v>29</v>
      </c>
      <c r="T1548" t="s">
        <v>44</v>
      </c>
      <c r="U1548" t="s">
        <v>107</v>
      </c>
      <c r="V1548" t="s">
        <v>39</v>
      </c>
      <c r="W1548">
        <v>1</v>
      </c>
      <c r="X1548">
        <v>1</v>
      </c>
      <c r="Y1548" s="2">
        <f>Table1[[#This Row],[premium_yearly]]*Table1[[#This Row],[tenure_years]]</f>
        <v>8358.3000000000011</v>
      </c>
      <c r="Z1548" s="2">
        <f>Table1[[#This Row],[total_collected_premiums]]*(1-$AD$2)</f>
        <v>6101.5590000000002</v>
      </c>
      <c r="AA1548" s="2">
        <f>Table1[[#This Row],[retained_premium]]-Table1[[#This Row],[claim_amount_paid]]</f>
        <v>-898.4409999999998</v>
      </c>
    </row>
    <row r="1549" spans="1:27" x14ac:dyDescent="0.35">
      <c r="A1549" t="s">
        <v>4686</v>
      </c>
      <c r="B1549" t="s">
        <v>4687</v>
      </c>
      <c r="C1549" t="s">
        <v>4688</v>
      </c>
      <c r="D1549" s="1">
        <v>42983</v>
      </c>
      <c r="E1549" s="1">
        <v>44357</v>
      </c>
      <c r="F1549" s="1">
        <v>44362</v>
      </c>
      <c r="G1549">
        <v>5</v>
      </c>
      <c r="H1549">
        <v>124.08</v>
      </c>
      <c r="I1549">
        <v>1488.96</v>
      </c>
      <c r="J1549">
        <v>4000</v>
      </c>
      <c r="K1549" t="s">
        <v>27</v>
      </c>
      <c r="L1549">
        <v>4000</v>
      </c>
      <c r="M1549">
        <v>2.58</v>
      </c>
      <c r="N1549" t="s">
        <v>36</v>
      </c>
      <c r="O1549">
        <v>31</v>
      </c>
      <c r="P1549">
        <v>61</v>
      </c>
      <c r="Q1549">
        <v>1</v>
      </c>
      <c r="R1549">
        <v>6</v>
      </c>
      <c r="S1549" t="s">
        <v>29</v>
      </c>
      <c r="T1549" t="s">
        <v>50</v>
      </c>
      <c r="U1549" t="s">
        <v>38</v>
      </c>
      <c r="V1549" t="s">
        <v>39</v>
      </c>
      <c r="W1549">
        <v>1</v>
      </c>
      <c r="X1549">
        <v>0</v>
      </c>
      <c r="Y1549" s="2">
        <f>Table1[[#This Row],[premium_yearly]]*Table1[[#This Row],[tenure_years]]</f>
        <v>3841.5168000000003</v>
      </c>
      <c r="Z1549" s="2">
        <f>Table1[[#This Row],[total_collected_premiums]]*(1-$AD$2)</f>
        <v>2804.307264</v>
      </c>
      <c r="AA1549" s="2">
        <f>Table1[[#This Row],[retained_premium]]-Table1[[#This Row],[claim_amount_paid]]</f>
        <v>-1195.692736</v>
      </c>
    </row>
    <row r="1550" spans="1:27" x14ac:dyDescent="0.35">
      <c r="A1550" t="s">
        <v>4689</v>
      </c>
      <c r="B1550" t="s">
        <v>4690</v>
      </c>
      <c r="C1550" t="s">
        <v>4691</v>
      </c>
      <c r="D1550" s="1">
        <v>41805</v>
      </c>
      <c r="E1550" s="1">
        <v>44355</v>
      </c>
      <c r="F1550" s="1">
        <v>44360</v>
      </c>
      <c r="G1550">
        <v>5</v>
      </c>
      <c r="H1550">
        <v>86.75</v>
      </c>
      <c r="I1550">
        <v>1041</v>
      </c>
      <c r="J1550">
        <v>9000</v>
      </c>
      <c r="K1550" t="s">
        <v>27</v>
      </c>
      <c r="L1550">
        <v>9000</v>
      </c>
      <c r="M1550">
        <v>3.17</v>
      </c>
      <c r="N1550" t="s">
        <v>49</v>
      </c>
      <c r="O1550">
        <v>38</v>
      </c>
      <c r="P1550">
        <v>60</v>
      </c>
      <c r="Q1550">
        <v>1</v>
      </c>
      <c r="R1550">
        <v>5</v>
      </c>
      <c r="S1550" t="s">
        <v>65</v>
      </c>
      <c r="T1550" t="s">
        <v>30</v>
      </c>
      <c r="U1550" t="s">
        <v>31</v>
      </c>
      <c r="V1550" t="s">
        <v>45</v>
      </c>
      <c r="W1550">
        <v>0</v>
      </c>
      <c r="X1550">
        <v>1</v>
      </c>
      <c r="Y1550" s="2">
        <f>Table1[[#This Row],[premium_yearly]]*Table1[[#This Row],[tenure_years]]</f>
        <v>3299.97</v>
      </c>
      <c r="Z1550" s="2">
        <f>Table1[[#This Row],[total_collected_premiums]]*(1-$AD$2)</f>
        <v>2408.9780999999998</v>
      </c>
      <c r="AA1550" s="2">
        <f>Table1[[#This Row],[retained_premium]]-Table1[[#This Row],[claim_amount_paid]]</f>
        <v>-6591.0218999999997</v>
      </c>
    </row>
    <row r="1551" spans="1:27" x14ac:dyDescent="0.35">
      <c r="A1551" t="s">
        <v>4692</v>
      </c>
      <c r="B1551" t="s">
        <v>4693</v>
      </c>
      <c r="C1551" t="s">
        <v>4694</v>
      </c>
      <c r="D1551" s="1">
        <v>42762</v>
      </c>
      <c r="E1551" s="1">
        <v>44368</v>
      </c>
      <c r="F1551" s="1">
        <v>44369</v>
      </c>
      <c r="G1551">
        <v>1</v>
      </c>
      <c r="H1551">
        <v>87.78</v>
      </c>
      <c r="I1551">
        <v>1053.3599999999999</v>
      </c>
      <c r="J1551">
        <v>4000</v>
      </c>
      <c r="K1551" t="s">
        <v>27</v>
      </c>
      <c r="L1551">
        <v>4000</v>
      </c>
      <c r="M1551">
        <v>2.75</v>
      </c>
      <c r="N1551" t="s">
        <v>36</v>
      </c>
      <c r="O1551">
        <v>33</v>
      </c>
      <c r="P1551">
        <v>26</v>
      </c>
      <c r="Q1551">
        <v>0</v>
      </c>
      <c r="R1551">
        <v>2</v>
      </c>
      <c r="S1551" t="s">
        <v>37</v>
      </c>
      <c r="T1551" t="s">
        <v>44</v>
      </c>
      <c r="U1551" t="s">
        <v>31</v>
      </c>
      <c r="V1551" t="s">
        <v>39</v>
      </c>
      <c r="W1551">
        <v>0</v>
      </c>
      <c r="X1551">
        <v>0</v>
      </c>
      <c r="Y1551" s="2">
        <f>Table1[[#This Row],[premium_yearly]]*Table1[[#This Row],[tenure_years]]</f>
        <v>2896.74</v>
      </c>
      <c r="Z1551" s="2">
        <f>Table1[[#This Row],[total_collected_premiums]]*(1-$AD$2)</f>
        <v>2114.6201999999998</v>
      </c>
      <c r="AA1551" s="2">
        <f>Table1[[#This Row],[retained_premium]]-Table1[[#This Row],[claim_amount_paid]]</f>
        <v>-1885.3798000000002</v>
      </c>
    </row>
    <row r="1552" spans="1:27" x14ac:dyDescent="0.35">
      <c r="A1552" t="s">
        <v>4695</v>
      </c>
      <c r="B1552" t="s">
        <v>4696</v>
      </c>
      <c r="C1552" t="s">
        <v>4697</v>
      </c>
      <c r="D1552" s="1">
        <v>41341</v>
      </c>
      <c r="E1552" s="1">
        <v>44366</v>
      </c>
      <c r="F1552" s="1">
        <v>44368</v>
      </c>
      <c r="G1552">
        <v>2</v>
      </c>
      <c r="H1552">
        <v>93.16</v>
      </c>
      <c r="I1552">
        <v>1117.92</v>
      </c>
      <c r="J1552">
        <v>8000</v>
      </c>
      <c r="K1552" t="s">
        <v>27</v>
      </c>
      <c r="L1552">
        <v>8000</v>
      </c>
      <c r="M1552">
        <v>2.67</v>
      </c>
      <c r="N1552" t="s">
        <v>28</v>
      </c>
      <c r="O1552">
        <v>32</v>
      </c>
      <c r="P1552">
        <v>36</v>
      </c>
      <c r="Q1552">
        <v>1</v>
      </c>
      <c r="R1552">
        <v>4</v>
      </c>
      <c r="S1552" t="s">
        <v>29</v>
      </c>
      <c r="T1552" t="s">
        <v>30</v>
      </c>
      <c r="U1552" t="s">
        <v>88</v>
      </c>
      <c r="V1552" t="s">
        <v>39</v>
      </c>
      <c r="W1552">
        <v>1</v>
      </c>
      <c r="X1552">
        <v>1</v>
      </c>
      <c r="Y1552" s="2">
        <f>Table1[[#This Row],[premium_yearly]]*Table1[[#This Row],[tenure_years]]</f>
        <v>2984.8463999999999</v>
      </c>
      <c r="Z1552" s="2">
        <f>Table1[[#This Row],[total_collected_premiums]]*(1-$AD$2)</f>
        <v>2178.937872</v>
      </c>
      <c r="AA1552" s="2">
        <f>Table1[[#This Row],[retained_premium]]-Table1[[#This Row],[claim_amount_paid]]</f>
        <v>-5821.0621279999996</v>
      </c>
    </row>
    <row r="1553" spans="1:27" x14ac:dyDescent="0.35">
      <c r="A1553" t="s">
        <v>4698</v>
      </c>
      <c r="B1553" t="s">
        <v>4699</v>
      </c>
      <c r="C1553" t="s">
        <v>4700</v>
      </c>
      <c r="D1553" s="1">
        <v>43063</v>
      </c>
      <c r="E1553" s="1">
        <v>44355</v>
      </c>
      <c r="F1553" s="1">
        <v>44360</v>
      </c>
      <c r="G1553">
        <v>5</v>
      </c>
      <c r="H1553">
        <v>88.81</v>
      </c>
      <c r="I1553">
        <v>1065.72</v>
      </c>
      <c r="J1553">
        <v>2000</v>
      </c>
      <c r="K1553" t="s">
        <v>27</v>
      </c>
      <c r="L1553">
        <v>2000</v>
      </c>
      <c r="M1553">
        <v>3.42</v>
      </c>
      <c r="N1553" t="s">
        <v>28</v>
      </c>
      <c r="O1553">
        <v>41</v>
      </c>
      <c r="P1553">
        <v>44</v>
      </c>
      <c r="Q1553">
        <v>0</v>
      </c>
      <c r="R1553">
        <v>2</v>
      </c>
      <c r="S1553" t="s">
        <v>65</v>
      </c>
      <c r="T1553" t="s">
        <v>30</v>
      </c>
      <c r="U1553" t="s">
        <v>38</v>
      </c>
      <c r="V1553" t="s">
        <v>39</v>
      </c>
      <c r="W1553">
        <v>0</v>
      </c>
      <c r="X1553">
        <v>1</v>
      </c>
      <c r="Y1553" s="2">
        <f>Table1[[#This Row],[premium_yearly]]*Table1[[#This Row],[tenure_years]]</f>
        <v>3644.7624000000001</v>
      </c>
      <c r="Z1553" s="2">
        <f>Table1[[#This Row],[total_collected_premiums]]*(1-$AD$2)</f>
        <v>2660.6765519999999</v>
      </c>
      <c r="AA1553" s="2">
        <f>Table1[[#This Row],[retained_premium]]-Table1[[#This Row],[claim_amount_paid]]</f>
        <v>660.6765519999999</v>
      </c>
    </row>
    <row r="1554" spans="1:27" x14ac:dyDescent="0.35">
      <c r="A1554" t="s">
        <v>4701</v>
      </c>
      <c r="B1554" t="s">
        <v>4702</v>
      </c>
      <c r="C1554" t="s">
        <v>4703</v>
      </c>
      <c r="D1554" s="1">
        <v>41867</v>
      </c>
      <c r="E1554" s="1">
        <v>44361</v>
      </c>
      <c r="F1554" s="1">
        <v>44366</v>
      </c>
      <c r="G1554">
        <v>5</v>
      </c>
      <c r="H1554">
        <v>91.55</v>
      </c>
      <c r="I1554">
        <v>1098.5999999999999</v>
      </c>
      <c r="J1554">
        <v>4000</v>
      </c>
      <c r="K1554" t="s">
        <v>27</v>
      </c>
      <c r="L1554">
        <v>4000</v>
      </c>
      <c r="M1554">
        <v>7</v>
      </c>
      <c r="N1554" t="s">
        <v>49</v>
      </c>
      <c r="O1554">
        <v>84</v>
      </c>
      <c r="P1554">
        <v>57</v>
      </c>
      <c r="Q1554">
        <v>0</v>
      </c>
      <c r="R1554">
        <v>5</v>
      </c>
      <c r="S1554" t="s">
        <v>29</v>
      </c>
      <c r="T1554" t="s">
        <v>50</v>
      </c>
      <c r="U1554" t="s">
        <v>88</v>
      </c>
      <c r="V1554" t="s">
        <v>45</v>
      </c>
      <c r="W1554">
        <v>0</v>
      </c>
      <c r="X1554">
        <v>0</v>
      </c>
      <c r="Y1554" s="2">
        <f>Table1[[#This Row],[premium_yearly]]*Table1[[#This Row],[tenure_years]]</f>
        <v>7690.1999999999989</v>
      </c>
      <c r="Z1554" s="2">
        <f>Table1[[#This Row],[total_collected_premiums]]*(1-$AD$2)</f>
        <v>5613.8459999999986</v>
      </c>
      <c r="AA1554" s="2">
        <f>Table1[[#This Row],[retained_premium]]-Table1[[#This Row],[claim_amount_paid]]</f>
        <v>1613.8459999999986</v>
      </c>
    </row>
    <row r="1555" spans="1:27" x14ac:dyDescent="0.35">
      <c r="A1555" t="s">
        <v>4704</v>
      </c>
      <c r="B1555" t="s">
        <v>4705</v>
      </c>
      <c r="C1555" t="s">
        <v>4706</v>
      </c>
      <c r="D1555" s="1">
        <v>40604</v>
      </c>
      <c r="E1555" s="1">
        <v>44357</v>
      </c>
      <c r="F1555" s="1">
        <v>44362</v>
      </c>
      <c r="G1555">
        <v>5</v>
      </c>
      <c r="H1555">
        <v>100.89</v>
      </c>
      <c r="I1555">
        <v>1210.68</v>
      </c>
      <c r="J1555">
        <v>3000</v>
      </c>
      <c r="K1555" t="s">
        <v>27</v>
      </c>
      <c r="L1555">
        <v>3000</v>
      </c>
      <c r="M1555">
        <v>6.17</v>
      </c>
      <c r="N1555" t="s">
        <v>36</v>
      </c>
      <c r="O1555">
        <v>74</v>
      </c>
      <c r="P1555">
        <v>54</v>
      </c>
      <c r="Q1555">
        <v>1</v>
      </c>
      <c r="R1555">
        <v>5</v>
      </c>
      <c r="S1555" t="s">
        <v>65</v>
      </c>
      <c r="T1555" t="s">
        <v>30</v>
      </c>
      <c r="U1555" t="s">
        <v>66</v>
      </c>
      <c r="V1555" t="s">
        <v>45</v>
      </c>
      <c r="W1555">
        <v>0</v>
      </c>
      <c r="X1555">
        <v>1</v>
      </c>
      <c r="Y1555" s="2">
        <f>Table1[[#This Row],[premium_yearly]]*Table1[[#This Row],[tenure_years]]</f>
        <v>7469.8956000000007</v>
      </c>
      <c r="Z1555" s="2">
        <f>Table1[[#This Row],[total_collected_premiums]]*(1-$AD$2)</f>
        <v>5453.0237880000004</v>
      </c>
      <c r="AA1555" s="2">
        <f>Table1[[#This Row],[retained_premium]]-Table1[[#This Row],[claim_amount_paid]]</f>
        <v>2453.0237880000004</v>
      </c>
    </row>
    <row r="1556" spans="1:27" x14ac:dyDescent="0.35">
      <c r="A1556" t="s">
        <v>4707</v>
      </c>
      <c r="B1556" t="s">
        <v>4708</v>
      </c>
      <c r="C1556" t="s">
        <v>4709</v>
      </c>
      <c r="D1556" s="1">
        <v>42271</v>
      </c>
      <c r="E1556" s="1">
        <v>44357</v>
      </c>
      <c r="F1556" s="1">
        <v>44362</v>
      </c>
      <c r="G1556">
        <v>5</v>
      </c>
      <c r="H1556">
        <v>119.02</v>
      </c>
      <c r="I1556">
        <v>1428.24</v>
      </c>
      <c r="J1556">
        <v>4000</v>
      </c>
      <c r="K1556" t="s">
        <v>27</v>
      </c>
      <c r="L1556">
        <v>4000</v>
      </c>
      <c r="M1556">
        <v>4.58</v>
      </c>
      <c r="N1556" t="s">
        <v>36</v>
      </c>
      <c r="O1556">
        <v>55</v>
      </c>
      <c r="P1556">
        <v>61</v>
      </c>
      <c r="Q1556">
        <v>1</v>
      </c>
      <c r="R1556">
        <v>7</v>
      </c>
      <c r="S1556" t="s">
        <v>29</v>
      </c>
      <c r="T1556" t="s">
        <v>30</v>
      </c>
      <c r="U1556" t="s">
        <v>38</v>
      </c>
      <c r="V1556" t="s">
        <v>32</v>
      </c>
      <c r="W1556">
        <v>1</v>
      </c>
      <c r="X1556">
        <v>1</v>
      </c>
      <c r="Y1556" s="2">
        <f>Table1[[#This Row],[premium_yearly]]*Table1[[#This Row],[tenure_years]]</f>
        <v>6541.3392000000003</v>
      </c>
      <c r="Z1556" s="2">
        <f>Table1[[#This Row],[total_collected_premiums]]*(1-$AD$2)</f>
        <v>4775.1776159999999</v>
      </c>
      <c r="AA1556" s="2">
        <f>Table1[[#This Row],[retained_premium]]-Table1[[#This Row],[claim_amount_paid]]</f>
        <v>775.17761599999994</v>
      </c>
    </row>
    <row r="1557" spans="1:27" x14ac:dyDescent="0.35">
      <c r="A1557" t="s">
        <v>4710</v>
      </c>
      <c r="B1557" t="s">
        <v>4711</v>
      </c>
      <c r="C1557" t="s">
        <v>4712</v>
      </c>
      <c r="D1557" s="1">
        <v>42489</v>
      </c>
      <c r="E1557" s="1">
        <v>44369</v>
      </c>
      <c r="F1557" s="1">
        <v>44370</v>
      </c>
      <c r="G1557">
        <v>1</v>
      </c>
      <c r="H1557">
        <v>80.44</v>
      </c>
      <c r="I1557">
        <v>965.28</v>
      </c>
      <c r="J1557">
        <v>3000</v>
      </c>
      <c r="K1557" t="s">
        <v>27</v>
      </c>
      <c r="L1557">
        <v>3000</v>
      </c>
      <c r="M1557">
        <v>7</v>
      </c>
      <c r="N1557" t="s">
        <v>36</v>
      </c>
      <c r="O1557">
        <v>84</v>
      </c>
      <c r="P1557">
        <v>32</v>
      </c>
      <c r="Q1557">
        <v>1</v>
      </c>
      <c r="R1557">
        <v>6</v>
      </c>
      <c r="S1557" t="s">
        <v>29</v>
      </c>
      <c r="T1557" t="s">
        <v>30</v>
      </c>
      <c r="U1557" t="s">
        <v>38</v>
      </c>
      <c r="V1557" t="s">
        <v>32</v>
      </c>
      <c r="W1557">
        <v>1</v>
      </c>
      <c r="X1557">
        <v>1</v>
      </c>
      <c r="Y1557" s="2">
        <f>Table1[[#This Row],[premium_yearly]]*Table1[[#This Row],[tenure_years]]</f>
        <v>6756.96</v>
      </c>
      <c r="Z1557" s="2">
        <f>Table1[[#This Row],[total_collected_premiums]]*(1-$AD$2)</f>
        <v>4932.5807999999997</v>
      </c>
      <c r="AA1557" s="2">
        <f>Table1[[#This Row],[retained_premium]]-Table1[[#This Row],[claim_amount_paid]]</f>
        <v>1932.5807999999997</v>
      </c>
    </row>
    <row r="1558" spans="1:27" x14ac:dyDescent="0.35">
      <c r="A1558" t="s">
        <v>4713</v>
      </c>
      <c r="B1558" t="s">
        <v>4714</v>
      </c>
      <c r="C1558" t="s">
        <v>4715</v>
      </c>
      <c r="D1558" s="1">
        <v>43130</v>
      </c>
      <c r="E1558" s="1">
        <v>44362</v>
      </c>
      <c r="F1558" s="1">
        <v>44367</v>
      </c>
      <c r="G1558">
        <v>5</v>
      </c>
      <c r="H1558">
        <v>76.349999999999994</v>
      </c>
      <c r="I1558">
        <v>916.2</v>
      </c>
      <c r="J1558">
        <v>7000</v>
      </c>
      <c r="K1558" t="s">
        <v>27</v>
      </c>
      <c r="L1558">
        <v>7000</v>
      </c>
      <c r="M1558">
        <v>4.33</v>
      </c>
      <c r="N1558" t="s">
        <v>36</v>
      </c>
      <c r="O1558">
        <v>52</v>
      </c>
      <c r="P1558">
        <v>47</v>
      </c>
      <c r="Q1558">
        <v>0</v>
      </c>
      <c r="R1558">
        <v>7</v>
      </c>
      <c r="S1558" t="s">
        <v>65</v>
      </c>
      <c r="T1558" t="s">
        <v>50</v>
      </c>
      <c r="U1558" t="s">
        <v>66</v>
      </c>
      <c r="V1558" t="s">
        <v>39</v>
      </c>
      <c r="W1558">
        <v>1</v>
      </c>
      <c r="X1558">
        <v>1</v>
      </c>
      <c r="Y1558" s="2">
        <f>Table1[[#This Row],[premium_yearly]]*Table1[[#This Row],[tenure_years]]</f>
        <v>3967.1460000000002</v>
      </c>
      <c r="Z1558" s="2">
        <f>Table1[[#This Row],[total_collected_premiums]]*(1-$AD$2)</f>
        <v>2896.01658</v>
      </c>
      <c r="AA1558" s="2">
        <f>Table1[[#This Row],[retained_premium]]-Table1[[#This Row],[claim_amount_paid]]</f>
        <v>-4103.9834200000005</v>
      </c>
    </row>
    <row r="1559" spans="1:27" x14ac:dyDescent="0.35">
      <c r="A1559" t="s">
        <v>4716</v>
      </c>
      <c r="B1559" t="s">
        <v>4717</v>
      </c>
      <c r="C1559" t="s">
        <v>4718</v>
      </c>
      <c r="D1559" s="1">
        <v>40623</v>
      </c>
      <c r="E1559" s="1">
        <v>44365</v>
      </c>
      <c r="F1559" s="1">
        <v>44368</v>
      </c>
      <c r="G1559">
        <v>3</v>
      </c>
      <c r="H1559">
        <v>120.12</v>
      </c>
      <c r="I1559">
        <v>1441.44</v>
      </c>
      <c r="J1559">
        <v>9000</v>
      </c>
      <c r="K1559" t="s">
        <v>27</v>
      </c>
      <c r="L1559">
        <v>9000</v>
      </c>
      <c r="M1559">
        <v>7.33</v>
      </c>
      <c r="N1559" t="s">
        <v>49</v>
      </c>
      <c r="O1559">
        <v>88</v>
      </c>
      <c r="P1559">
        <v>52</v>
      </c>
      <c r="Q1559">
        <v>0</v>
      </c>
      <c r="R1559">
        <v>5</v>
      </c>
      <c r="S1559" t="s">
        <v>29</v>
      </c>
      <c r="T1559" t="s">
        <v>30</v>
      </c>
      <c r="U1559" t="s">
        <v>38</v>
      </c>
      <c r="V1559" t="s">
        <v>45</v>
      </c>
      <c r="W1559">
        <v>0</v>
      </c>
      <c r="X1559">
        <v>1</v>
      </c>
      <c r="Y1559" s="2">
        <f>Table1[[#This Row],[premium_yearly]]*Table1[[#This Row],[tenure_years]]</f>
        <v>10565.7552</v>
      </c>
      <c r="Z1559" s="2">
        <f>Table1[[#This Row],[total_collected_premiums]]*(1-$AD$2)</f>
        <v>7713.0012959999995</v>
      </c>
      <c r="AA1559" s="2">
        <f>Table1[[#This Row],[retained_premium]]-Table1[[#This Row],[claim_amount_paid]]</f>
        <v>-1286.9987040000005</v>
      </c>
    </row>
    <row r="1560" spans="1:27" x14ac:dyDescent="0.35">
      <c r="A1560" t="s">
        <v>4719</v>
      </c>
      <c r="B1560" t="s">
        <v>4720</v>
      </c>
      <c r="C1560" t="s">
        <v>4721</v>
      </c>
      <c r="D1560" s="1">
        <v>42308</v>
      </c>
      <c r="E1560" s="1">
        <v>44370</v>
      </c>
      <c r="F1560" s="1">
        <v>44371</v>
      </c>
      <c r="G1560">
        <v>1</v>
      </c>
      <c r="H1560">
        <v>91.42</v>
      </c>
      <c r="I1560">
        <v>1097.04</v>
      </c>
      <c r="J1560">
        <v>5000</v>
      </c>
      <c r="K1560" t="s">
        <v>27</v>
      </c>
      <c r="L1560">
        <v>5000</v>
      </c>
      <c r="M1560">
        <v>7.08</v>
      </c>
      <c r="N1560" t="s">
        <v>28</v>
      </c>
      <c r="O1560">
        <v>85</v>
      </c>
      <c r="P1560">
        <v>37</v>
      </c>
      <c r="Q1560">
        <v>0</v>
      </c>
      <c r="R1560">
        <v>4</v>
      </c>
      <c r="S1560" t="s">
        <v>37</v>
      </c>
      <c r="T1560" t="s">
        <v>30</v>
      </c>
      <c r="U1560" t="s">
        <v>58</v>
      </c>
      <c r="V1560" t="s">
        <v>39</v>
      </c>
      <c r="W1560">
        <v>1</v>
      </c>
      <c r="X1560">
        <v>1</v>
      </c>
      <c r="Y1560" s="2">
        <f>Table1[[#This Row],[premium_yearly]]*Table1[[#This Row],[tenure_years]]</f>
        <v>7767.0432000000001</v>
      </c>
      <c r="Z1560" s="2">
        <f>Table1[[#This Row],[total_collected_premiums]]*(1-$AD$2)</f>
        <v>5669.9415360000003</v>
      </c>
      <c r="AA1560" s="2">
        <f>Table1[[#This Row],[retained_premium]]-Table1[[#This Row],[claim_amount_paid]]</f>
        <v>669.94153600000027</v>
      </c>
    </row>
    <row r="1561" spans="1:27" x14ac:dyDescent="0.35">
      <c r="A1561" t="s">
        <v>4722</v>
      </c>
      <c r="B1561" t="s">
        <v>4723</v>
      </c>
      <c r="C1561" t="s">
        <v>4724</v>
      </c>
      <c r="D1561" s="1">
        <v>42347</v>
      </c>
      <c r="E1561" s="1">
        <v>44371</v>
      </c>
      <c r="F1561" s="1">
        <v>44372</v>
      </c>
      <c r="G1561">
        <v>1</v>
      </c>
      <c r="H1561">
        <v>73.2</v>
      </c>
      <c r="I1561">
        <v>878.4</v>
      </c>
      <c r="J1561">
        <v>2000</v>
      </c>
      <c r="K1561" t="s">
        <v>27</v>
      </c>
      <c r="L1561">
        <v>2000</v>
      </c>
      <c r="M1561">
        <v>2.42</v>
      </c>
      <c r="N1561" t="s">
        <v>36</v>
      </c>
      <c r="O1561">
        <v>29</v>
      </c>
      <c r="P1561">
        <v>61</v>
      </c>
      <c r="Q1561">
        <v>1</v>
      </c>
      <c r="R1561">
        <v>6</v>
      </c>
      <c r="S1561" t="s">
        <v>29</v>
      </c>
      <c r="T1561" t="s">
        <v>30</v>
      </c>
      <c r="U1561" t="s">
        <v>66</v>
      </c>
      <c r="V1561" t="s">
        <v>32</v>
      </c>
      <c r="W1561">
        <v>1</v>
      </c>
      <c r="X1561">
        <v>1</v>
      </c>
      <c r="Y1561" s="2">
        <f>Table1[[#This Row],[premium_yearly]]*Table1[[#This Row],[tenure_years]]</f>
        <v>2125.7280000000001</v>
      </c>
      <c r="Z1561" s="2">
        <f>Table1[[#This Row],[total_collected_premiums]]*(1-$AD$2)</f>
        <v>1551.78144</v>
      </c>
      <c r="AA1561" s="2">
        <f>Table1[[#This Row],[retained_premium]]-Table1[[#This Row],[claim_amount_paid]]</f>
        <v>-448.21856000000002</v>
      </c>
    </row>
    <row r="1562" spans="1:27" x14ac:dyDescent="0.35">
      <c r="A1562" t="s">
        <v>4725</v>
      </c>
      <c r="B1562" t="s">
        <v>4726</v>
      </c>
      <c r="C1562" t="s">
        <v>4727</v>
      </c>
      <c r="D1562" s="1">
        <v>43251</v>
      </c>
      <c r="E1562" s="1">
        <v>44356</v>
      </c>
      <c r="F1562" s="1">
        <v>44361</v>
      </c>
      <c r="G1562">
        <v>5</v>
      </c>
      <c r="H1562">
        <v>98.9</v>
      </c>
      <c r="I1562">
        <v>1186.8</v>
      </c>
      <c r="J1562">
        <v>1000</v>
      </c>
      <c r="K1562" t="s">
        <v>27</v>
      </c>
      <c r="L1562">
        <v>1000</v>
      </c>
      <c r="M1562">
        <v>7.33</v>
      </c>
      <c r="N1562" t="s">
        <v>49</v>
      </c>
      <c r="O1562">
        <v>88</v>
      </c>
      <c r="P1562">
        <v>35</v>
      </c>
      <c r="Q1562">
        <v>0</v>
      </c>
      <c r="R1562">
        <v>6</v>
      </c>
      <c r="S1562" t="s">
        <v>29</v>
      </c>
      <c r="T1562" t="s">
        <v>50</v>
      </c>
      <c r="U1562" t="s">
        <v>31</v>
      </c>
      <c r="V1562" t="s">
        <v>39</v>
      </c>
      <c r="W1562">
        <v>0</v>
      </c>
      <c r="X1562">
        <v>0</v>
      </c>
      <c r="Y1562" s="2">
        <f>Table1[[#This Row],[premium_yearly]]*Table1[[#This Row],[tenure_years]]</f>
        <v>8699.2440000000006</v>
      </c>
      <c r="Z1562" s="2">
        <f>Table1[[#This Row],[total_collected_premiums]]*(1-$AD$2)</f>
        <v>6350.44812</v>
      </c>
      <c r="AA1562" s="2">
        <f>Table1[[#This Row],[retained_premium]]-Table1[[#This Row],[claim_amount_paid]]</f>
        <v>5350.44812</v>
      </c>
    </row>
    <row r="1563" spans="1:27" x14ac:dyDescent="0.35">
      <c r="A1563" t="s">
        <v>4728</v>
      </c>
      <c r="B1563" t="s">
        <v>4729</v>
      </c>
      <c r="C1563" t="s">
        <v>4730</v>
      </c>
      <c r="D1563" s="1">
        <v>41606</v>
      </c>
      <c r="E1563" s="1">
        <v>44356</v>
      </c>
      <c r="F1563" s="1">
        <v>44361</v>
      </c>
      <c r="G1563">
        <v>5</v>
      </c>
      <c r="H1563">
        <v>72.87</v>
      </c>
      <c r="I1563">
        <v>874.44</v>
      </c>
      <c r="J1563">
        <v>8000</v>
      </c>
      <c r="K1563" t="s">
        <v>27</v>
      </c>
      <c r="L1563">
        <v>8000</v>
      </c>
      <c r="M1563">
        <v>9.92</v>
      </c>
      <c r="N1563" t="s">
        <v>36</v>
      </c>
      <c r="O1563">
        <v>119</v>
      </c>
      <c r="P1563">
        <v>59</v>
      </c>
      <c r="Q1563">
        <v>0</v>
      </c>
      <c r="R1563">
        <v>4</v>
      </c>
      <c r="S1563" t="s">
        <v>29</v>
      </c>
      <c r="T1563" t="s">
        <v>44</v>
      </c>
      <c r="U1563" t="s">
        <v>58</v>
      </c>
      <c r="V1563" t="s">
        <v>32</v>
      </c>
      <c r="W1563">
        <v>1</v>
      </c>
      <c r="X1563">
        <v>1</v>
      </c>
      <c r="Y1563" s="2">
        <f>Table1[[#This Row],[premium_yearly]]*Table1[[#This Row],[tenure_years]]</f>
        <v>8674.4448000000011</v>
      </c>
      <c r="Z1563" s="2">
        <f>Table1[[#This Row],[total_collected_premiums]]*(1-$AD$2)</f>
        <v>6332.344704000001</v>
      </c>
      <c r="AA1563" s="2">
        <f>Table1[[#This Row],[retained_premium]]-Table1[[#This Row],[claim_amount_paid]]</f>
        <v>-1667.655295999999</v>
      </c>
    </row>
    <row r="1564" spans="1:27" x14ac:dyDescent="0.35">
      <c r="A1564" t="s">
        <v>4731</v>
      </c>
      <c r="B1564" t="s">
        <v>4732</v>
      </c>
      <c r="C1564" t="s">
        <v>4733</v>
      </c>
      <c r="D1564" s="1">
        <v>42276</v>
      </c>
      <c r="E1564" s="1">
        <v>44372</v>
      </c>
      <c r="F1564" s="1">
        <v>44373</v>
      </c>
      <c r="G1564">
        <v>1</v>
      </c>
      <c r="H1564">
        <v>111.97</v>
      </c>
      <c r="I1564">
        <v>1343.64</v>
      </c>
      <c r="J1564">
        <v>4000</v>
      </c>
      <c r="K1564" t="s">
        <v>27</v>
      </c>
      <c r="L1564">
        <v>4000</v>
      </c>
      <c r="M1564">
        <v>4</v>
      </c>
      <c r="N1564" t="s">
        <v>28</v>
      </c>
      <c r="O1564">
        <v>48</v>
      </c>
      <c r="P1564">
        <v>33</v>
      </c>
      <c r="Q1564">
        <v>0</v>
      </c>
      <c r="R1564">
        <v>3</v>
      </c>
      <c r="S1564" t="s">
        <v>37</v>
      </c>
      <c r="T1564" t="s">
        <v>44</v>
      </c>
      <c r="U1564" t="s">
        <v>31</v>
      </c>
      <c r="V1564" t="s">
        <v>45</v>
      </c>
      <c r="W1564">
        <v>1</v>
      </c>
      <c r="X1564">
        <v>1</v>
      </c>
      <c r="Y1564" s="2">
        <f>Table1[[#This Row],[premium_yearly]]*Table1[[#This Row],[tenure_years]]</f>
        <v>5374.56</v>
      </c>
      <c r="Z1564" s="2">
        <f>Table1[[#This Row],[total_collected_premiums]]*(1-$AD$2)</f>
        <v>3923.4288000000001</v>
      </c>
      <c r="AA1564" s="2">
        <f>Table1[[#This Row],[retained_premium]]-Table1[[#This Row],[claim_amount_paid]]</f>
        <v>-76.571199999999862</v>
      </c>
    </row>
    <row r="1565" spans="1:27" x14ac:dyDescent="0.35">
      <c r="A1565" t="s">
        <v>4734</v>
      </c>
      <c r="B1565" t="s">
        <v>4735</v>
      </c>
      <c r="C1565" t="s">
        <v>4736</v>
      </c>
      <c r="D1565" s="1">
        <v>43153</v>
      </c>
      <c r="E1565" s="1">
        <v>44357</v>
      </c>
      <c r="F1565" s="1">
        <v>44362</v>
      </c>
      <c r="G1565">
        <v>5</v>
      </c>
      <c r="H1565">
        <v>100.9</v>
      </c>
      <c r="I1565">
        <v>1210.8</v>
      </c>
      <c r="J1565">
        <v>2000</v>
      </c>
      <c r="K1565" t="s">
        <v>27</v>
      </c>
      <c r="L1565">
        <v>2000</v>
      </c>
      <c r="M1565">
        <v>9.58</v>
      </c>
      <c r="N1565" t="s">
        <v>36</v>
      </c>
      <c r="O1565">
        <v>115</v>
      </c>
      <c r="P1565">
        <v>41</v>
      </c>
      <c r="Q1565">
        <v>1</v>
      </c>
      <c r="R1565">
        <v>3</v>
      </c>
      <c r="S1565" t="s">
        <v>65</v>
      </c>
      <c r="T1565" t="s">
        <v>30</v>
      </c>
      <c r="U1565" t="s">
        <v>31</v>
      </c>
      <c r="V1565" t="s">
        <v>39</v>
      </c>
      <c r="W1565">
        <v>0</v>
      </c>
      <c r="X1565">
        <v>1</v>
      </c>
      <c r="Y1565" s="2">
        <f>Table1[[#This Row],[premium_yearly]]*Table1[[#This Row],[tenure_years]]</f>
        <v>11599.464</v>
      </c>
      <c r="Z1565" s="2">
        <f>Table1[[#This Row],[total_collected_premiums]]*(1-$AD$2)</f>
        <v>8467.6087200000002</v>
      </c>
      <c r="AA1565" s="2">
        <f>Table1[[#This Row],[retained_premium]]-Table1[[#This Row],[claim_amount_paid]]</f>
        <v>6467.6087200000002</v>
      </c>
    </row>
    <row r="1566" spans="1:27" x14ac:dyDescent="0.35">
      <c r="A1566" t="s">
        <v>4737</v>
      </c>
      <c r="B1566" t="s">
        <v>4738</v>
      </c>
      <c r="C1566" t="s">
        <v>4739</v>
      </c>
      <c r="D1566" s="1">
        <v>40870</v>
      </c>
      <c r="E1566" s="1">
        <v>44366</v>
      </c>
      <c r="F1566" s="1">
        <v>44369</v>
      </c>
      <c r="G1566">
        <v>3</v>
      </c>
      <c r="H1566">
        <v>112.24</v>
      </c>
      <c r="I1566">
        <v>1346.88</v>
      </c>
      <c r="J1566">
        <v>3000</v>
      </c>
      <c r="K1566" t="s">
        <v>27</v>
      </c>
      <c r="L1566">
        <v>3000</v>
      </c>
      <c r="M1566">
        <v>4.42</v>
      </c>
      <c r="N1566" t="s">
        <v>49</v>
      </c>
      <c r="O1566">
        <v>53</v>
      </c>
      <c r="P1566">
        <v>26</v>
      </c>
      <c r="Q1566">
        <v>0</v>
      </c>
      <c r="R1566">
        <v>5</v>
      </c>
      <c r="S1566" t="s">
        <v>29</v>
      </c>
      <c r="T1566" t="s">
        <v>44</v>
      </c>
      <c r="U1566" t="s">
        <v>31</v>
      </c>
      <c r="V1566" t="s">
        <v>39</v>
      </c>
      <c r="W1566">
        <v>1</v>
      </c>
      <c r="X1566">
        <v>1</v>
      </c>
      <c r="Y1566" s="2">
        <f>Table1[[#This Row],[premium_yearly]]*Table1[[#This Row],[tenure_years]]</f>
        <v>5953.2096000000001</v>
      </c>
      <c r="Z1566" s="2">
        <f>Table1[[#This Row],[total_collected_premiums]]*(1-$AD$2)</f>
        <v>4345.8430079999998</v>
      </c>
      <c r="AA1566" s="2">
        <f>Table1[[#This Row],[retained_premium]]-Table1[[#This Row],[claim_amount_paid]]</f>
        <v>1345.8430079999998</v>
      </c>
    </row>
    <row r="1567" spans="1:27" x14ac:dyDescent="0.35">
      <c r="A1567" t="s">
        <v>4740</v>
      </c>
      <c r="B1567" t="s">
        <v>4741</v>
      </c>
      <c r="C1567" t="s">
        <v>4742</v>
      </c>
      <c r="D1567" s="1">
        <v>42378</v>
      </c>
      <c r="E1567" s="1">
        <v>44369</v>
      </c>
      <c r="F1567" s="1">
        <v>44371</v>
      </c>
      <c r="G1567">
        <v>2</v>
      </c>
      <c r="H1567">
        <v>112.77</v>
      </c>
      <c r="I1567">
        <v>1353.24</v>
      </c>
      <c r="J1567">
        <v>4000</v>
      </c>
      <c r="K1567" t="s">
        <v>27</v>
      </c>
      <c r="L1567">
        <v>4000</v>
      </c>
      <c r="M1567">
        <v>2.33</v>
      </c>
      <c r="N1567" t="s">
        <v>28</v>
      </c>
      <c r="O1567">
        <v>28</v>
      </c>
      <c r="P1567">
        <v>38</v>
      </c>
      <c r="Q1567">
        <v>1</v>
      </c>
      <c r="R1567">
        <v>3</v>
      </c>
      <c r="S1567" t="s">
        <v>29</v>
      </c>
      <c r="T1567" t="s">
        <v>44</v>
      </c>
      <c r="U1567" t="s">
        <v>58</v>
      </c>
      <c r="V1567" t="s">
        <v>32</v>
      </c>
      <c r="W1567">
        <v>1</v>
      </c>
      <c r="X1567">
        <v>1</v>
      </c>
      <c r="Y1567" s="2">
        <f>Table1[[#This Row],[premium_yearly]]*Table1[[#This Row],[tenure_years]]</f>
        <v>3153.0491999999999</v>
      </c>
      <c r="Z1567" s="2">
        <f>Table1[[#This Row],[total_collected_premiums]]*(1-$AD$2)</f>
        <v>2301.7259159999999</v>
      </c>
      <c r="AA1567" s="2">
        <f>Table1[[#This Row],[retained_premium]]-Table1[[#This Row],[claim_amount_paid]]</f>
        <v>-1698.2740840000001</v>
      </c>
    </row>
    <row r="1568" spans="1:27" x14ac:dyDescent="0.35">
      <c r="A1568" t="s">
        <v>4743</v>
      </c>
      <c r="B1568" t="s">
        <v>4744</v>
      </c>
      <c r="C1568" t="s">
        <v>4745</v>
      </c>
      <c r="D1568" s="1">
        <v>41698</v>
      </c>
      <c r="E1568" s="1">
        <v>44357</v>
      </c>
      <c r="F1568" s="1">
        <v>44362</v>
      </c>
      <c r="G1568">
        <v>5</v>
      </c>
      <c r="H1568">
        <v>118.38</v>
      </c>
      <c r="I1568">
        <v>1420.56</v>
      </c>
      <c r="J1568">
        <v>7000</v>
      </c>
      <c r="K1568" t="s">
        <v>27</v>
      </c>
      <c r="L1568">
        <v>7000</v>
      </c>
      <c r="M1568">
        <v>4.08</v>
      </c>
      <c r="N1568" t="s">
        <v>36</v>
      </c>
      <c r="O1568">
        <v>49</v>
      </c>
      <c r="P1568">
        <v>43</v>
      </c>
      <c r="Q1568">
        <v>1</v>
      </c>
      <c r="R1568">
        <v>3</v>
      </c>
      <c r="S1568" t="s">
        <v>29</v>
      </c>
      <c r="T1568" t="s">
        <v>30</v>
      </c>
      <c r="U1568" t="s">
        <v>31</v>
      </c>
      <c r="V1568" t="s">
        <v>39</v>
      </c>
      <c r="W1568">
        <v>1</v>
      </c>
      <c r="X1568">
        <v>1</v>
      </c>
      <c r="Y1568" s="2">
        <f>Table1[[#This Row],[premium_yearly]]*Table1[[#This Row],[tenure_years]]</f>
        <v>5795.8847999999998</v>
      </c>
      <c r="Z1568" s="2">
        <f>Table1[[#This Row],[total_collected_premiums]]*(1-$AD$2)</f>
        <v>4230.9959039999994</v>
      </c>
      <c r="AA1568" s="2">
        <f>Table1[[#This Row],[retained_premium]]-Table1[[#This Row],[claim_amount_paid]]</f>
        <v>-2769.0040960000006</v>
      </c>
    </row>
    <row r="1569" spans="1:27" x14ac:dyDescent="0.35">
      <c r="A1569" t="s">
        <v>4746</v>
      </c>
      <c r="B1569" t="s">
        <v>4747</v>
      </c>
      <c r="C1569" t="s">
        <v>4748</v>
      </c>
      <c r="D1569" s="1">
        <v>43354</v>
      </c>
      <c r="E1569" s="1">
        <v>44362</v>
      </c>
      <c r="F1569" s="1">
        <v>44367</v>
      </c>
      <c r="G1569">
        <v>5</v>
      </c>
      <c r="H1569">
        <v>72.959999999999994</v>
      </c>
      <c r="I1569">
        <v>875.52</v>
      </c>
      <c r="J1569">
        <v>7000</v>
      </c>
      <c r="K1569" t="s">
        <v>43</v>
      </c>
      <c r="L1569">
        <v>0</v>
      </c>
      <c r="M1569">
        <v>9</v>
      </c>
      <c r="N1569" t="s">
        <v>28</v>
      </c>
      <c r="O1569">
        <v>108</v>
      </c>
      <c r="P1569">
        <v>41</v>
      </c>
      <c r="Q1569">
        <v>1</v>
      </c>
      <c r="R1569">
        <v>3</v>
      </c>
      <c r="S1569" t="s">
        <v>65</v>
      </c>
      <c r="T1569" t="s">
        <v>30</v>
      </c>
      <c r="U1569" t="s">
        <v>88</v>
      </c>
      <c r="V1569" t="s">
        <v>45</v>
      </c>
      <c r="W1569">
        <v>1</v>
      </c>
      <c r="X1569">
        <v>1</v>
      </c>
      <c r="Y1569" s="2">
        <f>Table1[[#This Row],[premium_yearly]]*Table1[[#This Row],[tenure_years]]</f>
        <v>7879.68</v>
      </c>
      <c r="Z1569" s="2">
        <f>Table1[[#This Row],[total_collected_premiums]]*(1-$AD$2)</f>
        <v>5752.1664000000001</v>
      </c>
      <c r="AA1569" s="2">
        <f>Table1[[#This Row],[retained_premium]]-Table1[[#This Row],[claim_amount_paid]]</f>
        <v>5752.1664000000001</v>
      </c>
    </row>
    <row r="1570" spans="1:27" x14ac:dyDescent="0.35">
      <c r="A1570" t="s">
        <v>4749</v>
      </c>
      <c r="B1570" t="s">
        <v>4750</v>
      </c>
      <c r="C1570" t="s">
        <v>4751</v>
      </c>
      <c r="D1570" s="1">
        <v>42243</v>
      </c>
      <c r="E1570" s="1">
        <v>44370</v>
      </c>
      <c r="F1570" s="1">
        <v>44372</v>
      </c>
      <c r="G1570">
        <v>2</v>
      </c>
      <c r="H1570">
        <v>115.6</v>
      </c>
      <c r="I1570">
        <v>1387.2</v>
      </c>
      <c r="J1570">
        <v>10000</v>
      </c>
      <c r="K1570" t="s">
        <v>27</v>
      </c>
      <c r="L1570">
        <v>10000</v>
      </c>
      <c r="M1570">
        <v>9</v>
      </c>
      <c r="N1570" t="s">
        <v>49</v>
      </c>
      <c r="O1570">
        <v>108</v>
      </c>
      <c r="P1570">
        <v>48</v>
      </c>
      <c r="Q1570">
        <v>0</v>
      </c>
      <c r="R1570">
        <v>6</v>
      </c>
      <c r="S1570" t="s">
        <v>65</v>
      </c>
      <c r="T1570" t="s">
        <v>50</v>
      </c>
      <c r="U1570" t="s">
        <v>66</v>
      </c>
      <c r="V1570" t="s">
        <v>32</v>
      </c>
      <c r="W1570">
        <v>1</v>
      </c>
      <c r="X1570">
        <v>1</v>
      </c>
      <c r="Y1570" s="2">
        <f>Table1[[#This Row],[premium_yearly]]*Table1[[#This Row],[tenure_years]]</f>
        <v>12484.800000000001</v>
      </c>
      <c r="Z1570" s="2">
        <f>Table1[[#This Row],[total_collected_premiums]]*(1-$AD$2)</f>
        <v>9113.9040000000005</v>
      </c>
      <c r="AA1570" s="2">
        <f>Table1[[#This Row],[retained_premium]]-Table1[[#This Row],[claim_amount_paid]]</f>
        <v>-886.09599999999955</v>
      </c>
    </row>
    <row r="1571" spans="1:27" x14ac:dyDescent="0.35">
      <c r="A1571" t="s">
        <v>4752</v>
      </c>
      <c r="B1571" t="s">
        <v>4753</v>
      </c>
      <c r="C1571" t="s">
        <v>4754</v>
      </c>
      <c r="D1571" s="1">
        <v>43753</v>
      </c>
      <c r="E1571" s="1">
        <v>44371</v>
      </c>
      <c r="F1571" s="1">
        <v>44373</v>
      </c>
      <c r="G1571">
        <v>2</v>
      </c>
      <c r="H1571">
        <v>134.69</v>
      </c>
      <c r="I1571">
        <v>1616.28</v>
      </c>
      <c r="J1571">
        <v>4000</v>
      </c>
      <c r="K1571" t="s">
        <v>27</v>
      </c>
      <c r="L1571">
        <v>4000</v>
      </c>
      <c r="M1571">
        <v>5</v>
      </c>
      <c r="N1571" t="s">
        <v>28</v>
      </c>
      <c r="O1571">
        <v>60</v>
      </c>
      <c r="P1571">
        <v>34</v>
      </c>
      <c r="Q1571">
        <v>1</v>
      </c>
      <c r="R1571">
        <v>3</v>
      </c>
      <c r="S1571" t="s">
        <v>29</v>
      </c>
      <c r="T1571" t="s">
        <v>30</v>
      </c>
      <c r="U1571" t="s">
        <v>88</v>
      </c>
      <c r="V1571" t="s">
        <v>32</v>
      </c>
      <c r="W1571">
        <v>1</v>
      </c>
      <c r="X1571">
        <v>1</v>
      </c>
      <c r="Y1571" s="2">
        <f>Table1[[#This Row],[premium_yearly]]*Table1[[#This Row],[tenure_years]]</f>
        <v>8081.4</v>
      </c>
      <c r="Z1571" s="2">
        <f>Table1[[#This Row],[total_collected_premiums]]*(1-$AD$2)</f>
        <v>5899.4219999999996</v>
      </c>
      <c r="AA1571" s="2">
        <f>Table1[[#This Row],[retained_premium]]-Table1[[#This Row],[claim_amount_paid]]</f>
        <v>1899.4219999999996</v>
      </c>
    </row>
    <row r="1572" spans="1:27" x14ac:dyDescent="0.35">
      <c r="A1572" t="s">
        <v>4755</v>
      </c>
      <c r="B1572" t="s">
        <v>4756</v>
      </c>
      <c r="C1572" t="s">
        <v>4757</v>
      </c>
      <c r="D1572" s="1">
        <v>43718</v>
      </c>
      <c r="E1572" s="1">
        <v>44358</v>
      </c>
      <c r="F1572" s="1">
        <v>44363</v>
      </c>
      <c r="G1572">
        <v>5</v>
      </c>
      <c r="H1572">
        <v>70.28</v>
      </c>
      <c r="I1572">
        <v>843.36</v>
      </c>
      <c r="J1572">
        <v>9000</v>
      </c>
      <c r="K1572" t="s">
        <v>27</v>
      </c>
      <c r="L1572">
        <v>9000</v>
      </c>
      <c r="M1572">
        <v>0.67</v>
      </c>
      <c r="N1572" t="s">
        <v>49</v>
      </c>
      <c r="O1572">
        <v>8</v>
      </c>
      <c r="P1572">
        <v>28</v>
      </c>
      <c r="Q1572">
        <v>1</v>
      </c>
      <c r="R1572">
        <v>7</v>
      </c>
      <c r="S1572" t="s">
        <v>37</v>
      </c>
      <c r="T1572" t="s">
        <v>30</v>
      </c>
      <c r="U1572" t="s">
        <v>38</v>
      </c>
      <c r="V1572" t="s">
        <v>32</v>
      </c>
      <c r="W1572">
        <v>1</v>
      </c>
      <c r="X1572">
        <v>0</v>
      </c>
      <c r="Y1572" s="2">
        <f>Table1[[#This Row],[premium_yearly]]*Table1[[#This Row],[tenure_years]]</f>
        <v>565.05119999999999</v>
      </c>
      <c r="Z1572" s="2">
        <f>Table1[[#This Row],[total_collected_premiums]]*(1-$AD$2)</f>
        <v>412.48737599999998</v>
      </c>
      <c r="AA1572" s="2">
        <f>Table1[[#This Row],[retained_premium]]-Table1[[#This Row],[claim_amount_paid]]</f>
        <v>-8587.5126240000009</v>
      </c>
    </row>
    <row r="1573" spans="1:27" x14ac:dyDescent="0.35">
      <c r="A1573" t="s">
        <v>4758</v>
      </c>
      <c r="B1573" t="s">
        <v>4759</v>
      </c>
      <c r="C1573" t="s">
        <v>4760</v>
      </c>
      <c r="D1573" s="1">
        <v>43653</v>
      </c>
      <c r="E1573" s="1">
        <v>44362</v>
      </c>
      <c r="F1573" s="1">
        <v>44367</v>
      </c>
      <c r="G1573">
        <v>5</v>
      </c>
      <c r="H1573">
        <v>121.84</v>
      </c>
      <c r="I1573">
        <v>1462.08</v>
      </c>
      <c r="J1573">
        <v>7000</v>
      </c>
      <c r="K1573" t="s">
        <v>27</v>
      </c>
      <c r="L1573">
        <v>7000</v>
      </c>
      <c r="M1573">
        <v>4.33</v>
      </c>
      <c r="N1573" t="s">
        <v>49</v>
      </c>
      <c r="O1573">
        <v>52</v>
      </c>
      <c r="P1573">
        <v>46</v>
      </c>
      <c r="Q1573">
        <v>0</v>
      </c>
      <c r="R1573">
        <v>6</v>
      </c>
      <c r="S1573" t="s">
        <v>37</v>
      </c>
      <c r="T1573" t="s">
        <v>44</v>
      </c>
      <c r="U1573" t="s">
        <v>38</v>
      </c>
      <c r="V1573" t="s">
        <v>45</v>
      </c>
      <c r="W1573">
        <v>1</v>
      </c>
      <c r="X1573">
        <v>1</v>
      </c>
      <c r="Y1573" s="2">
        <f>Table1[[#This Row],[premium_yearly]]*Table1[[#This Row],[tenure_years]]</f>
        <v>6330.8063999999995</v>
      </c>
      <c r="Z1573" s="2">
        <f>Table1[[#This Row],[total_collected_premiums]]*(1-$AD$2)</f>
        <v>4621.4886719999995</v>
      </c>
      <c r="AA1573" s="2">
        <f>Table1[[#This Row],[retained_premium]]-Table1[[#This Row],[claim_amount_paid]]</f>
        <v>-2378.5113280000005</v>
      </c>
    </row>
    <row r="1574" spans="1:27" x14ac:dyDescent="0.35">
      <c r="A1574" t="s">
        <v>4761</v>
      </c>
      <c r="B1574" t="s">
        <v>4762</v>
      </c>
      <c r="C1574" t="s">
        <v>4763</v>
      </c>
      <c r="D1574" s="1">
        <v>41740</v>
      </c>
      <c r="E1574" s="1">
        <v>44372</v>
      </c>
      <c r="F1574" s="1">
        <v>44373</v>
      </c>
      <c r="G1574">
        <v>1</v>
      </c>
      <c r="H1574">
        <v>105.75</v>
      </c>
      <c r="I1574">
        <v>1269</v>
      </c>
      <c r="J1574">
        <v>1000</v>
      </c>
      <c r="K1574" t="s">
        <v>27</v>
      </c>
      <c r="L1574">
        <v>1000</v>
      </c>
      <c r="M1574">
        <v>8.17</v>
      </c>
      <c r="N1574" t="s">
        <v>49</v>
      </c>
      <c r="O1574">
        <v>98</v>
      </c>
      <c r="P1574">
        <v>45</v>
      </c>
      <c r="Q1574">
        <v>0</v>
      </c>
      <c r="R1574">
        <v>3</v>
      </c>
      <c r="S1574" t="s">
        <v>65</v>
      </c>
      <c r="T1574" t="s">
        <v>30</v>
      </c>
      <c r="U1574" t="s">
        <v>107</v>
      </c>
      <c r="V1574" t="s">
        <v>45</v>
      </c>
      <c r="W1574">
        <v>1</v>
      </c>
      <c r="X1574">
        <v>1</v>
      </c>
      <c r="Y1574" s="2">
        <f>Table1[[#This Row],[premium_yearly]]*Table1[[#This Row],[tenure_years]]</f>
        <v>10367.73</v>
      </c>
      <c r="Z1574" s="2">
        <f>Table1[[#This Row],[total_collected_premiums]]*(1-$AD$2)</f>
        <v>7568.4428999999991</v>
      </c>
      <c r="AA1574" s="2">
        <f>Table1[[#This Row],[retained_premium]]-Table1[[#This Row],[claim_amount_paid]]</f>
        <v>6568.4428999999991</v>
      </c>
    </row>
    <row r="1575" spans="1:27" x14ac:dyDescent="0.35">
      <c r="A1575" t="s">
        <v>4764</v>
      </c>
      <c r="B1575" t="s">
        <v>4765</v>
      </c>
      <c r="C1575" t="s">
        <v>4766</v>
      </c>
      <c r="D1575" s="1">
        <v>42398</v>
      </c>
      <c r="E1575" s="1">
        <v>44363</v>
      </c>
      <c r="F1575" s="1">
        <v>44368</v>
      </c>
      <c r="G1575">
        <v>5</v>
      </c>
      <c r="H1575">
        <v>113.46</v>
      </c>
      <c r="I1575">
        <v>1361.52</v>
      </c>
      <c r="J1575">
        <v>2000</v>
      </c>
      <c r="K1575" t="s">
        <v>27</v>
      </c>
      <c r="L1575">
        <v>2000</v>
      </c>
      <c r="M1575">
        <v>3.67</v>
      </c>
      <c r="N1575" t="s">
        <v>28</v>
      </c>
      <c r="O1575">
        <v>44</v>
      </c>
      <c r="P1575">
        <v>61</v>
      </c>
      <c r="Q1575">
        <v>1</v>
      </c>
      <c r="R1575">
        <v>7</v>
      </c>
      <c r="S1575" t="s">
        <v>65</v>
      </c>
      <c r="T1575" t="s">
        <v>30</v>
      </c>
      <c r="U1575" t="s">
        <v>38</v>
      </c>
      <c r="V1575" t="s">
        <v>32</v>
      </c>
      <c r="W1575">
        <v>0</v>
      </c>
      <c r="X1575">
        <v>1</v>
      </c>
      <c r="Y1575" s="2">
        <f>Table1[[#This Row],[premium_yearly]]*Table1[[#This Row],[tenure_years]]</f>
        <v>4996.7784000000001</v>
      </c>
      <c r="Z1575" s="2">
        <f>Table1[[#This Row],[total_collected_premiums]]*(1-$AD$2)</f>
        <v>3647.648232</v>
      </c>
      <c r="AA1575" s="2">
        <f>Table1[[#This Row],[retained_premium]]-Table1[[#This Row],[claim_amount_paid]]</f>
        <v>1647.648232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pivottable</vt:lpstr>
      <vt:lpstr>ExcelCapstone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Broadfield, Liam</cp:lastModifiedBy>
  <dcterms:created xsi:type="dcterms:W3CDTF">2026-06-26T02:45:57Z</dcterms:created>
  <dcterms:modified xsi:type="dcterms:W3CDTF">2026-06-30T03:15:43Z</dcterms:modified>
</cp:coreProperties>
</file>